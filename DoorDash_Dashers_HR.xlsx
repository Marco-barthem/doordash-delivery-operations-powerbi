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2cd062d69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202148f92344c5d"/>
    <x:sheet xmlns:r="http://schemas.openxmlformats.org/officeDocument/2006/relationships" name="Dasher HR" sheetId="2" r:id="R6cc06c6aafa04232"/>
    <x:sheet xmlns:r="http://schemas.openxmlformats.org/officeDocument/2006/relationships" name="Data Dictionary" sheetId="3" r:id="R6ba62eda0b94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.00"/>
    <x:numFmt numFmtId="203" formatCode="@"/>
    <x:numFmt numFmtId="204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B5B5B"/>
      <x:name val="Carlito"/>
    </x:font>
    <x:font>
      <x:b/>
      <x:sz val="11"/>
      <x:color rgb="FF9A230B"/>
      <x:name val="Carlito"/>
    </x:font>
    <x:font>
      <x:b/>
      <x:sz val="11"/>
      <x:color rgb="FF212121"/>
      <x:name val="Carlito"/>
    </x:font>
    <x:font>
      <x:i/>
      <x:sz val="11"/>
      <x:color rgb="FF555555"/>
      <x:name val="Carlito"/>
    </x:font>
    <x:font>
      <x:i/>
      <x:sz val="11"/>
      <x:color rgb="FF7A28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3008"/>
      </x:patternFill>
    </x:fill>
    <x:fill>
      <x:patternFill patternType="solid">
        <x:fgColor rgb="FFFFE4DE"/>
      </x:patternFill>
    </x:fill>
    <x:fill>
      <x:patternFill patternType="solid">
        <x:fgColor rgb="FFFFF7F5"/>
      </x:patternFill>
    </x:fill>
    <x:fill>
      <x:patternFill patternType="solid">
        <x:fgColor rgb="FF2B2B2B"/>
      </x:patternFill>
    </x:fill>
    <x:fill>
      <x:patternFill patternType="solid">
        <x:fgColor rgb="FFF5F5F5"/>
      </x:patternFill>
    </x:fill>
  </x:fills>
  <x:borders count="23">
    <x:border/>
    <x:border>
      <x:left style="thin">
        <x:color rgb="FFD62A0A"/>
      </x:left>
      <x:top style="thin">
        <x:color rgb="FFD62A0A"/>
      </x:top>
      <x:bottom style="thin">
        <x:color rgb="FFD62A0A"/>
      </x:bottom>
    </x:border>
    <x:border>
      <x:top style="thin">
        <x:color rgb="FFD62A0A"/>
      </x:top>
      <x:bottom style="thin">
        <x:color rgb="FFD62A0A"/>
      </x:bottom>
    </x:border>
    <x:border>
      <x:right style="thin">
        <x:color rgb="FFD62A0A"/>
      </x:right>
      <x:top style="thin">
        <x:color rgb="FFD62A0A"/>
      </x:top>
      <x:bottom style="thin">
        <x:color rgb="FFD62A0A"/>
      </x:bottom>
    </x:border>
    <x:border>
      <x:left style="thin">
        <x:color rgb="FFF3B4A6"/>
      </x:left>
      <x:top style="thin">
        <x:color rgb="FFF3B4A6"/>
      </x:top>
    </x:border>
    <x:border>
      <x:right style="thin">
        <x:color rgb="FFF3B4A6"/>
      </x:right>
      <x:top style="thin">
        <x:color rgb="FFF3B4A6"/>
      </x:top>
    </x:border>
    <x:border>
      <x:left style="thin">
        <x:color rgb="FFF3B4A6"/>
      </x:left>
      <x:bottom style="thin">
        <x:color rgb="FFF3B4A6"/>
      </x:bottom>
    </x:border>
    <x:border>
      <x:right style="thin">
        <x:color rgb="FFF3B4A6"/>
      </x:right>
      <x:bottom style="thin">
        <x:color rgb="FFF3B4A6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right style="thin">
        <x:color rgb="FFE3E3E3"/>
      </x:right>
      <x:bottom style="thin">
        <x:color rgb="FFE3E3E3"/>
      </x:bottom>
    </x:border>
    <x:border>
      <x:left style="thin">
        <x:color rgb="FFE3E3E3"/>
      </x:left>
      <x:right style="thin">
        <x:color rgb="FFE3E3E3"/>
      </x:right>
      <x:bottom style="thin">
        <x:color rgb="FFE3E3E3"/>
      </x:bottom>
    </x:border>
    <x:border>
      <x:left style="thin">
        <x:color rgb="FFE3E3E3"/>
      </x:left>
      <x:bottom style="thin">
        <x:color rgb="FFE3E3E3"/>
      </x:bottom>
    </x:border>
    <x:border>
      <x:right style="thin">
        <x:color rgb="FFE3E3E3"/>
      </x:right>
      <x:top style="thin">
        <x:color rgb="FFE3E3E3"/>
      </x:top>
      <x:bottom style="thin">
        <x:color rgb="FFE3E3E3"/>
      </x:bottom>
    </x:border>
    <x:border>
      <x:left style="thin">
        <x:color rgb="FFE3E3E3"/>
      </x:left>
      <x:right style="thin">
        <x:color rgb="FFE3E3E3"/>
      </x:right>
      <x:top style="thin">
        <x:color rgb="FFE3E3E3"/>
      </x:top>
      <x:bottom style="thin">
        <x:color rgb="FFE3E3E3"/>
      </x:bottom>
    </x:border>
    <x:border>
      <x:left style="thin">
        <x:color rgb="FFE3E3E3"/>
      </x:left>
      <x:top style="thin">
        <x:color rgb="FFE3E3E3"/>
      </x:top>
      <x:bottom style="thin">
        <x:color rgb="FFE3E3E3"/>
      </x:bottom>
    </x:border>
    <x:border>
      <x:right style="thin">
        <x:color rgb="FFE3E3E3"/>
      </x:right>
      <x:top style="thin">
        <x:color rgb="FFE3E3E3"/>
      </x:top>
    </x:border>
    <x:border>
      <x:left style="thin">
        <x:color rgb="FFE3E3E3"/>
      </x:left>
      <x:right style="thin">
        <x:color rgb="FFE3E3E3"/>
      </x:right>
      <x:top style="thin">
        <x:color rgb="FFE3E3E3"/>
      </x:top>
    </x:border>
    <x:border>
      <x:left style="thin">
        <x:color rgb="FFE3E3E3"/>
      </x:left>
      <x:top style="thin">
        <x:color rgb="FFE3E3E3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204" fontId="4" fillId="4" borderId="4" xfId="0" applyNumberFormat="1" applyFont="1" applyFill="1" applyBorder="1" applyAlignment="1">
      <x:alignment horizontal="center" vertical="center"/>
    </x:xf>
    <x:xf numFmtId="204" fontId="4" fillId="4" borderId="5" xfId="0" applyNumberFormat="1" applyFont="1" applyFill="1" applyBorder="1" applyAlignment="1">
      <x:alignment horizontal="center" vertical="center"/>
    </x:xf>
    <x:xf numFmtId="204" fontId="4" fillId="4" borderId="6" xfId="0" applyNumberFormat="1" applyFont="1" applyFill="1" applyBorder="1" applyAlignment="1">
      <x:alignment horizontal="center" vertical="center"/>
    </x:xf>
    <x:xf numFmtId="204" fontId="4" fillId="4" borderId="7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1" fontId="4" fillId="4" borderId="7" xfId="0" applyNumberFormat="1" applyFont="1" applyFill="1" applyBorder="1" applyAlignment="1">
      <x:alignment horizontal="center" vertical="center"/>
    </x:xf>
    <x:xf numFmtId="202" fontId="4" fillId="4" borderId="4" xfId="0" applyNumberFormat="1" applyFont="1" applyFill="1" applyBorder="1" applyAlignment="1">
      <x:alignment horizontal="center" vertical="center"/>
    </x:xf>
    <x:xf numFmtId="202" fontId="4" fillId="4" borderId="5" xfId="0" applyNumberFormat="1" applyFont="1" applyFill="1" applyBorder="1" applyAlignment="1">
      <x:alignment horizontal="center" vertical="center"/>
    </x:xf>
    <x:xf numFmtId="202" fontId="4" fillId="4" borderId="6" xfId="0" applyNumberFormat="1" applyFont="1" applyFill="1" applyBorder="1" applyAlignment="1">
      <x:alignment horizontal="center" vertical="center"/>
    </x:xf>
    <x:xf numFmtId="202" fontId="4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204" fontId="0" fillId="0" borderId="11" xfId="0" applyNumberFormat="1" applyFont="1" applyFill="1" applyBorder="1"/>
    <x:xf numFmtId="204" fontId="0" fillId="0" borderId="13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1" fillId="5" borderId="16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7e838c5e84385" /><Relationship Type="http://schemas.openxmlformats.org/officeDocument/2006/relationships/theme" Target="/xl/theme/theme1.xml" Id="R16edc24b4ad74873" /><Relationship Type="http://schemas.openxmlformats.org/officeDocument/2006/relationships/sharedStrings" Target="/xl/sharedStrings.xml" Id="R2ba94fadfaef4e2d" /><Relationship Type="http://schemas.openxmlformats.org/officeDocument/2006/relationships/worksheet" Target="/xl/worksheets/sheet1.xml" Id="R5202148f92344c5d" /><Relationship Type="http://schemas.openxmlformats.org/officeDocument/2006/relationships/worksheet" Target="/xl/worksheets/sheet2.xml" Id="R6cc06c6aafa04232" /><Relationship Type="http://schemas.openxmlformats.org/officeDocument/2006/relationships/worksheet" Target="/xl/worksheets/sheet3.xml" Id="R6ba62eda0b944131" /></Relationships>
</file>

<file path=xl/tables/table1.xml><?xml version="1.0" encoding="utf-8"?>
<x:table xmlns:x="http://schemas.openxmlformats.org/spreadsheetml/2006/main" id="1" name="DasherHRTable" displayName="DasherHRTable" ref="A1:AK662" headerRowCount="1" totalsRowCount="0" totalsRowShown="0">
  <x:autoFilter ref="A1:AK662"/>
  <x:tableColumns count="37">
    <x:tableColumn id="1" name="DASHER_HR_ID"/>
    <x:tableColumn id="2" name="DASHER_NAME"/>
    <x:tableColumn id="3" name="PHOTO_URL"/>
    <x:tableColumn id="4" name="EMAIL"/>
    <x:tableColumn id="5" name="PHONE"/>
    <x:tableColumn id="6" name="HOME_MARKET"/>
    <x:tableColumn id="7" name="CITY"/>
    <x:tableColumn id="8" name="STATE"/>
    <x:tableColumn id="9" name="ZIP_CODE"/>
    <x:tableColumn id="10" name="DATE_OF_BIRTH"/>
    <x:tableColumn id="11" name="AGE"/>
    <x:tableColumn id="12" name="AGE_GROUP"/>
    <x:tableColumn id="13" name="ONBOARDING_DATE"/>
    <x:tableColumn id="14" name="TENURE_MONTHS"/>
    <x:tableColumn id="15" name="ENGAGEMENT_STATUS"/>
    <x:tableColumn id="16" name="CONTRACT_TYPE"/>
    <x:tableColumn id="17" name="VEHICLE_TYPE"/>
    <x:tableColumn id="18" name="SHIFT_PREFERENCE"/>
    <x:tableColumn id="19" name="WEEKLY_AVAILABILITY_HOURS"/>
    <x:tableColumn id="20" name="BACKGROUND_CHECK_STATUS"/>
    <x:tableColumn id="21" name="DRIVER_LICENSE_STATUS"/>
    <x:tableColumn id="22" name="TRAINING_COMPLETION_PCT"/>
    <x:tableColumn id="23" name="PRIMARY_LANGUAGE"/>
    <x:tableColumn id="24" name="SECOND_LANGUAGE"/>
    <x:tableColumn id="25" name="TOTAL_DELIVERIES_LIFETIME"/>
    <x:tableColumn id="26" name="AVG_CUSTOMER_RATING"/>
    <x:tableColumn id="27" name="ACCEPTANCE_RATE"/>
    <x:tableColumn id="28" name="COMPLETION_RATE"/>
    <x:tableColumn id="29" name="ON_TIME_RATE"/>
    <x:tableColumn id="30" name="SAFETY_INCIDENTS"/>
    <x:tableColumn id="31" name="PERFORMANCE_TIER"/>
    <x:tableColumn id="32" name="LAST_ACTIVE_DATE"/>
    <x:tableColumn id="33" name="PAYMENT_ACCOUNT_STATUS"/>
    <x:tableColumn id="34" name="TAX_FORM_STATUS"/>
    <x:tableColumn id="35" name="EMERGENCY_CONTACT_NAME"/>
    <x:tableColumn id="36" name="EMERGENCY_CONTACT_RELATIONSHIP"/>
    <x:tableColumn id="37" name="EMERGENCY_CONTACT_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44c2273cd4e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8" customHeight="1">
      <x:c r="A1" s="19" t="str">
        <x:v>DoorDash Dasher People &amp; Performance — Synthetic Dimension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8" customHeight="1">
      <x:c r="A2" s="21" t="str">
        <x:v>661 fictional Dasher profiles. Use DASHER_NAME as the relationship key with the delivery fact table supplied earlier.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4">
      <x:c r="A4" s="25" t="str">
        <x:v>TOTAL DASHERS</x:v>
      </x:c>
      <x:c r="B4" s="25"/>
      <x:c r="C4" s="25" t="str">
        <x:v>ACTIVE DASHERS</x:v>
      </x:c>
      <x:c r="D4" s="25"/>
      <x:c r="E4" s="25" t="str">
        <x:v>ACTIVE RATE</x:v>
      </x:c>
      <x:c r="F4" s="25"/>
      <x:c r="G4" s="25" t="str">
        <x:v>AVG RATING</x:v>
      </x:c>
      <x:c r="H4" s="25"/>
      <x:c r="I4" s="25" t="str">
        <x:v>HIGH PERFORMANCE RATE</x:v>
      </x:c>
      <x:c r="J4" s="25"/>
    </x:row>
    <x:row r="5">
      <x:c r="A5" s="40" t="n">
        <x:f>COUNTA('Dasher HR'!$A$2:$A$662)</x:f>
        <x:v>661</x:v>
      </x:c>
      <x:c r="B5" s="41"/>
      <x:c r="C5" s="40" t="n">
        <x:f>COUNTIF('Dasher HR'!$O$2:$O$662,"ACTIVE")</x:f>
        <x:v>562</x:v>
      </x:c>
      <x:c r="D5" s="41"/>
      <x:c r="E5" s="44" t="n">
        <x:f>C5/A5</x:f>
        <x:v>0.8502269288956127</x:v>
      </x:c>
      <x:c r="F5" s="45"/>
      <x:c r="G5" s="48" t="n">
        <x:f>AVERAGE('Dasher HR'!$Z$2:$Z$662)</x:f>
        <x:v>4.586066565809381</x:v>
      </x:c>
      <x:c r="H5" s="49"/>
      <x:c r="I5" s="44" t="n">
        <x:f>(COUNTIF('Dasher HR'!$AE$2:$AE$662,"ELITE")+COUNTIF('Dasher HR'!$AE$2:$AE$662,"HIGH_PERFORMER"))/C5</x:f>
        <x:v>0.13701067615658363</x:v>
      </x:c>
      <x:c r="J5" s="45"/>
    </x:row>
    <x:row r="6">
      <x:c r="A6" s="42"/>
      <x:c r="B6" s="43"/>
      <x:c r="C6" s="42"/>
      <x:c r="D6" s="43"/>
      <x:c r="E6" s="46"/>
      <x:c r="F6" s="47"/>
      <x:c r="G6" s="50"/>
      <x:c r="H6" s="51"/>
      <x:c r="I6" s="46"/>
      <x:c r="J6" s="47"/>
    </x:row>
    <x:row r="8" ht="24" customHeight="1">
      <x:c r="A8" s="60" t="str">
        <x:v>ENGAGEMENT STATUS</x:v>
      </x:c>
      <x:c r="B8" s="61" t="str">
        <x:v>DASHERS</x:v>
      </x:c>
      <x:c r="D8" s="60" t="str">
        <x:v>VEHICLE TYPE</x:v>
      </x:c>
      <x:c r="E8" s="61" t="str">
        <x:v>DASHERS</x:v>
      </x:c>
      <x:c r="G8" s="60" t="str">
        <x:v>COMPLIANCE KPI</x:v>
      </x:c>
      <x:c r="H8" s="61" t="str">
        <x:v>VALUE</x:v>
      </x:c>
    </x:row>
    <x:row r="9">
      <x:c r="A9" s="54" t="str">
        <x:v>ACTIVE</x:v>
      </x:c>
      <x:c r="B9" s="62" t="n">
        <x:f>COUNTIF('Dasher HR'!$O$2:$O$662,A9)</x:f>
        <x:v>562</x:v>
      </x:c>
      <x:c r="D9" s="54" t="str">
        <x:v>CAR</x:v>
      </x:c>
      <x:c r="E9" s="62" t="n">
        <x:f>COUNTIF('Dasher HR'!$Q$2:$Q$662,D9)</x:f>
        <x:v>446</x:v>
      </x:c>
      <x:c r="G9" s="54" t="str">
        <x:v>Background cleared rate</x:v>
      </x:c>
      <x:c r="H9" s="64" t="n">
        <x:f>COUNTIF('Dasher HR'!$T$2:$T$662,"CLEARED")/A5</x:f>
        <x:v>0.9304084720121029</x:v>
      </x:c>
    </x:row>
    <x:row r="10">
      <x:c r="A10" s="54" t="str">
        <x:v>PAUSED</x:v>
      </x:c>
      <x:c r="B10" s="62" t="n">
        <x:f>COUNTIF('Dasher HR'!$O$2:$O$662,A10)</x:f>
        <x:v>58</x:v>
      </x:c>
      <x:c r="D10" s="54" t="str">
        <x:v>BICYCLE</x:v>
      </x:c>
      <x:c r="E10" s="62" t="n">
        <x:f>COUNTIF('Dasher HR'!$Q$2:$Q$662,D10)</x:f>
        <x:v>100</x:v>
      </x:c>
      <x:c r="G10" s="54" t="str">
        <x:v>Average training completion</x:v>
      </x:c>
      <x:c r="H10" s="64" t="n">
        <x:f>AVERAGE('Dasher HR'!$V$2:$V$662)</x:f>
        <x:v>0.8857482602117993</x:v>
      </x:c>
    </x:row>
    <x:row r="11">
      <x:c r="A11" s="56" t="str">
        <x:v>OFFBOARDED</x:v>
      </x:c>
      <x:c r="B11" s="63" t="n">
        <x:f>COUNTIF('Dasher HR'!$O$2:$O$662,A11)</x:f>
        <x:v>41</x:v>
      </x:c>
      <x:c r="D11" s="54" t="str">
        <x:v>E_BIKE</x:v>
      </x:c>
      <x:c r="E11" s="62" t="n">
        <x:f>COUNTIF('Dasher HR'!$Q$2:$Q$662,D11)</x:f>
        <x:v>63</x:v>
      </x:c>
      <x:c r="G11" s="54" t="str">
        <x:v>Payment account verified</x:v>
      </x:c>
      <x:c r="H11" s="64" t="n">
        <x:f>COUNTIF('Dasher HR'!$AG$2:$AG$662,"VERIFIED")/A5</x:f>
        <x:v>0.9440242057488654</x:v>
      </x:c>
    </x:row>
    <x:row r="12">
      <x:c r="D12" s="54" t="str">
        <x:v>SCOOTER</x:v>
      </x:c>
      <x:c r="E12" s="62" t="n">
        <x:f>COUNTIF('Dasher HR'!$Q$2:$Q$662,D12)</x:f>
        <x:v>38</x:v>
      </x:c>
      <x:c r="G12" s="56" t="str">
        <x:v>Tax form complete</x:v>
      </x:c>
      <x:c r="H12" s="65" t="n">
        <x:f>COUNTIF('Dasher HR'!$AH$2:$AH$662,"COMPLETE")/A5</x:f>
        <x:v>0.9576399394856279</x:v>
      </x:c>
    </x:row>
    <x:row r="13">
      <x:c r="D13" s="56" t="str">
        <x:v>MOTORCYCLE</x:v>
      </x:c>
      <x:c r="E13" s="63" t="n">
        <x:f>COUNTIF('Dasher HR'!$Q$2:$Q$662,D13)</x:f>
        <x:v>14</x:v>
      </x:c>
    </x:row>
    <x:row r="15" ht="32" customHeight="1">
      <x:c r="A15" s="68" t="str">
        <x:v>Power BI: classify PHOTO_URL as Image URL. Recommended relationship: Deliveries[DASHER_NAME] → Dasher HR[DASHER_NAME] (many-to-one).</x:v>
      </x:c>
      <x:c r="B15" s="68"/>
      <x:c r="C15" s="68"/>
      <x:c r="D15" s="68"/>
      <x:c r="E15" s="68"/>
      <x:c r="F15" s="68"/>
      <x:c r="G15" s="68"/>
      <x:c r="H15" s="68"/>
      <x:c r="I15" s="68"/>
      <x:c r="J15" s="68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58" hidden="0" customWidth="1"/>
    <x:col min="4" max="4" width="34" hidden="0" customWidth="1"/>
    <x:col min="5" max="5" width="20" hidden="0" customWidth="1"/>
    <x:col min="6" max="6" width="20" hidden="0" customWidth="1"/>
    <x:col min="7" max="7" width="16" hidden="0" customWidth="1"/>
    <x:col min="8" max="8" width="9" hidden="0" customWidth="1"/>
    <x:col min="9" max="9" width="11" hidden="0" customWidth="1"/>
    <x:col min="10" max="10" width="15" hidden="0" customWidth="1"/>
    <x:col min="11" max="11" width="8" hidden="0" customWidth="1"/>
    <x:col min="12" max="12" width="12" hidden="0" customWidth="1"/>
    <x:col min="13" max="13" width="16" hidden="0" customWidth="1"/>
    <x:col min="14" max="14" width="15" hidden="0" customWidth="1"/>
    <x:col min="15" max="15" width="18" hidden="0" customWidth="1"/>
    <x:col min="16" max="16" width="25" hidden="0" customWidth="1"/>
    <x:col min="17" max="17" width="15" hidden="0" customWidth="1"/>
    <x:col min="18" max="18" width="18" hidden="0" customWidth="1"/>
    <x:col min="19" max="19" width="23" hidden="0" customWidth="1"/>
    <x:col min="20" max="20" width="25" hidden="0" customWidth="1"/>
    <x:col min="21" max="21" width="24" hidden="0" customWidth="1"/>
    <x:col min="22" max="22" width="24" hidden="0" customWidth="1"/>
    <x:col min="23" max="23" width="18" hidden="0" customWidth="1"/>
    <x:col min="24" max="24" width="18" hidden="0" customWidth="1"/>
    <x:col min="25" max="25" width="25" hidden="0" customWidth="1"/>
    <x:col min="26" max="26" width="22" hidden="0" customWidth="1"/>
    <x:col min="27" max="27" width="17" hidden="0" customWidth="1"/>
    <x:col min="28" max="28" width="17" hidden="0" customWidth="1"/>
    <x:col min="29" max="29" width="14" hidden="0" customWidth="1"/>
    <x:col min="30" max="30" width="18" hidden="0" customWidth="1"/>
    <x:col min="31" max="31" width="22" hidden="0" customWidth="1"/>
    <x:col min="32" max="32" width="17" hidden="0" customWidth="1"/>
    <x:col min="33" max="33" width="23" hidden="0" customWidth="1"/>
    <x:col min="34" max="34" width="18" hidden="0" customWidth="1"/>
    <x:col min="35" max="35" width="25" hidden="0" customWidth="1"/>
    <x:col min="36" max="36" width="29" hidden="0" customWidth="1"/>
    <x:col min="37" max="37" width="26" hidden="0" customWidth="1"/>
  </x:cols>
  <x:sheetData>
    <x:row r="1" ht="34" customHeight="1">
      <x:c r="A1" s="12" t="str">
        <x:v>DASHER_HR_ID</x:v>
      </x:c>
      <x:c r="B1" s="13" t="str">
        <x:v>DASHER_NAME</x:v>
      </x:c>
      <x:c r="C1" s="13" t="str">
        <x:v>PHOTO_URL</x:v>
      </x:c>
      <x:c r="D1" s="13" t="str">
        <x:v>EMAIL</x:v>
      </x:c>
      <x:c r="E1" s="13" t="str">
        <x:v>PHONE</x:v>
      </x:c>
      <x:c r="F1" s="13" t="str">
        <x:v>HOME_MARKET</x:v>
      </x:c>
      <x:c r="G1" s="13" t="str">
        <x:v>CITY</x:v>
      </x:c>
      <x:c r="H1" s="13" t="str">
        <x:v>STATE</x:v>
      </x:c>
      <x:c r="I1" s="13" t="str">
        <x:v>ZIP_CODE</x:v>
      </x:c>
      <x:c r="J1" s="13" t="str">
        <x:v>DATE_OF_BIRTH</x:v>
      </x:c>
      <x:c r="K1" s="13" t="str">
        <x:v>AGE</x:v>
      </x:c>
      <x:c r="L1" s="13" t="str">
        <x:v>AGE_GROUP</x:v>
      </x:c>
      <x:c r="M1" s="13" t="str">
        <x:v>ONBOARDING_DATE</x:v>
      </x:c>
      <x:c r="N1" s="13" t="str">
        <x:v>TENURE_MONTHS</x:v>
      </x:c>
      <x:c r="O1" s="13" t="str">
        <x:v>ENGAGEMENT_STATUS</x:v>
      </x:c>
      <x:c r="P1" s="13" t="str">
        <x:v>CONTRACT_TYPE</x:v>
      </x:c>
      <x:c r="Q1" s="13" t="str">
        <x:v>VEHICLE_TYPE</x:v>
      </x:c>
      <x:c r="R1" s="13" t="str">
        <x:v>SHIFT_PREFERENCE</x:v>
      </x:c>
      <x:c r="S1" s="13" t="str">
        <x:v>WEEKLY_AVAILABILITY_HOURS</x:v>
      </x:c>
      <x:c r="T1" s="13" t="str">
        <x:v>BACKGROUND_CHECK_STATUS</x:v>
      </x:c>
      <x:c r="U1" s="13" t="str">
        <x:v>DRIVER_LICENSE_STATUS</x:v>
      </x:c>
      <x:c r="V1" s="13" t="str">
        <x:v>TRAINING_COMPLETION_PCT</x:v>
      </x:c>
      <x:c r="W1" s="13" t="str">
        <x:v>PRIMARY_LANGUAGE</x:v>
      </x:c>
      <x:c r="X1" s="13" t="str">
        <x:v>SECOND_LANGUAGE</x:v>
      </x:c>
      <x:c r="Y1" s="13" t="str">
        <x:v>TOTAL_DELIVERIES_LIFETIME</x:v>
      </x:c>
      <x:c r="Z1" s="13" t="str">
        <x:v>AVG_CUSTOMER_RATING</x:v>
      </x:c>
      <x:c r="AA1" s="13" t="str">
        <x:v>ACCEPTANCE_RATE</x:v>
      </x:c>
      <x:c r="AB1" s="13" t="str">
        <x:v>COMPLETION_RATE</x:v>
      </x:c>
      <x:c r="AC1" s="13" t="str">
        <x:v>ON_TIME_RATE</x:v>
      </x:c>
      <x:c r="AD1" s="13" t="str">
        <x:v>SAFETY_INCIDENTS</x:v>
      </x:c>
      <x:c r="AE1" s="13" t="str">
        <x:v>PERFORMANCE_TIER</x:v>
      </x:c>
      <x:c r="AF1" s="13" t="str">
        <x:v>LAST_ACTIVE_DATE</x:v>
      </x:c>
      <x:c r="AG1" s="13" t="str">
        <x:v>PAYMENT_ACCOUNT_STATUS</x:v>
      </x:c>
      <x:c r="AH1" s="13" t="str">
        <x:v>TAX_FORM_STATUS</x:v>
      </x:c>
      <x:c r="AI1" s="13" t="str">
        <x:v>EMERGENCY_CONTACT_NAME</x:v>
      </x:c>
      <x:c r="AJ1" s="13" t="str">
        <x:v>EMERGENCY_CONTACT_RELATIONSHIP</x:v>
      </x:c>
      <x:c r="AK1" s="14" t="str">
        <x:v>EMERGENCY_CONTACT_PHONE</x:v>
      </x:c>
    </x:row>
    <x:row r="2" ht="18" customHeight="1">
      <x:c r="A2" t="str">
        <x:v>DHR-00001</x:v>
      </x:c>
      <x:c r="B2" t="str">
        <x:v>Alex Anderson</x:v>
      </x:c>
      <x:c r="C2" t="str">
        <x:v>https://api.dicebear.com/9.x/adventurer/png?seed=DHR-00001-Alex%20Anderson&amp;size=256&amp;radius=50&amp;backgroundColor=b6e3f4,c0aede,d1d4f9,ffd5dc,ffdfbf</x:v>
      </x:c>
      <x:c r="D2" t="str">
        <x:v>alex.anderson.001@example.com</x:v>
      </x:c>
      <x:c r="E2" t="str">
        <x:v>+1 (614) 555-0100</x:v>
      </x:c>
      <x:c r="F2" t="str">
        <x:v>Columbus, OH</x:v>
      </x:c>
      <x:c r="G2" t="str">
        <x:v>Columbus</x:v>
      </x:c>
      <x:c r="H2" t="str">
        <x:v>OH</x:v>
      </x:c>
      <x:c r="I2" s="18" t="str">
        <x:v>43215</x:v>
      </x:c>
      <x:c r="J2" s="15" t="n">
        <x:v>38305.520028391205</x:v>
      </x:c>
      <x:c r="K2" t="n">
        <x:f>INT((DATE(2025,12,31)-J2)/365.25)</x:f>
        <x:v>21</x:v>
      </x:c>
      <x:c r="L2" t="str">
        <x:f>IF(K2&lt;25,"18-24",IF(K2&lt;35,"25-34",IF(K2&lt;45,"35-44",IF(K2&lt;55,"45-54","55+"))))</x:f>
        <x:v>18-24</x:v>
      </x:c>
      <x:c r="M2" s="15" t="n">
        <x:v>45520.71761303241</x:v>
      </x:c>
      <x:c r="N2" t="n">
        <x:f>(YEAR(DATE(2025,12,31))-YEAR(M2))*12+MONTH(DATE(2025,12,31))-MONTH(M2)</x:f>
        <x:v>16</x:v>
      </x:c>
      <x:c r="O2" t="str">
        <x:v>ACTIVE</x:v>
      </x:c>
      <x:c r="P2" t="str">
        <x:v>INDEPENDENT_CONTRACTOR</x:v>
      </x:c>
      <x:c r="Q2" t="str">
        <x:v>BICYCLE</x:v>
      </x:c>
      <x:c r="R2" t="str">
        <x:v>FLEXIBLE</x:v>
      </x:c>
      <x:c r="S2" t="n">
        <x:v>41</x:v>
      </x:c>
      <x:c r="T2" t="str">
        <x:v>CLEARED</x:v>
      </x:c>
      <x:c r="U2" t="str">
        <x:v>NOT_REQUIRED</x:v>
      </x:c>
      <x:c r="V2" s="16" t="n">
        <x:v>0.8882</x:v>
      </x:c>
      <x:c r="W2" t="str">
        <x:v>English</x:v>
      </x:c>
      <x:c r="X2"/>
      <x:c r="Y2" t="n">
        <x:v>1317</x:v>
      </x:c>
      <x:c r="Z2" s="17" t="n">
        <x:v>4.22</x:v>
      </x:c>
      <x:c r="AA2" s="16" t="n">
        <x:v>0.8972</x:v>
      </x:c>
      <x:c r="AB2" s="16" t="n">
        <x:v>0.9669</x:v>
      </x:c>
      <x:c r="AC2" s="16" t="n">
        <x:v>0.861</x:v>
      </x:c>
      <x:c r="AD2" t="n">
        <x:v>1</x:v>
      </x:c>
      <x:c r="AE2" t="str">
        <x:f>IF(O2&lt;&gt;"ACTIVE","NOT_RATED",IF(AND(Z2&gt;=4.8,AB2&gt;=0.97,AC2&gt;=0.93,AD2=0),"ELITE",IF(AND(Z2&gt;=4.6,AB2&gt;=0.94,AC2&gt;=0.88),"HIGH_PERFORMER",IF(OR(Z2&lt;4.2,AB2&lt;0.85,AD2&gt;=2),"AT_RISK","STANDARD"))))</x:f>
        <x:v>STANDARD</x:v>
      </x:c>
      <x:c r="AF2" s="15" t="n">
        <x:v>46008</x:v>
      </x:c>
      <x:c r="AG2" t="str">
        <x:v>VERIFIED</x:v>
      </x:c>
      <x:c r="AH2" t="str">
        <x:v>COMPLETE</x:v>
      </x:c>
      <x:c r="AI2" t="str">
        <x:v>Taylor Walker</x:v>
      </x:c>
      <x:c r="AJ2" t="str">
        <x:v>FRIEND</x:v>
      </x:c>
      <x:c r="AK2" t="str">
        <x:v>+1 (614) 555-0123</x:v>
      </x:c>
    </x:row>
    <x:row r="3" ht="18" customHeight="1">
      <x:c r="A3" t="str">
        <x:v>DHR-00002</x:v>
      </x:c>
      <x:c r="B3" t="str">
        <x:v>Alex Brown</x:v>
      </x:c>
      <x:c r="C3" t="str">
        <x:v>https://api.dicebear.com/9.x/adventurer/png?seed=DHR-00002-Alex%20Brown&amp;size=256&amp;radius=50&amp;backgroundColor=b6e3f4,c0aede,d1d4f9,ffd5dc,ffdfbf</x:v>
      </x:c>
      <x:c r="D3" t="str">
        <x:v>alex.brown.002@example.com</x:v>
      </x:c>
      <x:c r="E3" t="str">
        <x:v>+1 (503) 555-0101</x:v>
      </x:c>
      <x:c r="F3" t="str">
        <x:v>Portland, OR</x:v>
      </x:c>
      <x:c r="G3" t="str">
        <x:v>Portland</x:v>
      </x:c>
      <x:c r="H3" t="str">
        <x:v>OR</x:v>
      </x:c>
      <x:c r="I3" s="18" t="str">
        <x:v>97205</x:v>
      </x:c>
      <x:c r="J3" s="15" t="n">
        <x:v>35354.95582364583</x:v>
      </x:c>
      <x:c r="K3" t="n">
        <x:f>INT((DATE(2025,12,31)-J3)/365.25)</x:f>
        <x:v>29</x:v>
      </x:c>
      <x:c r="L3" t="str">
        <x:f>IF(K3&lt;25,"18-24",IF(K3&lt;35,"25-34",IF(K3&lt;45,"35-44",IF(K3&lt;55,"45-54","55+"))))</x:f>
        <x:v>25-34</x:v>
      </x:c>
      <x:c r="M3" s="15" t="n">
        <x:v>45226.744512881945</x:v>
      </x:c>
      <x:c r="N3" t="n">
        <x:f>(YEAR(DATE(2025,12,31))-YEAR(M3))*12+MONTH(DATE(2025,12,31))-MONTH(M3)</x:f>
        <x:v>26</x:v>
      </x:c>
      <x:c r="O3" t="str">
        <x:v>ACTIVE</x:v>
      </x:c>
      <x:c r="P3" t="str">
        <x:v>INDEPENDENT_CONTRACTOR</x:v>
      </x:c>
      <x:c r="Q3" t="str">
        <x:v>CAR</x:v>
      </x:c>
      <x:c r="R3" t="str">
        <x:v>DINNER</x:v>
      </x:c>
      <x:c r="S3" t="n">
        <x:v>13</x:v>
      </x:c>
      <x:c r="T3" t="str">
        <x:v>CLEARED</x:v>
      </x:c>
      <x:c r="U3" t="str">
        <x:v>VALID</x:v>
      </x:c>
      <x:c r="V3" s="16" t="n">
        <x:v>0.9738</x:v>
      </x:c>
      <x:c r="W3" t="str">
        <x:v>English</x:v>
      </x:c>
      <x:c r="X3"/>
      <x:c r="Y3" t="n">
        <x:v>1061</x:v>
      </x:c>
      <x:c r="Z3" s="17" t="n">
        <x:v>4.92</x:v>
      </x:c>
      <x:c r="AA3" s="16" t="n">
        <x:v>0.8588</x:v>
      </x:c>
      <x:c r="AB3" s="16" t="n">
        <x:v>0.9953</x:v>
      </x:c>
      <x:c r="AC3" s="16" t="n">
        <x:v>0.9279</x:v>
      </x:c>
      <x:c r="AD3" t="n">
        <x:v>0</x:v>
      </x:c>
      <x:c r="AE3" t="str">
        <x:f>IF(O3&lt;&gt;"ACTIVE","NOT_RATED",IF(AND(Z3&gt;=4.8,AB3&gt;=0.97,AC3&gt;=0.93,AD3=0),"ELITE",IF(AND(Z3&gt;=4.6,AB3&gt;=0.94,AC3&gt;=0.88),"HIGH_PERFORMER",IF(OR(Z3&lt;4.2,AB3&lt;0.85,AD3&gt;=2),"AT_RISK","STANDARD"))))</x:f>
        <x:v>HIGH_PERFORMER</x:v>
      </x:c>
      <x:c r="AF3" s="15" t="n">
        <x:v>46012</x:v>
      </x:c>
      <x:c r="AG3" t="str">
        <x:v>VERIFIED</x:v>
      </x:c>
      <x:c r="AH3" t="str">
        <x:v>COMPLETE</x:v>
      </x:c>
      <x:c r="AI3" t="str">
        <x:v>Mia Taylor</x:v>
      </x:c>
      <x:c r="AJ3" t="str">
        <x:v>SPOUSE_PARTNER</x:v>
      </x:c>
      <x:c r="AK3" t="str">
        <x:v>+1 (503) 555-0130</x:v>
      </x:c>
    </x:row>
    <x:row r="4" ht="18" customHeight="1">
      <x:c r="A4" t="str">
        <x:v>DHR-00003</x:v>
      </x:c>
      <x:c r="B4" t="str">
        <x:v>Alex Clark</x:v>
      </x:c>
      <x:c r="C4" t="str">
        <x:v>https://api.dicebear.com/9.x/adventurer/png?seed=DHR-00003-Alex%20Clark&amp;size=256&amp;radius=50&amp;backgroundColor=b6e3f4,c0aede,d1d4f9,ffd5dc,ffdfbf</x:v>
      </x:c>
      <x:c r="D4" t="str">
        <x:v>alex.clark.003@example.com</x:v>
      </x:c>
      <x:c r="E4" t="str">
        <x:v>+1 (212) 555-0102</x:v>
      </x:c>
      <x:c r="F4" t="str">
        <x:v>New York, NY</x:v>
      </x:c>
      <x:c r="G4" t="str">
        <x:v>New York</x:v>
      </x:c>
      <x:c r="H4" t="str">
        <x:v>NY</x:v>
      </x:c>
      <x:c r="I4" s="18" t="str">
        <x:v>10001</x:v>
      </x:c>
      <x:c r="J4" s="15" t="n">
        <x:v>33820.57516230324</x:v>
      </x:c>
      <x:c r="K4" t="n">
        <x:f>INT((DATE(2025,12,31)-J4)/365.25)</x:f>
        <x:v>33</x:v>
      </x:c>
      <x:c r="L4" t="str">
        <x:f>IF(K4&lt;25,"18-24",IF(K4&lt;35,"25-34",IF(K4&lt;45,"35-44",IF(K4&lt;55,"45-54","55+"))))</x:f>
        <x:v>25-34</x:v>
      </x:c>
      <x:c r="M4" s="15" t="n">
        <x:v>44682.34106179398</x:v>
      </x:c>
      <x:c r="N4" t="n">
        <x:f>(YEAR(DATE(2025,12,31))-YEAR(M4))*12+MONTH(DATE(2025,12,31))-MONTH(M4)</x:f>
        <x:v>43</x:v>
      </x:c>
      <x:c r="O4" t="str">
        <x:v>ACTIVE</x:v>
      </x:c>
      <x:c r="P4" t="str">
        <x:v>INDEPENDENT_CONTRACTOR</x:v>
      </x:c>
      <x:c r="Q4" t="str">
        <x:v>CAR</x:v>
      </x:c>
      <x:c r="R4" t="str">
        <x:v>LUNCH</x:v>
      </x:c>
      <x:c r="S4" t="n">
        <x:v>45</x:v>
      </x:c>
      <x:c r="T4" t="str">
        <x:v>CLEARED</x:v>
      </x:c>
      <x:c r="U4" t="str">
        <x:v>VALID</x:v>
      </x:c>
      <x:c r="V4" s="16" t="n">
        <x:v>0.9674</x:v>
      </x:c>
      <x:c r="W4" t="str">
        <x:v>English</x:v>
      </x:c>
      <x:c r="X4"/>
      <x:c r="Y4" t="n">
        <x:v>6613</x:v>
      </x:c>
      <x:c r="Z4" s="17" t="n">
        <x:v>4.47</x:v>
      </x:c>
      <x:c r="AA4" s="16" t="n">
        <x:v>0.9671</x:v>
      </x:c>
      <x:c r="AB4" s="16" t="n">
        <x:v>0.8823</x:v>
      </x:c>
      <x:c r="AC4" s="16" t="n">
        <x:v>0.8828</x:v>
      </x:c>
      <x:c r="AD4" t="n">
        <x:v>0</x:v>
      </x:c>
      <x:c r="AE4" t="str">
        <x:f>IF(O4&lt;&gt;"ACTIVE","NOT_RATED",IF(AND(Z4&gt;=4.8,AB4&gt;=0.97,AC4&gt;=0.93,AD4=0),"ELITE",IF(AND(Z4&gt;=4.6,AB4&gt;=0.94,AC4&gt;=0.88),"HIGH_PERFORMER",IF(OR(Z4&lt;4.2,AB4&lt;0.85,AD4&gt;=2),"AT_RISK","STANDARD"))))</x:f>
        <x:v>STANDARD</x:v>
      </x:c>
      <x:c r="AF4" s="15" t="n">
        <x:v>46019</x:v>
      </x:c>
      <x:c r="AG4" t="str">
        <x:v>VERIFIED</x:v>
      </x:c>
      <x:c r="AH4" t="str">
        <x:v>COMPLETE</x:v>
      </x:c>
      <x:c r="AI4" t="str">
        <x:v>Riley Lewis</x:v>
      </x:c>
      <x:c r="AJ4" t="str">
        <x:v>PARENT</x:v>
      </x:c>
      <x:c r="AK4" t="str">
        <x:v>+1 (212) 555-0137</x:v>
      </x:c>
    </x:row>
    <x:row r="5" ht="18" customHeight="1">
      <x:c r="A5" t="str">
        <x:v>DHR-00004</x:v>
      </x:c>
      <x:c r="B5" t="str">
        <x:v>Alex Davis</x:v>
      </x:c>
      <x:c r="C5" t="str">
        <x:v>https://api.dicebear.com/9.x/adventurer/png?seed=DHR-00004-Alex%20Davis&amp;size=256&amp;radius=50&amp;backgroundColor=b6e3f4,c0aede,d1d4f9,ffd5dc,ffdfbf</x:v>
      </x:c>
      <x:c r="D5" t="str">
        <x:v>alex.davis.004@example.com</x:v>
      </x:c>
      <x:c r="E5" t="str">
        <x:v>+1 (214) 555-0103</x:v>
      </x:c>
      <x:c r="F5" t="str">
        <x:v>Dallas, TX</x:v>
      </x:c>
      <x:c r="G5" t="str">
        <x:v>Dallas</x:v>
      </x:c>
      <x:c r="H5" t="str">
        <x:v>TX</x:v>
      </x:c>
      <x:c r="I5" s="18" t="str">
        <x:v>75201</x:v>
      </x:c>
      <x:c r="J5" s="15" t="n">
        <x:v>38334.474129201386</x:v>
      </x:c>
      <x:c r="K5" t="n">
        <x:f>INT((DATE(2025,12,31)-J5)/365.25)</x:f>
        <x:v>21</x:v>
      </x:c>
      <x:c r="L5" t="str">
        <x:f>IF(K5&lt;25,"18-24",IF(K5&lt;35,"25-34",IF(K5&lt;45,"35-44",IF(K5&lt;55,"45-54","55+"))))</x:f>
        <x:v>18-24</x:v>
      </x:c>
      <x:c r="M5" s="15" t="n">
        <x:v>45724.26537927083</x:v>
      </x:c>
      <x:c r="N5" t="n">
        <x:f>(YEAR(DATE(2025,12,31))-YEAR(M5))*12+MONTH(DATE(2025,12,31))-MONTH(M5)</x:f>
        <x:v>9</x:v>
      </x:c>
      <x:c r="O5" t="str">
        <x:v>ACTIVE</x:v>
      </x:c>
      <x:c r="P5" t="str">
        <x:v>INDEPENDENT_CONTRACTOR</x:v>
      </x:c>
      <x:c r="Q5" t="str">
        <x:v>CAR</x:v>
      </x:c>
      <x:c r="R5" t="str">
        <x:v>LUNCH</x:v>
      </x:c>
      <x:c r="S5" t="n">
        <x:v>14</x:v>
      </x:c>
      <x:c r="T5" t="str">
        <x:v>CLEARED</x:v>
      </x:c>
      <x:c r="U5" t="str">
        <x:v>VALID</x:v>
      </x:c>
      <x:c r="V5" s="16" t="n">
        <x:v>0.8268</x:v>
      </x:c>
      <x:c r="W5" t="str">
        <x:v>Spanish</x:v>
      </x:c>
      <x:c r="X5"/>
      <x:c r="Y5" t="n">
        <x:v>545</x:v>
      </x:c>
      <x:c r="Z5" s="17" t="n">
        <x:v>4.27</x:v>
      </x:c>
      <x:c r="AA5" s="16" t="n">
        <x:v>0.7442</x:v>
      </x:c>
      <x:c r="AB5" s="16" t="n">
        <x:v>0.9233</x:v>
      </x:c>
      <x:c r="AC5" s="16" t="n">
        <x:v>0.8538</x:v>
      </x:c>
      <x:c r="AD5" t="n">
        <x:v>0</x:v>
      </x:c>
      <x:c r="AE5" t="str">
        <x:f>IF(O5&lt;&gt;"ACTIVE","NOT_RATED",IF(AND(Z5&gt;=4.8,AB5&gt;=0.97,AC5&gt;=0.93,AD5=0),"ELITE",IF(AND(Z5&gt;=4.6,AB5&gt;=0.94,AC5&gt;=0.88),"HIGH_PERFORMER",IF(OR(Z5&lt;4.2,AB5&lt;0.85,AD5&gt;=2),"AT_RISK","STANDARD"))))</x:f>
        <x:v>STANDARD</x:v>
      </x:c>
      <x:c r="AF5" s="15" t="n">
        <x:v>46014</x:v>
      </x:c>
      <x:c r="AG5" t="str">
        <x:v>VERIFIED</x:v>
      </x:c>
      <x:c r="AH5" t="str">
        <x:v>COMPLETE</x:v>
      </x:c>
      <x:c r="AI5" t="str">
        <x:v>Quinn Moore</x:v>
      </x:c>
      <x:c r="AJ5" t="str">
        <x:v>PARENT</x:v>
      </x:c>
      <x:c r="AK5" t="str">
        <x:v>+1 (214) 555-0144</x:v>
      </x:c>
    </x:row>
    <x:row r="6" ht="18" customHeight="1">
      <x:c r="A6" t="str">
        <x:v>DHR-00005</x:v>
      </x:c>
      <x:c r="B6" t="str">
        <x:v>Alex Garcia</x:v>
      </x:c>
      <x:c r="C6" t="str">
        <x:v>https://api.dicebear.com/9.x/adventurer/png?seed=DHR-00005-Alex%20Garcia&amp;size=256&amp;radius=50&amp;backgroundColor=b6e3f4,c0aede,d1d4f9,ffd5dc,ffdfbf</x:v>
      </x:c>
      <x:c r="D6" t="str">
        <x:v>alex.garcia.005@example.com</x:v>
      </x:c>
      <x:c r="E6" t="str">
        <x:v>+1 (602) 555-0104</x:v>
      </x:c>
      <x:c r="F6" t="str">
        <x:v>Phoenix, AZ</x:v>
      </x:c>
      <x:c r="G6" t="str">
        <x:v>Phoenix</x:v>
      </x:c>
      <x:c r="H6" t="str">
        <x:v>AZ</x:v>
      </x:c>
      <x:c r="I6" s="18" t="str">
        <x:v>85004</x:v>
      </x:c>
      <x:c r="J6" s="15" t="n">
        <x:v>33769.94870519676</x:v>
      </x:c>
      <x:c r="K6" t="n">
        <x:f>INT((DATE(2025,12,31)-J6)/365.25)</x:f>
        <x:v>33</x:v>
      </x:c>
      <x:c r="L6" t="str">
        <x:f>IF(K6&lt;25,"18-24",IF(K6&lt;35,"25-34",IF(K6&lt;45,"35-44",IF(K6&lt;55,"45-54","55+"))))</x:f>
        <x:v>25-34</x:v>
      </x:c>
      <x:c r="M6" s="15" t="n">
        <x:v>45775.322650856484</x:v>
      </x:c>
      <x:c r="N6" t="n">
        <x:f>(YEAR(DATE(2025,12,31))-YEAR(M6))*12+MONTH(DATE(2025,12,31))-MONTH(M6)</x:f>
        <x:v>8</x:v>
      </x:c>
      <x:c r="O6" t="str">
        <x:v>ACTIVE</x:v>
      </x:c>
      <x:c r="P6" t="str">
        <x:v>INDEPENDENT_CONTRACTOR</x:v>
      </x:c>
      <x:c r="Q6" t="str">
        <x:v>CAR</x:v>
      </x:c>
      <x:c r="R6" t="str">
        <x:v>FLEXIBLE</x:v>
      </x:c>
      <x:c r="S6" t="n">
        <x:v>39</x:v>
      </x:c>
      <x:c r="T6" t="str">
        <x:v>CLEARED</x:v>
      </x:c>
      <x:c r="U6" t="str">
        <x:v>VALID</x:v>
      </x:c>
      <x:c r="V6" s="16" t="n">
        <x:v>0.9193</x:v>
      </x:c>
      <x:c r="W6" t="str">
        <x:v>English</x:v>
      </x:c>
      <x:c r="X6" t="str">
        <x:v>Mandarin</x:v>
      </x:c>
      <x:c r="Y6" t="n">
        <x:v>997</x:v>
      </x:c>
      <x:c r="Z6" s="17" t="n">
        <x:v>4.62</x:v>
      </x:c>
      <x:c r="AA6" s="16" t="n">
        <x:v>0.7742</x:v>
      </x:c>
      <x:c r="AB6" s="16" t="n">
        <x:v>0.9359</x:v>
      </x:c>
      <x:c r="AC6" s="16" t="n">
        <x:v>0.851</x:v>
      </x:c>
      <x:c r="AD6" t="n">
        <x:v>1</x:v>
      </x:c>
      <x:c r="AE6" t="str">
        <x:f>IF(O6&lt;&gt;"ACTIVE","NOT_RATED",IF(AND(Z6&gt;=4.8,AB6&gt;=0.97,AC6&gt;=0.93,AD6=0),"ELITE",IF(AND(Z6&gt;=4.6,AB6&gt;=0.94,AC6&gt;=0.88),"HIGH_PERFORMER",IF(OR(Z6&lt;4.2,AB6&lt;0.85,AD6&gt;=2),"AT_RISK","STANDARD"))))</x:f>
        <x:v>STANDARD</x:v>
      </x:c>
      <x:c r="AF6" s="15" t="n">
        <x:v>46010</x:v>
      </x:c>
      <x:c r="AG6" t="str">
        <x:v>VERIFIED</x:v>
      </x:c>
      <x:c r="AH6" t="str">
        <x:v>COMPLETE</x:v>
      </x:c>
      <x:c r="AI6" t="str">
        <x:v>Sam Moore</x:v>
      </x:c>
      <x:c r="AJ6" t="str">
        <x:v>PARENT</x:v>
      </x:c>
      <x:c r="AK6" t="str">
        <x:v>+1 (602) 555-0151</x:v>
      </x:c>
    </x:row>
    <x:row r="7" ht="18" customHeight="1">
      <x:c r="A7" t="str">
        <x:v>DHR-00006</x:v>
      </x:c>
      <x:c r="B7" t="str">
        <x:v>Alex Harris</x:v>
      </x:c>
      <x:c r="C7" t="str">
        <x:v>https://api.dicebear.com/9.x/adventurer/png?seed=DHR-00006-Alex%20Harris&amp;size=256&amp;radius=50&amp;backgroundColor=b6e3f4,c0aede,d1d4f9,ffd5dc,ffdfbf</x:v>
      </x:c>
      <x:c r="D7" t="str">
        <x:v>alex.harris.006@example.com</x:v>
      </x:c>
      <x:c r="E7" t="str">
        <x:v>+1 (312) 555-0105</x:v>
      </x:c>
      <x:c r="F7" t="str">
        <x:v>Chicago, IL</x:v>
      </x:c>
      <x:c r="G7" t="str">
        <x:v>Chicago</x:v>
      </x:c>
      <x:c r="H7" t="str">
        <x:v>IL</x:v>
      </x:c>
      <x:c r="I7" s="18" t="str">
        <x:v>60601</x:v>
      </x:c>
      <x:c r="J7" s="15" t="n">
        <x:v>29372.333384722224</x:v>
      </x:c>
      <x:c r="K7" t="n">
        <x:f>INT((DATE(2025,12,31)-J7)/365.25)</x:f>
        <x:v>45</x:v>
      </x:c>
      <x:c r="L7" t="str">
        <x:f>IF(K7&lt;25,"18-24",IF(K7&lt;35,"25-34",IF(K7&lt;45,"35-44",IF(K7&lt;55,"45-54","55+"))))</x:f>
        <x:v>45-54</x:v>
      </x:c>
      <x:c r="M7" s="15" t="n">
        <x:v>45283.904135613426</x:v>
      </x:c>
      <x:c r="N7" t="n">
        <x:f>(YEAR(DATE(2025,12,31))-YEAR(M7))*12+MONTH(DATE(2025,12,31))-MONTH(M7)</x:f>
        <x:v>24</x:v>
      </x:c>
      <x:c r="O7" t="str">
        <x:v>ACTIVE</x:v>
      </x:c>
      <x:c r="P7" t="str">
        <x:v>INDEPENDENT_CONTRACTOR</x:v>
      </x:c>
      <x:c r="Q7" t="str">
        <x:v>CAR</x:v>
      </x:c>
      <x:c r="R7" t="str">
        <x:v>FLEXIBLE</x:v>
      </x:c>
      <x:c r="S7" t="n">
        <x:v>39</x:v>
      </x:c>
      <x:c r="T7" t="str">
        <x:v>CLEARED</x:v>
      </x:c>
      <x:c r="U7" t="str">
        <x:v>VALID</x:v>
      </x:c>
      <x:c r="V7" s="16" t="n">
        <x:v>0.9404</x:v>
      </x:c>
      <x:c r="W7" t="str">
        <x:v>English</x:v>
      </x:c>
      <x:c r="X7"/>
      <x:c r="Y7" t="n">
        <x:v>2426</x:v>
      </x:c>
      <x:c r="Z7" s="17" t="n">
        <x:v>4.47</x:v>
      </x:c>
      <x:c r="AA7" s="16" t="n">
        <x:v>0.6491</x:v>
      </x:c>
      <x:c r="AB7" s="16" t="n">
        <x:v>0.9747</x:v>
      </x:c>
      <x:c r="AC7" s="16" t="n">
        <x:v>0.8708</x:v>
      </x:c>
      <x:c r="AD7" t="n">
        <x:v>0</x:v>
      </x:c>
      <x:c r="AE7" t="str">
        <x:f>IF(O7&lt;&gt;"ACTIVE","NOT_RATED",IF(AND(Z7&gt;=4.8,AB7&gt;=0.97,AC7&gt;=0.93,AD7=0),"ELITE",IF(AND(Z7&gt;=4.6,AB7&gt;=0.94,AC7&gt;=0.88),"HIGH_PERFORMER",IF(OR(Z7&lt;4.2,AB7&lt;0.85,AD7&gt;=2),"AT_RISK","STANDARD"))))</x:f>
        <x:v>STANDARD</x:v>
      </x:c>
      <x:c r="AF7" s="15" t="n">
        <x:v>46010</x:v>
      </x:c>
      <x:c r="AG7" t="str">
        <x:v>VERIFIED</x:v>
      </x:c>
      <x:c r="AH7" t="str">
        <x:v>COMPLETE</x:v>
      </x:c>
      <x:c r="AI7" t="str">
        <x:v>Morgan Rodriguez</x:v>
      </x:c>
      <x:c r="AJ7" t="str">
        <x:v>SPOUSE_PARTNER</x:v>
      </x:c>
      <x:c r="AK7" t="str">
        <x:v>+1 (312) 555-0158</x:v>
      </x:c>
    </x:row>
    <x:row r="8" ht="18" customHeight="1">
      <x:c r="A8" t="str">
        <x:v>DHR-00007</x:v>
      </x:c>
      <x:c r="B8" t="str">
        <x:v>Alex Jackson</x:v>
      </x:c>
      <x:c r="C8" t="str">
        <x:v>https://api.dicebear.com/9.x/adventurer/png?seed=DHR-00007-Alex%20Jackson&amp;size=256&amp;radius=50&amp;backgroundColor=b6e3f4,c0aede,d1d4f9,ffd5dc,ffdfbf</x:v>
      </x:c>
      <x:c r="D8" t="str">
        <x:v>alex.jackson.007@example.com</x:v>
      </x:c>
      <x:c r="E8" t="str">
        <x:v>+1 (210) 555-0106</x:v>
      </x:c>
      <x:c r="F8" t="str">
        <x:v>San Antonio, TX</x:v>
      </x:c>
      <x:c r="G8" t="str">
        <x:v>San Antonio</x:v>
      </x:c>
      <x:c r="H8" t="str">
        <x:v>TX</x:v>
      </x:c>
      <x:c r="I8" s="18" t="str">
        <x:v>78205</x:v>
      </x:c>
      <x:c r="J8" s="15" t="n">
        <x:v>25142.716312430555</x:v>
      </x:c>
      <x:c r="K8" t="n">
        <x:f>INT((DATE(2025,12,31)-J8)/365.25)</x:f>
        <x:v>57</x:v>
      </x:c>
      <x:c r="L8" t="str">
        <x:f>IF(K8&lt;25,"18-24",IF(K8&lt;35,"25-34",IF(K8&lt;45,"35-44",IF(K8&lt;55,"45-54","55+"))))</x:f>
        <x:v>55+</x:v>
      </x:c>
      <x:c r="M8" s="15" t="n">
        <x:v>45225.26519200231</x:v>
      </x:c>
      <x:c r="N8" t="n">
        <x:f>(YEAR(DATE(2025,12,31))-YEAR(M8))*12+MONTH(DATE(2025,12,31))-MONTH(M8)</x:f>
        <x:v>26</x:v>
      </x:c>
      <x:c r="O8" t="str">
        <x:v>ACTIVE</x:v>
      </x:c>
      <x:c r="P8" t="str">
        <x:v>INDEPENDENT_CONTRACTOR</x:v>
      </x:c>
      <x:c r="Q8" t="str">
        <x:v>CAR</x:v>
      </x:c>
      <x:c r="R8" t="str">
        <x:v>DINNER</x:v>
      </x:c>
      <x:c r="S8" t="n">
        <x:v>46</x:v>
      </x:c>
      <x:c r="T8" t="str">
        <x:v>CLEARED</x:v>
      </x:c>
      <x:c r="U8" t="str">
        <x:v>VALID</x:v>
      </x:c>
      <x:c r="V8" s="16" t="n">
        <x:v>0.8135</x:v>
      </x:c>
      <x:c r="W8" t="str">
        <x:v>English</x:v>
      </x:c>
      <x:c r="X8"/>
      <x:c r="Y8" t="n">
        <x:v>2941</x:v>
      </x:c>
      <x:c r="Z8" s="17" t="n">
        <x:v>4.65</x:v>
      </x:c>
      <x:c r="AA8" s="16" t="n">
        <x:v>0.7515</x:v>
      </x:c>
      <x:c r="AB8" s="16" t="n">
        <x:v>0.9678</x:v>
      </x:c>
      <x:c r="AC8" s="16" t="n">
        <x:v>0.8187</x:v>
      </x:c>
      <x:c r="AD8" t="n">
        <x:v>0</x:v>
      </x:c>
      <x:c r="AE8" t="str">
        <x:f>IF(O8&lt;&gt;"ACTIVE","NOT_RATED",IF(AND(Z8&gt;=4.8,AB8&gt;=0.97,AC8&gt;=0.93,AD8=0),"ELITE",IF(AND(Z8&gt;=4.6,AB8&gt;=0.94,AC8&gt;=0.88),"HIGH_PERFORMER",IF(OR(Z8&lt;4.2,AB8&lt;0.85,AD8&gt;=2),"AT_RISK","STANDARD"))))</x:f>
        <x:v>STANDARD</x:v>
      </x:c>
      <x:c r="AF8" s="15" t="n">
        <x:v>46009</x:v>
      </x:c>
      <x:c r="AG8" t="str">
        <x:v>VERIFIED</x:v>
      </x:c>
      <x:c r="AH8" t="str">
        <x:v>COMPLETE</x:v>
      </x:c>
      <x:c r="AI8" t="str">
        <x:v>Avery Thompson</x:v>
      </x:c>
      <x:c r="AJ8" t="str">
        <x:v>PARENT</x:v>
      </x:c>
      <x:c r="AK8" t="str">
        <x:v>+1 (210) 555-0165</x:v>
      </x:c>
    </x:row>
    <x:row r="9" ht="18" customHeight="1">
      <x:c r="A9" t="str">
        <x:v>DHR-00008</x:v>
      </x:c>
      <x:c r="B9" t="str">
        <x:v>Alex Johnson</x:v>
      </x:c>
      <x:c r="C9" t="str">
        <x:v>https://api.dicebear.com/9.x/adventurer/png?seed=DHR-00008-Alex%20Johnson&amp;size=256&amp;radius=50&amp;backgroundColor=b6e3f4,c0aede,d1d4f9,ffd5dc,ffdfbf</x:v>
      </x:c>
      <x:c r="D9" t="str">
        <x:v>alex.johnson.008@example.com</x:v>
      </x:c>
      <x:c r="E9" t="str">
        <x:v>+1 (303) 555-0107</x:v>
      </x:c>
      <x:c r="F9" t="str">
        <x:v>Denver, CO</x:v>
      </x:c>
      <x:c r="G9" t="str">
        <x:v>Denver</x:v>
      </x:c>
      <x:c r="H9" t="str">
        <x:v>CO</x:v>
      </x:c>
      <x:c r="I9" s="18" t="str">
        <x:v>80202</x:v>
      </x:c>
      <x:c r="J9" s="15" t="n">
        <x:v>24664.27819533565</x:v>
      </x:c>
      <x:c r="K9" t="n">
        <x:f>INT((DATE(2025,12,31)-J9)/365.25)</x:f>
        <x:v>58</x:v>
      </x:c>
      <x:c r="L9" t="str">
        <x:f>IF(K9&lt;25,"18-24",IF(K9&lt;35,"25-34",IF(K9&lt;45,"35-44",IF(K9&lt;55,"45-54","55+"))))</x:f>
        <x:v>55+</x:v>
      </x:c>
      <x:c r="M9" s="15" t="n">
        <x:v>44340.64830181713</x:v>
      </x:c>
      <x:c r="N9" t="n">
        <x:f>(YEAR(DATE(2025,12,31))-YEAR(M9))*12+MONTH(DATE(2025,12,31))-MONTH(M9)</x:f>
        <x:v>55</x:v>
      </x:c>
      <x:c r="O9" t="str">
        <x:v>ACTIVE</x:v>
      </x:c>
      <x:c r="P9" t="str">
        <x:v>INDEPENDENT_CONTRACTOR</x:v>
      </x:c>
      <x:c r="Q9" t="str">
        <x:v>CAR</x:v>
      </x:c>
      <x:c r="R9" t="str">
        <x:v>DINNER</x:v>
      </x:c>
      <x:c r="S9" t="n">
        <x:v>21</x:v>
      </x:c>
      <x:c r="T9" t="str">
        <x:v>CLEARED</x:v>
      </x:c>
      <x:c r="U9" t="str">
        <x:v>VALID</x:v>
      </x:c>
      <x:c r="V9" s="16" t="n">
        <x:v>0.8357</x:v>
      </x:c>
      <x:c r="W9" t="str">
        <x:v>English</x:v>
      </x:c>
      <x:c r="X9"/>
      <x:c r="Y9" t="n">
        <x:v>2900</x:v>
      </x:c>
      <x:c r="Z9" s="17" t="n">
        <x:v>4.98</x:v>
      </x:c>
      <x:c r="AA9" s="16" t="n">
        <x:v>0.6411</x:v>
      </x:c>
      <x:c r="AB9" s="16" t="n">
        <x:v>0.9892</x:v>
      </x:c>
      <x:c r="AC9" s="16" t="n">
        <x:v>0.9409</x:v>
      </x:c>
      <x:c r="AD9" t="n">
        <x:v>0</x:v>
      </x:c>
      <x:c r="AE9" t="str">
        <x:f>IF(O9&lt;&gt;"ACTIVE","NOT_RATED",IF(AND(Z9&gt;=4.8,AB9&gt;=0.97,AC9&gt;=0.93,AD9=0),"ELITE",IF(AND(Z9&gt;=4.6,AB9&gt;=0.94,AC9&gt;=0.88),"HIGH_PERFORMER",IF(OR(Z9&lt;4.2,AB9&lt;0.85,AD9&gt;=2),"AT_RISK","STANDARD"))))</x:f>
        <x:v>ELITE</x:v>
      </x:c>
      <x:c r="AF9" s="15" t="n">
        <x:v>46014</x:v>
      </x:c>
      <x:c r="AG9" t="str">
        <x:v>VERIFIED</x:v>
      </x:c>
      <x:c r="AH9" t="str">
        <x:v>COMPLETE</x:v>
      </x:c>
      <x:c r="AI9" t="str">
        <x:v>Reese Davis</x:v>
      </x:c>
      <x:c r="AJ9" t="str">
        <x:v>PARENT</x:v>
      </x:c>
      <x:c r="AK9" t="str">
        <x:v>+1 (303) 555-0172</x:v>
      </x:c>
    </x:row>
    <x:row r="10" ht="18" customHeight="1">
      <x:c r="A10" t="str">
        <x:v>DHR-00009</x:v>
      </x:c>
      <x:c r="B10" t="str">
        <x:v>Alex Jones</x:v>
      </x:c>
      <x:c r="C10" t="str">
        <x:v>https://api.dicebear.com/9.x/adventurer/png?seed=DHR-00009-Alex%20Jones&amp;size=256&amp;radius=50&amp;backgroundColor=b6e3f4,c0aede,d1d4f9,ffd5dc,ffdfbf</x:v>
      </x:c>
      <x:c r="D10" t="str">
        <x:v>alex.jones.009@example.com</x:v>
      </x:c>
      <x:c r="E10" t="str">
        <x:v>+1 (215) 555-0108</x:v>
      </x:c>
      <x:c r="F10" t="str">
        <x:v>Philadelphia, PA</x:v>
      </x:c>
      <x:c r="G10" t="str">
        <x:v>Philadelphia</x:v>
      </x:c>
      <x:c r="H10" t="str">
        <x:v>PA</x:v>
      </x:c>
      <x:c r="I10" s="18" t="str">
        <x:v>19103</x:v>
      </x:c>
      <x:c r="J10" s="15" t="n">
        <x:v>30602.840140011573</x:v>
      </x:c>
      <x:c r="K10" t="n">
        <x:f>INT((DATE(2025,12,31)-J10)/365.25)</x:f>
        <x:v>42</x:v>
      </x:c>
      <x:c r="L10" t="str">
        <x:f>IF(K10&lt;25,"18-24",IF(K10&lt;35,"25-34",IF(K10&lt;45,"35-44",IF(K10&lt;55,"45-54","55+"))))</x:f>
        <x:v>35-44</x:v>
      </x:c>
      <x:c r="M10" s="15" t="n">
        <x:v>43660.74109372685</x:v>
      </x:c>
      <x:c r="N10" t="n">
        <x:f>(YEAR(DATE(2025,12,31))-YEAR(M10))*12+MONTH(DATE(2025,12,31))-MONTH(M10)</x:f>
        <x:v>77</x:v>
      </x:c>
      <x:c r="O10" t="str">
        <x:v>OFFBOARDED</x:v>
      </x:c>
      <x:c r="P10" t="str">
        <x:v>INDEPENDENT_CONTRACTOR</x:v>
      </x:c>
      <x:c r="Q10" t="str">
        <x:v>BICYCLE</x:v>
      </x:c>
      <x:c r="R10" t="str">
        <x:v>LUNCH</x:v>
      </x:c>
      <x:c r="S10" t="n">
        <x:v>27</x:v>
      </x:c>
      <x:c r="T10" t="str">
        <x:v>CLEARED</x:v>
      </x:c>
      <x:c r="U10" t="str">
        <x:v>NOT_REQUIRED</x:v>
      </x:c>
      <x:c r="V10" s="16" t="n">
        <x:v>0.7219</x:v>
      </x:c>
      <x:c r="W10" t="str">
        <x:v>English</x:v>
      </x:c>
      <x:c r="X10"/>
      <x:c r="Y10" t="n">
        <x:v>7649</x:v>
      </x:c>
      <x:c r="Z10" s="17" t="n">
        <x:v>4.81</x:v>
      </x:c>
      <x:c r="AA10" s="16" t="n">
        <x:v>0.7576</x:v>
      </x:c>
      <x:c r="AB10" s="16" t="n">
        <x:v>0.8978</x:v>
      </x:c>
      <x:c r="AC10" s="16" t="n">
        <x:v>0.8822</x:v>
      </x:c>
      <x:c r="AD10" t="n">
        <x:v>2</x:v>
      </x:c>
      <x:c r="AE10" t="str">
        <x:f>IF(O10&lt;&gt;"ACTIVE","NOT_RATED",IF(AND(Z10&gt;=4.8,AB10&gt;=0.97,AC10&gt;=0.93,AD10=0),"ELITE",IF(AND(Z10&gt;=4.6,AB10&gt;=0.94,AC10&gt;=0.88),"HIGH_PERFORMER",IF(OR(Z10&lt;4.2,AB10&lt;0.85,AD10&gt;=2),"AT_RISK","STANDARD"))))</x:f>
        <x:v>NOT_RATED</x:v>
      </x:c>
      <x:c r="AF10" s="15" t="n">
        <x:v>45533</x:v>
      </x:c>
      <x:c r="AG10" t="str">
        <x:v>VERIFIED</x:v>
      </x:c>
      <x:c r="AH10" t="str">
        <x:v>COMPLETE</x:v>
      </x:c>
      <x:c r="AI10" t="str">
        <x:v>Devin Johnson</x:v>
      </x:c>
      <x:c r="AJ10" t="str">
        <x:v>PARENT</x:v>
      </x:c>
      <x:c r="AK10" t="str">
        <x:v>+1 (215) 555-0179</x:v>
      </x:c>
    </x:row>
    <x:row r="11" ht="18" customHeight="1">
      <x:c r="A11" t="str">
        <x:v>DHR-00010</x:v>
      </x:c>
      <x:c r="B11" t="str">
        <x:v>Alex Lee</x:v>
      </x:c>
      <x:c r="C11" t="str">
        <x:v>https://api.dicebear.com/9.x/adventurer/png?seed=DHR-00010-Alex%20Lee&amp;size=256&amp;radius=50&amp;backgroundColor=b6e3f4,c0aede,d1d4f9,ffd5dc,ffdfbf</x:v>
      </x:c>
      <x:c r="D11" t="str">
        <x:v>alex.lee.010@example.com</x:v>
      </x:c>
      <x:c r="E11" t="str">
        <x:v>+1 (408) 555-0109</x:v>
      </x:c>
      <x:c r="F11" t="str">
        <x:v>San Jose, CA</x:v>
      </x:c>
      <x:c r="G11" t="str">
        <x:v>San Jose</x:v>
      </x:c>
      <x:c r="H11" t="str">
        <x:v>CA</x:v>
      </x:c>
      <x:c r="I11" s="18" t="str">
        <x:v>95113</x:v>
      </x:c>
      <x:c r="J11" s="15" t="n">
        <x:v>23858.51081929398</x:v>
      </x:c>
      <x:c r="K11" t="n">
        <x:f>INT((DATE(2025,12,31)-J11)/365.25)</x:f>
        <x:v>60</x:v>
      </x:c>
      <x:c r="L11" t="str">
        <x:f>IF(K11&lt;25,"18-24",IF(K11&lt;35,"25-34",IF(K11&lt;45,"35-44",IF(K11&lt;55,"45-54","55+"))))</x:f>
        <x:v>55+</x:v>
      </x:c>
      <x:c r="M11" s="15" t="n">
        <x:v>45285.49511289352</x:v>
      </x:c>
      <x:c r="N11" t="n">
        <x:f>(YEAR(DATE(2025,12,31))-YEAR(M11))*12+MONTH(DATE(2025,12,31))-MONTH(M11)</x:f>
        <x:v>24</x:v>
      </x:c>
      <x:c r="O11" t="str">
        <x:v>ACTIVE</x:v>
      </x:c>
      <x:c r="P11" t="str">
        <x:v>INDEPENDENT_CONTRACTOR</x:v>
      </x:c>
      <x:c r="Q11" t="str">
        <x:v>CAR</x:v>
      </x:c>
      <x:c r="R11" t="str">
        <x:v>DINNER</x:v>
      </x:c>
      <x:c r="S11" t="n">
        <x:v>11</x:v>
      </x:c>
      <x:c r="T11" t="str">
        <x:v>CLEARED</x:v>
      </x:c>
      <x:c r="U11" t="str">
        <x:v>VALID</x:v>
      </x:c>
      <x:c r="V11" s="16" t="n">
        <x:v>0.9971</x:v>
      </x:c>
      <x:c r="W11" t="str">
        <x:v>Vietnamese</x:v>
      </x:c>
      <x:c r="X11"/>
      <x:c r="Y11" t="n">
        <x:v>690</x:v>
      </x:c>
      <x:c r="Z11" s="17" t="n">
        <x:v>4.59</x:v>
      </x:c>
      <x:c r="AA11" s="16" t="n">
        <x:v>0.787</x:v>
      </x:c>
      <x:c r="AB11" s="16" t="n">
        <x:v>0.97</x:v>
      </x:c>
      <x:c r="AC11" s="16" t="n">
        <x:v>0.81</x:v>
      </x:c>
      <x:c r="AD11" t="n">
        <x:v>0</x:v>
      </x:c>
      <x:c r="AE11" t="str">
        <x:f>IF(O11&lt;&gt;"ACTIVE","NOT_RATED",IF(AND(Z11&gt;=4.8,AB11&gt;=0.97,AC11&gt;=0.93,AD11=0),"ELITE",IF(AND(Z11&gt;=4.6,AB11&gt;=0.94,AC11&gt;=0.88),"HIGH_PERFORMER",IF(OR(Z11&lt;4.2,AB11&lt;0.85,AD11&gt;=2),"AT_RISK","STANDARD"))))</x:f>
        <x:v>STANDARD</x:v>
      </x:c>
      <x:c r="AF11" s="15" t="n">
        <x:v>46013</x:v>
      </x:c>
      <x:c r="AG11" t="str">
        <x:v>VERIFIED</x:v>
      </x:c>
      <x:c r="AH11" t="str">
        <x:v>COMPLETE</x:v>
      </x:c>
      <x:c r="AI11" t="str">
        <x:v>Robin Moore</x:v>
      </x:c>
      <x:c r="AJ11" t="str">
        <x:v>SPOUSE_PARTNER</x:v>
      </x:c>
      <x:c r="AK11" t="str">
        <x:v>+1 (408) 555-0186</x:v>
      </x:c>
    </x:row>
    <x:row r="12" ht="18" customHeight="1">
      <x:c r="A12" t="str">
        <x:v>DHR-00011</x:v>
      </x:c>
      <x:c r="B12" t="str">
        <x:v>Alex Martin</x:v>
      </x:c>
      <x:c r="C12" t="str">
        <x:v>https://api.dicebear.com/9.x/adventurer/png?seed=DHR-00011-Alex%20Martin&amp;size=256&amp;radius=50&amp;backgroundColor=b6e3f4,c0aede,d1d4f9,ffd5dc,ffdfbf</x:v>
      </x:c>
      <x:c r="D12" t="str">
        <x:v>alex.martin.011@example.com</x:v>
      </x:c>
      <x:c r="E12" t="str">
        <x:v>+1 (312) 555-0110</x:v>
      </x:c>
      <x:c r="F12" t="str">
        <x:v>Chicago, IL</x:v>
      </x:c>
      <x:c r="G12" t="str">
        <x:v>Chicago</x:v>
      </x:c>
      <x:c r="H12" t="str">
        <x:v>IL</x:v>
      </x:c>
      <x:c r="I12" s="18" t="str">
        <x:v>60601</x:v>
      </x:c>
      <x:c r="J12" s="15" t="n">
        <x:v>37430.21689577546</x:v>
      </x:c>
      <x:c r="K12" t="n">
        <x:f>INT((DATE(2025,12,31)-J12)/365.25)</x:f>
        <x:v>23</x:v>
      </x:c>
      <x:c r="L12" t="str">
        <x:f>IF(K12&lt;25,"18-24",IF(K12&lt;35,"25-34",IF(K12&lt;45,"35-44",IF(K12&lt;55,"45-54","55+"))))</x:f>
        <x:v>18-24</x:v>
      </x:c>
      <x:c r="M12" s="15" t="n">
        <x:v>45410.895494525466</x:v>
      </x:c>
      <x:c r="N12" t="n">
        <x:f>(YEAR(DATE(2025,12,31))-YEAR(M12))*12+MONTH(DATE(2025,12,31))-MONTH(M12)</x:f>
        <x:v>20</x:v>
      </x:c>
      <x:c r="O12" t="str">
        <x:v>ACTIVE</x:v>
      </x:c>
      <x:c r="P12" t="str">
        <x:v>INDEPENDENT_CONTRACTOR</x:v>
      </x:c>
      <x:c r="Q12" t="str">
        <x:v>CAR</x:v>
      </x:c>
      <x:c r="R12" t="str">
        <x:v>FLEXIBLE</x:v>
      </x:c>
      <x:c r="S12" t="n">
        <x:v>40</x:v>
      </x:c>
      <x:c r="T12" t="str">
        <x:v>CLEARED</x:v>
      </x:c>
      <x:c r="U12" t="str">
        <x:v>VALID</x:v>
      </x:c>
      <x:c r="V12" s="16" t="n">
        <x:v>0.7936</x:v>
      </x:c>
      <x:c r="W12" t="str">
        <x:v>English</x:v>
      </x:c>
      <x:c r="X12" t="str">
        <x:v>French</x:v>
      </x:c>
      <x:c r="Y12" t="n">
        <x:v>2050</x:v>
      </x:c>
      <x:c r="Z12" s="17" t="n">
        <x:v>4.72</x:v>
      </x:c>
      <x:c r="AA12" s="16" t="n">
        <x:v>0.7384</x:v>
      </x:c>
      <x:c r="AB12" s="16" t="n">
        <x:v>0.8929</x:v>
      </x:c>
      <x:c r="AC12" s="16" t="n">
        <x:v>0.9149</x:v>
      </x:c>
      <x:c r="AD12" t="n">
        <x:v>0</x:v>
      </x:c>
      <x:c r="AE12" t="str">
        <x:f>IF(O12&lt;&gt;"ACTIVE","NOT_RATED",IF(AND(Z12&gt;=4.8,AB12&gt;=0.97,AC12&gt;=0.93,AD12=0),"ELITE",IF(AND(Z12&gt;=4.6,AB12&gt;=0.94,AC12&gt;=0.88),"HIGH_PERFORMER",IF(OR(Z12&lt;4.2,AB12&lt;0.85,AD12&gt;=2),"AT_RISK","STANDARD"))))</x:f>
        <x:v>STANDARD</x:v>
      </x:c>
      <x:c r="AF12" s="15" t="n">
        <x:v>46019</x:v>
      </x:c>
      <x:c r="AG12" t="str">
        <x:v>VERIFIED</x:v>
      </x:c>
      <x:c r="AH12" t="str">
        <x:v>COMPLETE</x:v>
      </x:c>
      <x:c r="AI12" t="str">
        <x:v>Morgan Miller</x:v>
      </x:c>
      <x:c r="AJ12" t="str">
        <x:v>PARENT</x:v>
      </x:c>
      <x:c r="AK12" t="str">
        <x:v>+1 (312) 555-0193</x:v>
      </x:c>
    </x:row>
    <x:row r="13" ht="18" customHeight="1">
      <x:c r="A13" t="str">
        <x:v>DHR-00012</x:v>
      </x:c>
      <x:c r="B13" t="str">
        <x:v>Alex Martinez</x:v>
      </x:c>
      <x:c r="C13" t="str">
        <x:v>https://api.dicebear.com/9.x/adventurer/png?seed=DHR-00012-Alex%20Martinez&amp;size=256&amp;radius=50&amp;backgroundColor=b6e3f4,c0aede,d1d4f9,ffd5dc,ffdfbf</x:v>
      </x:c>
      <x:c r="D13" t="str">
        <x:v>alex.martinez.012@example.com</x:v>
      </x:c>
      <x:c r="E13" t="str">
        <x:v>+1 (212) 555-0111</x:v>
      </x:c>
      <x:c r="F13" t="str">
        <x:v>New York, NY</x:v>
      </x:c>
      <x:c r="G13" t="str">
        <x:v>New York</x:v>
      </x:c>
      <x:c r="H13" t="str">
        <x:v>NY</x:v>
      </x:c>
      <x:c r="I13" s="18" t="str">
        <x:v>10001</x:v>
      </x:c>
      <x:c r="J13" s="15" t="n">
        <x:v>29813.148999224537</x:v>
      </x:c>
      <x:c r="K13" t="n">
        <x:f>INT((DATE(2025,12,31)-J13)/365.25)</x:f>
        <x:v>44</x:v>
      </x:c>
      <x:c r="L13" t="str">
        <x:f>IF(K13&lt;25,"18-24",IF(K13&lt;35,"25-34",IF(K13&lt;45,"35-44",IF(K13&lt;55,"45-54","55+"))))</x:f>
        <x:v>35-44</x:v>
      </x:c>
      <x:c r="M13" s="15" t="n">
        <x:v>43683.795125972225</x:v>
      </x:c>
      <x:c r="N13" t="n">
        <x:f>(YEAR(DATE(2025,12,31))-YEAR(M13))*12+MONTH(DATE(2025,12,31))-MONTH(M13)</x:f>
        <x:v>76</x:v>
      </x:c>
      <x:c r="O13" t="str">
        <x:v>ACTIVE</x:v>
      </x:c>
      <x:c r="P13" t="str">
        <x:v>INDEPENDENT_CONTRACTOR</x:v>
      </x:c>
      <x:c r="Q13" t="str">
        <x:v>CAR</x:v>
      </x:c>
      <x:c r="R13" t="str">
        <x:v>DINNER</x:v>
      </x:c>
      <x:c r="S13" t="n">
        <x:v>31</x:v>
      </x:c>
      <x:c r="T13" t="str">
        <x:v>CLEARED</x:v>
      </x:c>
      <x:c r="U13" t="str">
        <x:v>VALID</x:v>
      </x:c>
      <x:c r="V13" s="16" t="n">
        <x:v>0.9806</x:v>
      </x:c>
      <x:c r="W13" t="str">
        <x:v>English</x:v>
      </x:c>
      <x:c r="X13"/>
      <x:c r="Y13" t="n">
        <x:v>5873</x:v>
      </x:c>
      <x:c r="Z13" s="17" t="n">
        <x:v>4.95</x:v>
      </x:c>
      <x:c r="AA13" s="16" t="n">
        <x:v>0.7205</x:v>
      </x:c>
      <x:c r="AB13" s="16" t="n">
        <x:v>0.9966</x:v>
      </x:c>
      <x:c r="AC13" s="16" t="n">
        <x:v>0.9627</x:v>
      </x:c>
      <x:c r="AD13" t="n">
        <x:v>0</x:v>
      </x:c>
      <x:c r="AE13" t="str">
        <x:f>IF(O13&lt;&gt;"ACTIVE","NOT_RATED",IF(AND(Z13&gt;=4.8,AB13&gt;=0.97,AC13&gt;=0.93,AD13=0),"ELITE",IF(AND(Z13&gt;=4.6,AB13&gt;=0.94,AC13&gt;=0.88),"HIGH_PERFORMER",IF(OR(Z13&lt;4.2,AB13&lt;0.85,AD13&gt;=2),"AT_RISK","STANDARD"))))</x:f>
        <x:v>ELITE</x:v>
      </x:c>
      <x:c r="AF13" s="15" t="n">
        <x:v>46020</x:v>
      </x:c>
      <x:c r="AG13" t="str">
        <x:v>VERIFIED</x:v>
      </x:c>
      <x:c r="AH13" t="str">
        <x:v>COMPLETE</x:v>
      </x:c>
      <x:c r="AI13" t="str">
        <x:v>Mia Clark</x:v>
      </x:c>
      <x:c r="AJ13" t="str">
        <x:v>SIBLING</x:v>
      </x:c>
      <x:c r="AK13" t="str">
        <x:v>+1 (212) 555-0100</x:v>
      </x:c>
    </x:row>
    <x:row r="14" ht="18" customHeight="1">
      <x:c r="A14" t="str">
        <x:v>DHR-00013</x:v>
      </x:c>
      <x:c r="B14" t="str">
        <x:v>Alex Miller</x:v>
      </x:c>
      <x:c r="C14" t="str">
        <x:v>https://api.dicebear.com/9.x/adventurer/png?seed=DHR-00013-Alex%20Miller&amp;size=256&amp;radius=50&amp;backgroundColor=b6e3f4,c0aede,d1d4f9,ffd5dc,ffdfbf</x:v>
      </x:c>
      <x:c r="D14" t="str">
        <x:v>alex.miller.013@example.com</x:v>
      </x:c>
      <x:c r="E14" t="str">
        <x:v>+1 (305) 555-0112</x:v>
      </x:c>
      <x:c r="F14" t="str">
        <x:v>Miami, FL</x:v>
      </x:c>
      <x:c r="G14" t="str">
        <x:v>Miami</x:v>
      </x:c>
      <x:c r="H14" t="str">
        <x:v>FL</x:v>
      </x:c>
      <x:c r="I14" s="18" t="str">
        <x:v>33130</x:v>
      </x:c>
      <x:c r="J14" s="15" t="n">
        <x:v>25313.734438506945</x:v>
      </x:c>
      <x:c r="K14" t="n">
        <x:f>INT((DATE(2025,12,31)-J14)/365.25)</x:f>
        <x:v>56</x:v>
      </x:c>
      <x:c r="L14" t="str">
        <x:f>IF(K14&lt;25,"18-24",IF(K14&lt;35,"25-34",IF(K14&lt;45,"35-44",IF(K14&lt;55,"45-54","55+"))))</x:f>
        <x:v>55+</x:v>
      </x:c>
      <x:c r="M14" s="15" t="n">
        <x:v>45058.563713668984</x:v>
      </x:c>
      <x:c r="N14" t="n">
        <x:f>(YEAR(DATE(2025,12,31))-YEAR(M14))*12+MONTH(DATE(2025,12,31))-MONTH(M14)</x:f>
        <x:v>31</x:v>
      </x:c>
      <x:c r="O14" t="str">
        <x:v>ACTIVE</x:v>
      </x:c>
      <x:c r="P14" t="str">
        <x:v>INDEPENDENT_CONTRACTOR</x:v>
      </x:c>
      <x:c r="Q14" t="str">
        <x:v>CAR</x:v>
      </x:c>
      <x:c r="R14" t="str">
        <x:v>DINNER</x:v>
      </x:c>
      <x:c r="S14" t="n">
        <x:v>22</x:v>
      </x:c>
      <x:c r="T14" t="str">
        <x:v>PENDING</x:v>
      </x:c>
      <x:c r="U14" t="str">
        <x:v>VALID</x:v>
      </x:c>
      <x:c r="V14" s="16" t="n">
        <x:v>0.904</x:v>
      </x:c>
      <x:c r="W14" t="str">
        <x:v>English</x:v>
      </x:c>
      <x:c r="X14"/>
      <x:c r="Y14" t="n">
        <x:v>2155</x:v>
      </x:c>
      <x:c r="Z14" s="17" t="n">
        <x:v>4.34</x:v>
      </x:c>
      <x:c r="AA14" s="16" t="n">
        <x:v>0.6925</x:v>
      </x:c>
      <x:c r="AB14" s="16" t="n">
        <x:v>0.9799</x:v>
      </x:c>
      <x:c r="AC14" s="16" t="n">
        <x:v>0.907</x:v>
      </x:c>
      <x:c r="AD14" t="n">
        <x:v>1</x:v>
      </x:c>
      <x:c r="AE14" t="str">
        <x:f>IF(O14&lt;&gt;"ACTIVE","NOT_RATED",IF(AND(Z14&gt;=4.8,AB14&gt;=0.97,AC14&gt;=0.93,AD14=0),"ELITE",IF(AND(Z14&gt;=4.6,AB14&gt;=0.94,AC14&gt;=0.88),"HIGH_PERFORMER",IF(OR(Z14&lt;4.2,AB14&lt;0.85,AD14&gt;=2),"AT_RISK","STANDARD"))))</x:f>
        <x:v>STANDARD</x:v>
      </x:c>
      <x:c r="AF14" s="15" t="n">
        <x:v>46016</x:v>
      </x:c>
      <x:c r="AG14" t="str">
        <x:v>VERIFIED</x:v>
      </x:c>
      <x:c r="AH14" t="str">
        <x:v>COMPLETE</x:v>
      </x:c>
      <x:c r="AI14" t="str">
        <x:v>Skyler Lee</x:v>
      </x:c>
      <x:c r="AJ14" t="str">
        <x:v>SIBLING</x:v>
      </x:c>
      <x:c r="AK14" t="str">
        <x:v>+1 (305) 555-0107</x:v>
      </x:c>
    </x:row>
    <x:row r="15" ht="18" customHeight="1">
      <x:c r="A15" t="str">
        <x:v>DHR-00014</x:v>
      </x:c>
      <x:c r="B15" t="str">
        <x:v>Alex Moore</x:v>
      </x:c>
      <x:c r="C15" t="str">
        <x:v>https://api.dicebear.com/9.x/adventurer/png?seed=DHR-00014-Alex%20Moore&amp;size=256&amp;radius=50&amp;backgroundColor=b6e3f4,c0aede,d1d4f9,ffd5dc,ffdfbf</x:v>
      </x:c>
      <x:c r="D15" t="str">
        <x:v>alex.moore.014@example.com</x:v>
      </x:c>
      <x:c r="E15" t="str">
        <x:v>+1 (614) 555-0113</x:v>
      </x:c>
      <x:c r="F15" t="str">
        <x:v>Columbus, OH</x:v>
      </x:c>
      <x:c r="G15" t="str">
        <x:v>Columbus</x:v>
      </x:c>
      <x:c r="H15" t="str">
        <x:v>OH</x:v>
      </x:c>
      <x:c r="I15" s="18" t="str">
        <x:v>43215</x:v>
      </x:c>
      <x:c r="J15" s="15" t="n">
        <x:v>23775.05730511574</x:v>
      </x:c>
      <x:c r="K15" t="n">
        <x:f>INT((DATE(2025,12,31)-J15)/365.25)</x:f>
        <x:v>60</x:v>
      </x:c>
      <x:c r="L15" t="str">
        <x:f>IF(K15&lt;25,"18-24",IF(K15&lt;35,"25-34",IF(K15&lt;45,"35-44",IF(K15&lt;55,"45-54","55+"))))</x:f>
        <x:v>55+</x:v>
      </x:c>
      <x:c r="M15" s="15" t="n">
        <x:v>44588.084147002315</x:v>
      </x:c>
      <x:c r="N15" t="n">
        <x:f>(YEAR(DATE(2025,12,31))-YEAR(M15))*12+MONTH(DATE(2025,12,31))-MONTH(M15)</x:f>
        <x:v>47</x:v>
      </x:c>
      <x:c r="O15" t="str">
        <x:v>ACTIVE</x:v>
      </x:c>
      <x:c r="P15" t="str">
        <x:v>INDEPENDENT_CONTRACTOR</x:v>
      </x:c>
      <x:c r="Q15" t="str">
        <x:v>CAR</x:v>
      </x:c>
      <x:c r="R15" t="str">
        <x:v>FLEXIBLE</x:v>
      </x:c>
      <x:c r="S15" t="n">
        <x:v>12</x:v>
      </x:c>
      <x:c r="T15" t="str">
        <x:v>CLEARED</x:v>
      </x:c>
      <x:c r="U15" t="str">
        <x:v>VALID</x:v>
      </x:c>
      <x:c r="V15" s="16" t="n">
        <x:v>0.9101</x:v>
      </x:c>
      <x:c r="W15" t="str">
        <x:v>English</x:v>
      </x:c>
      <x:c r="X15"/>
      <x:c r="Y15" t="n">
        <x:v>1858</x:v>
      </x:c>
      <x:c r="Z15" s="17" t="n">
        <x:v>4.73</x:v>
      </x:c>
      <x:c r="AA15" s="16" t="n">
        <x:v>0.6832</x:v>
      </x:c>
      <x:c r="AB15" s="16" t="n">
        <x:v>0.9165</x:v>
      </x:c>
      <x:c r="AC15" s="16" t="n">
        <x:v>0.9587</x:v>
      </x:c>
      <x:c r="AD15" t="n">
        <x:v>0</x:v>
      </x:c>
      <x:c r="AE15" t="str">
        <x:f>IF(O15&lt;&gt;"ACTIVE","NOT_RATED",IF(AND(Z15&gt;=4.8,AB15&gt;=0.97,AC15&gt;=0.93,AD15=0),"ELITE",IF(AND(Z15&gt;=4.6,AB15&gt;=0.94,AC15&gt;=0.88),"HIGH_PERFORMER",IF(OR(Z15&lt;4.2,AB15&lt;0.85,AD15&gt;=2),"AT_RISK","STANDARD"))))</x:f>
        <x:v>STANDARD</x:v>
      </x:c>
      <x:c r="AF15" s="15" t="n">
        <x:v>46009</x:v>
      </x:c>
      <x:c r="AG15" t="str">
        <x:v>VERIFIED</x:v>
      </x:c>
      <x:c r="AH15" t="str">
        <x:v>COMPLETE</x:v>
      </x:c>
      <x:c r="AI15" t="str">
        <x:v>Drew Johnson</x:v>
      </x:c>
      <x:c r="AJ15" t="str">
        <x:v>SIBLING</x:v>
      </x:c>
      <x:c r="AK15" t="str">
        <x:v>+1 (614) 555-0114</x:v>
      </x:c>
    </x:row>
    <x:row r="16" ht="18" customHeight="1">
      <x:c r="A16" t="str">
        <x:v>DHR-00015</x:v>
      </x:c>
      <x:c r="B16" t="str">
        <x:v>Alex Rodriguez</x:v>
      </x:c>
      <x:c r="C16" t="str">
        <x:v>https://api.dicebear.com/9.x/adventurer/png?seed=DHR-00015-Alex%20Rodriguez&amp;size=256&amp;radius=50&amp;backgroundColor=b6e3f4,c0aede,d1d4f9,ffd5dc,ffdfbf</x:v>
      </x:c>
      <x:c r="D16" t="str">
        <x:v>alex.rodriguez.015@example.com</x:v>
      </x:c>
      <x:c r="E16" t="str">
        <x:v>+1 (305) 555-0114</x:v>
      </x:c>
      <x:c r="F16" t="str">
        <x:v>Miami, FL</x:v>
      </x:c>
      <x:c r="G16" t="str">
        <x:v>Miami</x:v>
      </x:c>
      <x:c r="H16" t="str">
        <x:v>FL</x:v>
      </x:c>
      <x:c r="I16" s="18" t="str">
        <x:v>33130</x:v>
      </x:c>
      <x:c r="J16" s="15" t="n">
        <x:v>32039.875116666666</x:v>
      </x:c>
      <x:c r="K16" t="n">
        <x:f>INT((DATE(2025,12,31)-J16)/365.25)</x:f>
        <x:v>38</x:v>
      </x:c>
      <x:c r="L16" t="str">
        <x:f>IF(K16&lt;25,"18-24",IF(K16&lt;35,"25-34",IF(K16&lt;45,"35-44",IF(K16&lt;55,"45-54","55+"))))</x:f>
        <x:v>35-44</x:v>
      </x:c>
      <x:c r="M16" s="15" t="n">
        <x:v>43603.71367146991</x:v>
      </x:c>
      <x:c r="N16" t="n">
        <x:f>(YEAR(DATE(2025,12,31))-YEAR(M16))*12+MONTH(DATE(2025,12,31))-MONTH(M16)</x:f>
        <x:v>79</x:v>
      </x:c>
      <x:c r="O16" t="str">
        <x:v>ACTIVE</x:v>
      </x:c>
      <x:c r="P16" t="str">
        <x:v>INDEPENDENT_CONTRACTOR</x:v>
      </x:c>
      <x:c r="Q16" t="str">
        <x:v>CAR</x:v>
      </x:c>
      <x:c r="R16" t="str">
        <x:v>LUNCH</x:v>
      </x:c>
      <x:c r="S16" t="n">
        <x:v>13</x:v>
      </x:c>
      <x:c r="T16" t="str">
        <x:v>CLEARED</x:v>
      </x:c>
      <x:c r="U16" t="str">
        <x:v>VALID</x:v>
      </x:c>
      <x:c r="V16" s="16" t="n">
        <x:v>0.8543</x:v>
      </x:c>
      <x:c r="W16" t="str">
        <x:v>Spanish</x:v>
      </x:c>
      <x:c r="X16" t="str">
        <x:v>English</x:v>
      </x:c>
      <x:c r="Y16" t="n">
        <x:v>1941</x:v>
      </x:c>
      <x:c r="Z16" s="17" t="n">
        <x:v>4.86</x:v>
      </x:c>
      <x:c r="AA16" s="16" t="n">
        <x:v>0.7239</x:v>
      </x:c>
      <x:c r="AB16" s="16" t="n">
        <x:v>0.9521</x:v>
      </x:c>
      <x:c r="AC16" s="16" t="n">
        <x:v>0.829</x:v>
      </x:c>
      <x:c r="AD16" t="n">
        <x:v>0</x:v>
      </x:c>
      <x:c r="AE16" t="str">
        <x:f>IF(O16&lt;&gt;"ACTIVE","NOT_RATED",IF(AND(Z16&gt;=4.8,AB16&gt;=0.97,AC16&gt;=0.93,AD16=0),"ELITE",IF(AND(Z16&gt;=4.6,AB16&gt;=0.94,AC16&gt;=0.88),"HIGH_PERFORMER",IF(OR(Z16&lt;4.2,AB16&lt;0.85,AD16&gt;=2),"AT_RISK","STANDARD"))))</x:f>
        <x:v>STANDARD</x:v>
      </x:c>
      <x:c r="AF16" s="15" t="n">
        <x:v>46017</x:v>
      </x:c>
      <x:c r="AG16" t="str">
        <x:v>VERIFIED</x:v>
      </x:c>
      <x:c r="AH16" t="str">
        <x:v>COMPLETE</x:v>
      </x:c>
      <x:c r="AI16" t="str">
        <x:v>Mia White</x:v>
      </x:c>
      <x:c r="AJ16" t="str">
        <x:v>FRIEND</x:v>
      </x:c>
      <x:c r="AK16" t="str">
        <x:v>+1 (305) 555-0121</x:v>
      </x:c>
    </x:row>
    <x:row r="17" ht="18" customHeight="1">
      <x:c r="A17" t="str">
        <x:v>DHR-00016</x:v>
      </x:c>
      <x:c r="B17" t="str">
        <x:v>Alex Thomas</x:v>
      </x:c>
      <x:c r="C17" t="str">
        <x:v>https://api.dicebear.com/9.x/adventurer/png?seed=DHR-00016-Alex%20Thomas&amp;size=256&amp;radius=50&amp;backgroundColor=b6e3f4,c0aede,d1d4f9,ffd5dc,ffdfbf</x:v>
      </x:c>
      <x:c r="D17" t="str">
        <x:v>alex.thomas.016@example.com</x:v>
      </x:c>
      <x:c r="E17" t="str">
        <x:v>+1 (206) 555-0115</x:v>
      </x:c>
      <x:c r="F17" t="str">
        <x:v>Seattle, WA</x:v>
      </x:c>
      <x:c r="G17" t="str">
        <x:v>Seattle</x:v>
      </x:c>
      <x:c r="H17" t="str">
        <x:v>WA</x:v>
      </x:c>
      <x:c r="I17" s="18" t="str">
        <x:v>98101</x:v>
      </x:c>
      <x:c r="J17" s="15" t="n">
        <x:v>36022.593859016204</x:v>
      </x:c>
      <x:c r="K17" t="n">
        <x:f>INT((DATE(2025,12,31)-J17)/365.25)</x:f>
        <x:v>27</x:v>
      </x:c>
      <x:c r="L17" t="str">
        <x:f>IF(K17&lt;25,"18-24",IF(K17&lt;35,"25-34",IF(K17&lt;45,"35-44",IF(K17&lt;55,"45-54","55+"))))</x:f>
        <x:v>25-34</x:v>
      </x:c>
      <x:c r="M17" s="15" t="n">
        <x:v>44765.96528523148</x:v>
      </x:c>
      <x:c r="N17" t="n">
        <x:f>(YEAR(DATE(2025,12,31))-YEAR(M17))*12+MONTH(DATE(2025,12,31))-MONTH(M17)</x:f>
        <x:v>41</x:v>
      </x:c>
      <x:c r="O17" t="str">
        <x:v>ACTIVE</x:v>
      </x:c>
      <x:c r="P17" t="str">
        <x:v>INDEPENDENT_CONTRACTOR</x:v>
      </x:c>
      <x:c r="Q17" t="str">
        <x:v>CAR</x:v>
      </x:c>
      <x:c r="R17" t="str">
        <x:v>WEEKENDS</x:v>
      </x:c>
      <x:c r="S17" t="n">
        <x:v>37</x:v>
      </x:c>
      <x:c r="T17" t="str">
        <x:v>CLEARED</x:v>
      </x:c>
      <x:c r="U17" t="str">
        <x:v>VALID</x:v>
      </x:c>
      <x:c r="V17" s="16" t="n">
        <x:v>0.9614</x:v>
      </x:c>
      <x:c r="W17" t="str">
        <x:v>English</x:v>
      </x:c>
      <x:c r="X17"/>
      <x:c r="Y17" t="n">
        <x:v>4811</x:v>
      </x:c>
      <x:c r="Z17" s="17" t="n">
        <x:v>4.79</x:v>
      </x:c>
      <x:c r="AA17" s="16" t="n">
        <x:v>0.6944</x:v>
      </x:c>
      <x:c r="AB17" s="16" t="n">
        <x:v>0.9726</x:v>
      </x:c>
      <x:c r="AC17" s="16" t="n">
        <x:v>0.9231</x:v>
      </x:c>
      <x:c r="AD17" t="n">
        <x:v>0</x:v>
      </x:c>
      <x:c r="AE17" t="str">
        <x:f>IF(O17&lt;&gt;"ACTIVE","NOT_RATED",IF(AND(Z17&gt;=4.8,AB17&gt;=0.97,AC17&gt;=0.93,AD17=0),"ELITE",IF(AND(Z17&gt;=4.6,AB17&gt;=0.94,AC17&gt;=0.88),"HIGH_PERFORMER",IF(OR(Z17&lt;4.2,AB17&lt;0.85,AD17&gt;=2),"AT_RISK","STANDARD"))))</x:f>
        <x:v>HIGH_PERFORMER</x:v>
      </x:c>
      <x:c r="AF17" s="15" t="n">
        <x:v>46019</x:v>
      </x:c>
      <x:c r="AG17" t="str">
        <x:v>VERIFIED</x:v>
      </x:c>
      <x:c r="AH17" t="str">
        <x:v>COMPLETE</x:v>
      </x:c>
      <x:c r="AI17" t="str">
        <x:v>Olivia Jackson</x:v>
      </x:c>
      <x:c r="AJ17" t="str">
        <x:v>SPOUSE_PARTNER</x:v>
      </x:c>
      <x:c r="AK17" t="str">
        <x:v>+1 (206) 555-0128</x:v>
      </x:c>
    </x:row>
    <x:row r="18" ht="18" customHeight="1">
      <x:c r="A18" t="str">
        <x:v>DHR-00017</x:v>
      </x:c>
      <x:c r="B18" t="str">
        <x:v>Alex Thompson</x:v>
      </x:c>
      <x:c r="C18" t="str">
        <x:v>https://api.dicebear.com/9.x/adventurer/png?seed=DHR-00017-Alex%20Thompson&amp;size=256&amp;radius=50&amp;backgroundColor=b6e3f4,c0aede,d1d4f9,ffd5dc,ffdfbf</x:v>
      </x:c>
      <x:c r="D18" t="str">
        <x:v>alex.thompson.017@example.com</x:v>
      </x:c>
      <x:c r="E18" t="str">
        <x:v>+1 (213) 555-0116</x:v>
      </x:c>
      <x:c r="F18" t="str">
        <x:v>Los Angeles, CA</x:v>
      </x:c>
      <x:c r="G18" t="str">
        <x:v>Los Angeles</x:v>
      </x:c>
      <x:c r="H18" t="str">
        <x:v>CA</x:v>
      </x:c>
      <x:c r="I18" s="18" t="str">
        <x:v>90012</x:v>
      </x:c>
      <x:c r="J18" s="15" t="n">
        <x:v>27765.427233402777</x:v>
      </x:c>
      <x:c r="K18" t="n">
        <x:f>INT((DATE(2025,12,31)-J18)/365.25)</x:f>
        <x:v>49</x:v>
      </x:c>
      <x:c r="L18" t="str">
        <x:f>IF(K18&lt;25,"18-24",IF(K18&lt;35,"25-34",IF(K18&lt;45,"35-44",IF(K18&lt;55,"45-54","55+"))))</x:f>
        <x:v>45-54</x:v>
      </x:c>
      <x:c r="M18" s="15" t="n">
        <x:v>44863.06356741898</x:v>
      </x:c>
      <x:c r="N18" t="n">
        <x:f>(YEAR(DATE(2025,12,31))-YEAR(M18))*12+MONTH(DATE(2025,12,31))-MONTH(M18)</x:f>
        <x:v>38</x:v>
      </x:c>
      <x:c r="O18" t="str">
        <x:v>ACTIVE</x:v>
      </x:c>
      <x:c r="P18" t="str">
        <x:v>INDEPENDENT_CONTRACTOR</x:v>
      </x:c>
      <x:c r="Q18" t="str">
        <x:v>E_BIKE</x:v>
      </x:c>
      <x:c r="R18" t="str">
        <x:v>DINNER</x:v>
      </x:c>
      <x:c r="S18" t="n">
        <x:v>23</x:v>
      </x:c>
      <x:c r="T18" t="str">
        <x:v>CLEARED</x:v>
      </x:c>
      <x:c r="U18" t="str">
        <x:v>NOT_REQUIRED</x:v>
      </x:c>
      <x:c r="V18" s="16" t="n">
        <x:v>0.9853</x:v>
      </x:c>
      <x:c r="W18" t="str">
        <x:v>English</x:v>
      </x:c>
      <x:c r="X18" t="str">
        <x:v>Spanish</x:v>
      </x:c>
      <x:c r="Y18" t="n">
        <x:v>1877</x:v>
      </x:c>
      <x:c r="Z18" s="17" t="n">
        <x:v>4.97</x:v>
      </x:c>
      <x:c r="AA18" s="16" t="n">
        <x:v>0.8144</x:v>
      </x:c>
      <x:c r="AB18" s="16" t="n">
        <x:v>0.9716</x:v>
      </x:c>
      <x:c r="AC18" s="16" t="n">
        <x:v>0.8614</x:v>
      </x:c>
      <x:c r="AD18" t="n">
        <x:v>0</x:v>
      </x:c>
      <x:c r="AE18" t="str">
        <x:f>IF(O18&lt;&gt;"ACTIVE","NOT_RATED",IF(AND(Z18&gt;=4.8,AB18&gt;=0.97,AC18&gt;=0.93,AD18=0),"ELITE",IF(AND(Z18&gt;=4.6,AB18&gt;=0.94,AC18&gt;=0.88),"HIGH_PERFORMER",IF(OR(Z18&lt;4.2,AB18&lt;0.85,AD18&gt;=2),"AT_RISK","STANDARD"))))</x:f>
        <x:v>STANDARD</x:v>
      </x:c>
      <x:c r="AF18" s="15" t="n">
        <x:v>46010</x:v>
      </x:c>
      <x:c r="AG18" t="str">
        <x:v>VERIFIED</x:v>
      </x:c>
      <x:c r="AH18" t="str">
        <x:v>COMPLETE</x:v>
      </x:c>
      <x:c r="AI18" t="str">
        <x:v>Liam White</x:v>
      </x:c>
      <x:c r="AJ18" t="str">
        <x:v>SIBLING</x:v>
      </x:c>
      <x:c r="AK18" t="str">
        <x:v>+1 (213) 555-0135</x:v>
      </x:c>
    </x:row>
    <x:row r="19" ht="18" customHeight="1">
      <x:c r="A19" t="str">
        <x:v>DHR-00018</x:v>
      </x:c>
      <x:c r="B19" t="str">
        <x:v>Alex Walker</x:v>
      </x:c>
      <x:c r="C19" t="str">
        <x:v>https://api.dicebear.com/9.x/adventurer/png?seed=DHR-00018-Alex%20Walker&amp;size=256&amp;radius=50&amp;backgroundColor=b6e3f4,c0aede,d1d4f9,ffd5dc,ffdfbf</x:v>
      </x:c>
      <x:c r="D19" t="str">
        <x:v>alex.walker.018@example.com</x:v>
      </x:c>
      <x:c r="E19" t="str">
        <x:v>+1 (303) 555-0117</x:v>
      </x:c>
      <x:c r="F19" t="str">
        <x:v>Denver, CO</x:v>
      </x:c>
      <x:c r="G19" t="str">
        <x:v>Denver</x:v>
      </x:c>
      <x:c r="H19" t="str">
        <x:v>CO</x:v>
      </x:c>
      <x:c r="I19" s="18" t="str">
        <x:v>80202</x:v>
      </x:c>
      <x:c r="J19" s="15" t="n">
        <x:v>30015.417189791668</x:v>
      </x:c>
      <x:c r="K19" t="n">
        <x:f>INT((DATE(2025,12,31)-J19)/365.25)</x:f>
        <x:v>43</x:v>
      </x:c>
      <x:c r="L19" t="str">
        <x:f>IF(K19&lt;25,"18-24",IF(K19&lt;35,"25-34",IF(K19&lt;45,"35-44",IF(K19&lt;55,"45-54","55+"))))</x:f>
        <x:v>35-44</x:v>
      </x:c>
      <x:c r="M19" s="15" t="n">
        <x:v>44519.657280011575</x:v>
      </x:c>
      <x:c r="N19" t="n">
        <x:f>(YEAR(DATE(2025,12,31))-YEAR(M19))*12+MONTH(DATE(2025,12,31))-MONTH(M19)</x:f>
        <x:v>49</x:v>
      </x:c>
      <x:c r="O19" t="str">
        <x:v>ACTIVE</x:v>
      </x:c>
      <x:c r="P19" t="str">
        <x:v>INDEPENDENT_CONTRACTOR</x:v>
      </x:c>
      <x:c r="Q19" t="str">
        <x:v>CAR</x:v>
      </x:c>
      <x:c r="R19" t="str">
        <x:v>LUNCH</x:v>
      </x:c>
      <x:c r="S19" t="n">
        <x:v>18</x:v>
      </x:c>
      <x:c r="T19" t="str">
        <x:v>PENDING</x:v>
      </x:c>
      <x:c r="U19" t="str">
        <x:v>VALID</x:v>
      </x:c>
      <x:c r="V19" s="16" t="n">
        <x:v>0.9392</x:v>
      </x:c>
      <x:c r="W19" t="str">
        <x:v>English</x:v>
      </x:c>
      <x:c r="X19"/>
      <x:c r="Y19" t="n">
        <x:v>2272</x:v>
      </x:c>
      <x:c r="Z19" s="17" t="n">
        <x:v>4.25</x:v>
      </x:c>
      <x:c r="AA19" s="16" t="n">
        <x:v>0.6227</x:v>
      </x:c>
      <x:c r="AB19" s="16" t="n">
        <x:v>0.998</x:v>
      </x:c>
      <x:c r="AC19" s="16" t="n">
        <x:v>0.965</x:v>
      </x:c>
      <x:c r="AD19" t="n">
        <x:v>0</x:v>
      </x:c>
      <x:c r="AE19" t="str">
        <x:f>IF(O19&lt;&gt;"ACTIVE","NOT_RATED",IF(AND(Z19&gt;=4.8,AB19&gt;=0.97,AC19&gt;=0.93,AD19=0),"ELITE",IF(AND(Z19&gt;=4.6,AB19&gt;=0.94,AC19&gt;=0.88),"HIGH_PERFORMER",IF(OR(Z19&lt;4.2,AB19&lt;0.85,AD19&gt;=2),"AT_RISK","STANDARD"))))</x:f>
        <x:v>STANDARD</x:v>
      </x:c>
      <x:c r="AF19" s="15" t="n">
        <x:v>46016</x:v>
      </x:c>
      <x:c r="AG19" t="str">
        <x:v>VERIFIED</x:v>
      </x:c>
      <x:c r="AH19" t="str">
        <x:v>COMPLETE</x:v>
      </x:c>
      <x:c r="AI19" t="str">
        <x:v>Sam Anderson</x:v>
      </x:c>
      <x:c r="AJ19" t="str">
        <x:v>PARENT</x:v>
      </x:c>
      <x:c r="AK19" t="str">
        <x:v>+1 (303) 555-0142</x:v>
      </x:c>
    </x:row>
    <x:row r="20" ht="18" customHeight="1">
      <x:c r="A20" t="str">
        <x:v>DHR-00019</x:v>
      </x:c>
      <x:c r="B20" t="str">
        <x:v>Alex White</x:v>
      </x:c>
      <x:c r="C20" t="str">
        <x:v>https://api.dicebear.com/9.x/adventurer/png?seed=DHR-00019-Alex%20White&amp;size=256&amp;radius=50&amp;backgroundColor=b6e3f4,c0aede,d1d4f9,ffd5dc,ffdfbf</x:v>
      </x:c>
      <x:c r="D20" t="str">
        <x:v>alex.white.019@example.com</x:v>
      </x:c>
      <x:c r="E20" t="str">
        <x:v>+1 (303) 555-0118</x:v>
      </x:c>
      <x:c r="F20" t="str">
        <x:v>Denver, CO</x:v>
      </x:c>
      <x:c r="G20" t="str">
        <x:v>Denver</x:v>
      </x:c>
      <x:c r="H20" t="str">
        <x:v>CO</x:v>
      </x:c>
      <x:c r="I20" s="18" t="str">
        <x:v>80202</x:v>
      </x:c>
      <x:c r="J20" s="15" t="n">
        <x:v>37680.302398402775</x:v>
      </x:c>
      <x:c r="K20" t="n">
        <x:f>INT((DATE(2025,12,31)-J20)/365.25)</x:f>
        <x:v>22</x:v>
      </x:c>
      <x:c r="L20" t="str">
        <x:f>IF(K20&lt;25,"18-24",IF(K20&lt;35,"25-34",IF(K20&lt;45,"35-44",IF(K20&lt;55,"45-54","55+"))))</x:f>
        <x:v>18-24</x:v>
      </x:c>
      <x:c r="M20" s="15" t="n">
        <x:v>45772.916528483795</x:v>
      </x:c>
      <x:c r="N20" t="n">
        <x:f>(YEAR(DATE(2025,12,31))-YEAR(M20))*12+MONTH(DATE(2025,12,31))-MONTH(M20)</x:f>
        <x:v>8</x:v>
      </x:c>
      <x:c r="O20" t="str">
        <x:v>PAUSED</x:v>
      </x:c>
      <x:c r="P20" t="str">
        <x:v>INDEPENDENT_CONTRACTOR</x:v>
      </x:c>
      <x:c r="Q20" t="str">
        <x:v>CAR</x:v>
      </x:c>
      <x:c r="R20" t="str">
        <x:v>DINNER</x:v>
      </x:c>
      <x:c r="S20" t="n">
        <x:v>43</x:v>
      </x:c>
      <x:c r="T20" t="str">
        <x:v>CLEARED</x:v>
      </x:c>
      <x:c r="U20" t="str">
        <x:v>VALID</x:v>
      </x:c>
      <x:c r="V20" s="16" t="n">
        <x:v>0.9034</x:v>
      </x:c>
      <x:c r="W20" t="str">
        <x:v>English</x:v>
      </x:c>
      <x:c r="X20" t="str">
        <x:v>Portuguese</x:v>
      </x:c>
      <x:c r="Y20" t="n">
        <x:v>1078</x:v>
      </x:c>
      <x:c r="Z20" s="17" t="n">
        <x:v>4.68</x:v>
      </x:c>
      <x:c r="AA20" s="16" t="n">
        <x:v>0.7055</x:v>
      </x:c>
      <x:c r="AB20" s="16" t="n">
        <x:v>0.8912</x:v>
      </x:c>
      <x:c r="AC20" s="16" t="n">
        <x:v>0.8798</x:v>
      </x:c>
      <x:c r="AD20" t="n">
        <x:v>0</x:v>
      </x:c>
      <x:c r="AE20" t="str">
        <x:f>IF(O20&lt;&gt;"ACTIVE","NOT_RATED",IF(AND(Z20&gt;=4.8,AB20&gt;=0.97,AC20&gt;=0.93,AD20=0),"ELITE",IF(AND(Z20&gt;=4.6,AB20&gt;=0.94,AC20&gt;=0.88),"HIGH_PERFORMER",IF(OR(Z20&lt;4.2,AB20&lt;0.85,AD20&gt;=2),"AT_RISK","STANDARD"))))</x:f>
        <x:v>NOT_RATED</x:v>
      </x:c>
      <x:c r="AF20" s="15" t="n">
        <x:v>45990</x:v>
      </x:c>
      <x:c r="AG20" t="str">
        <x:v>VERIFIED</x:v>
      </x:c>
      <x:c r="AH20" t="str">
        <x:v>COMPLETE</x:v>
      </x:c>
      <x:c r="AI20" t="str">
        <x:v>Reese Davis</x:v>
      </x:c>
      <x:c r="AJ20" t="str">
        <x:v>OTHER</x:v>
      </x:c>
      <x:c r="AK20" t="str">
        <x:v>+1 (303) 555-0149</x:v>
      </x:c>
    </x:row>
    <x:row r="21" ht="18" customHeight="1">
      <x:c r="A21" t="str">
        <x:v>DHR-00020</x:v>
      </x:c>
      <x:c r="B21" t="str">
        <x:v>Alex Williams</x:v>
      </x:c>
      <x:c r="C21" t="str">
        <x:v>https://api.dicebear.com/9.x/adventurer/png?seed=DHR-00020-Alex%20Williams&amp;size=256&amp;radius=50&amp;backgroundColor=b6e3f4,c0aede,d1d4f9,ffd5dc,ffdfbf</x:v>
      </x:c>
      <x:c r="D21" t="str">
        <x:v>alex.williams.020@example.com</x:v>
      </x:c>
      <x:c r="E21" t="str">
        <x:v>+1 (303) 555-0119</x:v>
      </x:c>
      <x:c r="F21" t="str">
        <x:v>Denver, CO</x:v>
      </x:c>
      <x:c r="G21" t="str">
        <x:v>Denver</x:v>
      </x:c>
      <x:c r="H21" t="str">
        <x:v>CO</x:v>
      </x:c>
      <x:c r="I21" s="18" t="str">
        <x:v>80202</x:v>
      </x:c>
      <x:c r="J21" s="15" t="n">
        <x:v>38072.624821377314</x:v>
      </x:c>
      <x:c r="K21" t="n">
        <x:f>INT((DATE(2025,12,31)-J21)/365.25)</x:f>
        <x:v>21</x:v>
      </x:c>
      <x:c r="L21" t="str">
        <x:f>IF(K21&lt;25,"18-24",IF(K21&lt;35,"25-34",IF(K21&lt;45,"35-44",IF(K21&lt;55,"45-54","55+"))))</x:f>
        <x:v>18-24</x:v>
      </x:c>
      <x:c r="M21" s="15" t="n">
        <x:v>44710.735690520836</x:v>
      </x:c>
      <x:c r="N21" t="n">
        <x:f>(YEAR(DATE(2025,12,31))-YEAR(M21))*12+MONTH(DATE(2025,12,31))-MONTH(M21)</x:f>
        <x:v>43</x:v>
      </x:c>
      <x:c r="O21" t="str">
        <x:v>PAUSED</x:v>
      </x:c>
      <x:c r="P21" t="str">
        <x:v>INDEPENDENT_CONTRACTOR</x:v>
      </x:c>
      <x:c r="Q21" t="str">
        <x:v>CAR</x:v>
      </x:c>
      <x:c r="R21" t="str">
        <x:v>LUNCH</x:v>
      </x:c>
      <x:c r="S21" t="n">
        <x:v>19</x:v>
      </x:c>
      <x:c r="T21" t="str">
        <x:v>PENDING</x:v>
      </x:c>
      <x:c r="U21" t="str">
        <x:v>VALID</x:v>
      </x:c>
      <x:c r="V21" s="16" t="n">
        <x:v>0.8113</x:v>
      </x:c>
      <x:c r="W21" t="str">
        <x:v>English</x:v>
      </x:c>
      <x:c r="X21"/>
      <x:c r="Y21" t="n">
        <x:v>2136</x:v>
      </x:c>
      <x:c r="Z21" s="17" t="n">
        <x:v>4.25</x:v>
      </x:c>
      <x:c r="AA21" s="16" t="n">
        <x:v>0.8195</x:v>
      </x:c>
      <x:c r="AB21" s="16" t="n">
        <x:v>0.8842</x:v>
      </x:c>
      <x:c r="AC21" s="16" t="n">
        <x:v>0.9819</x:v>
      </x:c>
      <x:c r="AD21" t="n">
        <x:v>1</x:v>
      </x:c>
      <x:c r="AE21" t="str">
        <x:f>IF(O21&lt;&gt;"ACTIVE","NOT_RATED",IF(AND(Z21&gt;=4.8,AB21&gt;=0.97,AC21&gt;=0.93,AD21=0),"ELITE",IF(AND(Z21&gt;=4.6,AB21&gt;=0.94,AC21&gt;=0.88),"HIGH_PERFORMER",IF(OR(Z21&lt;4.2,AB21&lt;0.85,AD21&gt;=2),"AT_RISK","STANDARD"))))</x:f>
        <x:v>NOT_RATED</x:v>
      </x:c>
      <x:c r="AF21" s="15" t="n">
        <x:v>45958</x:v>
      </x:c>
      <x:c r="AG21" t="str">
        <x:v>VERIFIED</x:v>
      </x:c>
      <x:c r="AH21" t="str">
        <x:v>COMPLETE</x:v>
      </x:c>
      <x:c r="AI21" t="str">
        <x:v>Morgan Anderson</x:v>
      </x:c>
      <x:c r="AJ21" t="str">
        <x:v>OTHER</x:v>
      </x:c>
      <x:c r="AK21" t="str">
        <x:v>+1 (303) 555-0156</x:v>
      </x:c>
    </x:row>
    <x:row r="22" ht="18" customHeight="1">
      <x:c r="A22" t="str">
        <x:v>DHR-00021</x:v>
      </x:c>
      <x:c r="B22" t="str">
        <x:v>Alex Wilson</x:v>
      </x:c>
      <x:c r="C22" t="str">
        <x:v>https://api.dicebear.com/9.x/adventurer/png?seed=DHR-00021-Alex%20Wilson&amp;size=256&amp;radius=50&amp;backgroundColor=b6e3f4,c0aede,d1d4f9,ffd5dc,ffdfbf</x:v>
      </x:c>
      <x:c r="D22" t="str">
        <x:v>alex.wilson.021@example.com</x:v>
      </x:c>
      <x:c r="E22" t="str">
        <x:v>+1 (415) 555-0120</x:v>
      </x:c>
      <x:c r="F22" t="str">
        <x:v>San Francisco, CA</x:v>
      </x:c>
      <x:c r="G22" t="str">
        <x:v>San Francisco</x:v>
      </x:c>
      <x:c r="H22" t="str">
        <x:v>CA</x:v>
      </x:c>
      <x:c r="I22" s="18" t="str">
        <x:v>94103</x:v>
      </x:c>
      <x:c r="J22" s="15" t="n">
        <x:v>31729.90863054398</x:v>
      </x:c>
      <x:c r="K22" t="n">
        <x:f>INT((DATE(2025,12,31)-J22)/365.25)</x:f>
        <x:v>39</x:v>
      </x:c>
      <x:c r="L22" t="str">
        <x:f>IF(K22&lt;25,"18-24",IF(K22&lt;35,"25-34",IF(K22&lt;45,"35-44",IF(K22&lt;55,"45-54","55+"))))</x:f>
        <x:v>35-44</x:v>
      </x:c>
      <x:c r="M22" s="15" t="n">
        <x:v>43703.233090243055</x:v>
      </x:c>
      <x:c r="N22" t="n">
        <x:f>(YEAR(DATE(2025,12,31))-YEAR(M22))*12+MONTH(DATE(2025,12,31))-MONTH(M22)</x:f>
        <x:v>76</x:v>
      </x:c>
      <x:c r="O22" t="str">
        <x:v>OFFBOARDED</x:v>
      </x:c>
      <x:c r="P22" t="str">
        <x:v>INDEPENDENT_CONTRACTOR</x:v>
      </x:c>
      <x:c r="Q22" t="str">
        <x:v>CAR</x:v>
      </x:c>
      <x:c r="R22" t="str">
        <x:v>FLEXIBLE</x:v>
      </x:c>
      <x:c r="S22" t="n">
        <x:v>39</x:v>
      </x:c>
      <x:c r="T22" t="str">
        <x:v>CLEARED</x:v>
      </x:c>
      <x:c r="U22" t="str">
        <x:v>SUSPENDED</x:v>
      </x:c>
      <x:c r="V22" s="16" t="n">
        <x:v>0.8412</x:v>
      </x:c>
      <x:c r="W22" t="str">
        <x:v>English</x:v>
      </x:c>
      <x:c r="X22"/>
      <x:c r="Y22" t="n">
        <x:v>9116</x:v>
      </x:c>
      <x:c r="Z22" s="17" t="n">
        <x:v>4.47</x:v>
      </x:c>
      <x:c r="AA22" s="16" t="n">
        <x:v>0.99</x:v>
      </x:c>
      <x:c r="AB22" s="16" t="n">
        <x:v>0.9797</x:v>
      </x:c>
      <x:c r="AC22" s="16" t="n">
        <x:v>0.9283</x:v>
      </x:c>
      <x:c r="AD22" t="n">
        <x:v>0</x:v>
      </x:c>
      <x:c r="AE22" t="str">
        <x:f>IF(O22&lt;&gt;"ACTIVE","NOT_RATED",IF(AND(Z22&gt;=4.8,AB22&gt;=0.97,AC22&gt;=0.93,AD22=0),"ELITE",IF(AND(Z22&gt;=4.6,AB22&gt;=0.94,AC22&gt;=0.88),"HIGH_PERFORMER",IF(OR(Z22&lt;4.2,AB22&lt;0.85,AD22&gt;=2),"AT_RISK","STANDARD"))))</x:f>
        <x:v>NOT_RATED</x:v>
      </x:c>
      <x:c r="AF22" s="15" t="n">
        <x:v>45442</x:v>
      </x:c>
      <x:c r="AG22" t="str">
        <x:v>VERIFIED</x:v>
      </x:c>
      <x:c r="AH22" t="str">
        <x:v>PENDING</x:v>
      </x:c>
      <x:c r="AI22" t="str">
        <x:v>Parker Thomas</x:v>
      </x:c>
      <x:c r="AJ22" t="str">
        <x:v>PARENT</x:v>
      </x:c>
      <x:c r="AK22" t="str">
        <x:v>+1 (415) 555-0163</x:v>
      </x:c>
    </x:row>
    <x:row r="23" ht="18" customHeight="1">
      <x:c r="A23" t="str">
        <x:v>DHR-00022</x:v>
      </x:c>
      <x:c r="B23" t="str">
        <x:v>Alex Young</x:v>
      </x:c>
      <x:c r="C23" t="str">
        <x:v>https://api.dicebear.com/9.x/adventurer/png?seed=DHR-00022-Alex%20Young&amp;size=256&amp;radius=50&amp;backgroundColor=b6e3f4,c0aede,d1d4f9,ffd5dc,ffdfbf</x:v>
      </x:c>
      <x:c r="D23" t="str">
        <x:v>alex.young.022@example.com</x:v>
      </x:c>
      <x:c r="E23" t="str">
        <x:v>+1 (312) 555-0121</x:v>
      </x:c>
      <x:c r="F23" t="str">
        <x:v>Chicago, IL</x:v>
      </x:c>
      <x:c r="G23" t="str">
        <x:v>Chicago</x:v>
      </x:c>
      <x:c r="H23" t="str">
        <x:v>IL</x:v>
      </x:c>
      <x:c r="I23" s="18" t="str">
        <x:v>60601</x:v>
      </x:c>
      <x:c r="J23" s="15" t="n">
        <x:v>28490.390478090278</x:v>
      </x:c>
      <x:c r="K23" t="n">
        <x:f>INT((DATE(2025,12,31)-J23)/365.25)</x:f>
        <x:v>47</x:v>
      </x:c>
      <x:c r="L23" t="str">
        <x:f>IF(K23&lt;25,"18-24",IF(K23&lt;35,"25-34",IF(K23&lt;45,"35-44",IF(K23&lt;55,"45-54","55+"))))</x:f>
        <x:v>45-54</x:v>
      </x:c>
      <x:c r="M23" s="15" t="n">
        <x:v>45669.00589032407</x:v>
      </x:c>
      <x:c r="N23" t="n">
        <x:f>(YEAR(DATE(2025,12,31))-YEAR(M23))*12+MONTH(DATE(2025,12,31))-MONTH(M23)</x:f>
        <x:v>11</x:v>
      </x:c>
      <x:c r="O23" t="str">
        <x:v>ACTIVE</x:v>
      </x:c>
      <x:c r="P23" t="str">
        <x:v>INDEPENDENT_CONTRACTOR</x:v>
      </x:c>
      <x:c r="Q23" t="str">
        <x:v>CAR</x:v>
      </x:c>
      <x:c r="R23" t="str">
        <x:v>WEEKENDS</x:v>
      </x:c>
      <x:c r="S23" t="n">
        <x:v>11</x:v>
      </x:c>
      <x:c r="T23" t="str">
        <x:v>CLEARED</x:v>
      </x:c>
      <x:c r="U23" t="str">
        <x:v>VALID</x:v>
      </x:c>
      <x:c r="V23" s="16" t="n">
        <x:v>0.8262</x:v>
      </x:c>
      <x:c r="W23" t="str">
        <x:v>Spanish</x:v>
      </x:c>
      <x:c r="X23" t="str">
        <x:v>Arabic</x:v>
      </x:c>
      <x:c r="Y23" t="n">
        <x:v>456</x:v>
      </x:c>
      <x:c r="Z23" s="17" t="n">
        <x:v>4.74</x:v>
      </x:c>
      <x:c r="AA23" s="16" t="n">
        <x:v>0.6135</x:v>
      </x:c>
      <x:c r="AB23" s="16" t="n">
        <x:v>0.9614</x:v>
      </x:c>
      <x:c r="AC23" s="16" t="n">
        <x:v>0.9461</x:v>
      </x:c>
      <x:c r="AD23" t="n">
        <x:v>0</x:v>
      </x:c>
      <x:c r="AE23" t="str">
        <x:f>IF(O23&lt;&gt;"ACTIVE","NOT_RATED",IF(AND(Z23&gt;=4.8,AB23&gt;=0.97,AC23&gt;=0.93,AD23=0),"ELITE",IF(AND(Z23&gt;=4.6,AB23&gt;=0.94,AC23&gt;=0.88),"HIGH_PERFORMER",IF(OR(Z23&lt;4.2,AB23&lt;0.85,AD23&gt;=2),"AT_RISK","STANDARD"))))</x:f>
        <x:v>HIGH_PERFORMER</x:v>
      </x:c>
      <x:c r="AF23" s="15" t="n">
        <x:v>46019</x:v>
      </x:c>
      <x:c r="AG23" t="str">
        <x:v>VERIFIED</x:v>
      </x:c>
      <x:c r="AH23" t="str">
        <x:v>COMPLETE</x:v>
      </x:c>
      <x:c r="AI23" t="str">
        <x:v>Jordan Moore</x:v>
      </x:c>
      <x:c r="AJ23" t="str">
        <x:v>SPOUSE_PARTNER</x:v>
      </x:c>
      <x:c r="AK23" t="str">
        <x:v>+1 (312) 555-0170</x:v>
      </x:c>
    </x:row>
    <x:row r="24" ht="18" customHeight="1">
      <x:c r="A24" t="str">
        <x:v>DHR-00023</x:v>
      </x:c>
      <x:c r="B24" t="str">
        <x:v>Ava Anderson</x:v>
      </x:c>
      <x:c r="C24" t="str">
        <x:v>https://api.dicebear.com/9.x/adventurer/png?seed=DHR-00023-Ava%20Anderson&amp;size=256&amp;radius=50&amp;backgroundColor=b6e3f4,c0aede,d1d4f9,ffd5dc,ffdfbf</x:v>
      </x:c>
      <x:c r="D24" t="str">
        <x:v>ava.anderson.023@example.com</x:v>
      </x:c>
      <x:c r="E24" t="str">
        <x:v>+1 (213) 555-0122</x:v>
      </x:c>
      <x:c r="F24" t="str">
        <x:v>Los Angeles, CA</x:v>
      </x:c>
      <x:c r="G24" t="str">
        <x:v>Los Angeles</x:v>
      </x:c>
      <x:c r="H24" t="str">
        <x:v>CA</x:v>
      </x:c>
      <x:c r="I24" s="18" t="str">
        <x:v>90012</x:v>
      </x:c>
      <x:c r="J24" s="15" t="n">
        <x:v>28181.506297025462</x:v>
      </x:c>
      <x:c r="K24" t="n">
        <x:f>INT((DATE(2025,12,31)-J24)/365.25)</x:f>
        <x:v>48</x:v>
      </x:c>
      <x:c r="L24" t="str">
        <x:f>IF(K24&lt;25,"18-24",IF(K24&lt;35,"25-34",IF(K24&lt;45,"35-44",IF(K24&lt;55,"45-54","55+"))))</x:f>
        <x:v>45-54</x:v>
      </x:c>
      <x:c r="M24" s="15" t="n">
        <x:v>43843.49277357639</x:v>
      </x:c>
      <x:c r="N24" t="n">
        <x:f>(YEAR(DATE(2025,12,31))-YEAR(M24))*12+MONTH(DATE(2025,12,31))-MONTH(M24)</x:f>
        <x:v>71</x:v>
      </x:c>
      <x:c r="O24" t="str">
        <x:v>ACTIVE</x:v>
      </x:c>
      <x:c r="P24" t="str">
        <x:v>INDEPENDENT_CONTRACTOR</x:v>
      </x:c>
      <x:c r="Q24" t="str">
        <x:v>CAR</x:v>
      </x:c>
      <x:c r="R24" t="str">
        <x:v>DINNER</x:v>
      </x:c>
      <x:c r="S24" t="n">
        <x:v>40</x:v>
      </x:c>
      <x:c r="T24" t="str">
        <x:v>CLEARED</x:v>
      </x:c>
      <x:c r="U24" t="str">
        <x:v>VALID</x:v>
      </x:c>
      <x:c r="V24" s="16" t="n">
        <x:v>0.9075</x:v>
      </x:c>
      <x:c r="W24" t="str">
        <x:v>Spanish</x:v>
      </x:c>
      <x:c r="X24" t="str">
        <x:v>English</x:v>
      </x:c>
      <x:c r="Y24" t="n">
        <x:v>8918</x:v>
      </x:c>
      <x:c r="Z24" s="17" t="n">
        <x:v>4.42</x:v>
      </x:c>
      <x:c r="AA24" s="16" t="n">
        <x:v>0.8305</x:v>
      </x:c>
      <x:c r="AB24" s="16" t="n">
        <x:v>0.9906</x:v>
      </x:c>
      <x:c r="AC24" s="16" t="n">
        <x:v>0.8311</x:v>
      </x:c>
      <x:c r="AD24" t="n">
        <x:v>0</x:v>
      </x:c>
      <x:c r="AE24" t="str">
        <x:f>IF(O24&lt;&gt;"ACTIVE","NOT_RATED",IF(AND(Z24&gt;=4.8,AB24&gt;=0.97,AC24&gt;=0.93,AD24=0),"ELITE",IF(AND(Z24&gt;=4.6,AB24&gt;=0.94,AC24&gt;=0.88),"HIGH_PERFORMER",IF(OR(Z24&lt;4.2,AB24&lt;0.85,AD24&gt;=2),"AT_RISK","STANDARD"))))</x:f>
        <x:v>STANDARD</x:v>
      </x:c>
      <x:c r="AF24" s="15" t="n">
        <x:v>46020</x:v>
      </x:c>
      <x:c r="AG24" t="str">
        <x:v>VERIFIED</x:v>
      </x:c>
      <x:c r="AH24" t="str">
        <x:v>COMPLETE</x:v>
      </x:c>
      <x:c r="AI24" t="str">
        <x:v>Taylor Lee</x:v>
      </x:c>
      <x:c r="AJ24" t="str">
        <x:v>SPOUSE_PARTNER</x:v>
      </x:c>
      <x:c r="AK24" t="str">
        <x:v>+1 (213) 555-0177</x:v>
      </x:c>
    </x:row>
    <x:row r="25" ht="18" customHeight="1">
      <x:c r="A25" t="str">
        <x:v>DHR-00024</x:v>
      </x:c>
      <x:c r="B25" t="str">
        <x:v>Ava Brown</x:v>
      </x:c>
      <x:c r="C25" t="str">
        <x:v>https://api.dicebear.com/9.x/adventurer/png?seed=DHR-00024-Ava%20Brown&amp;size=256&amp;radius=50&amp;backgroundColor=b6e3f4,c0aede,d1d4f9,ffd5dc,ffdfbf</x:v>
      </x:c>
      <x:c r="D25" t="str">
        <x:v>ava.brown.024@example.com</x:v>
      </x:c>
      <x:c r="E25" t="str">
        <x:v>+1 (904) 555-0123</x:v>
      </x:c>
      <x:c r="F25" t="str">
        <x:v>Jacksonville, FL</x:v>
      </x:c>
      <x:c r="G25" t="str">
        <x:v>Jacksonville</x:v>
      </x:c>
      <x:c r="H25" t="str">
        <x:v>FL</x:v>
      </x:c>
      <x:c r="I25" s="18" t="str">
        <x:v>32202</x:v>
      </x:c>
      <x:c r="J25" s="15" t="n">
        <x:v>26704.328216944443</x:v>
      </x:c>
      <x:c r="K25" t="n">
        <x:f>INT((DATE(2025,12,31)-J25)/365.25)</x:f>
        <x:v>52</x:v>
      </x:c>
      <x:c r="L25" t="str">
        <x:f>IF(K25&lt;25,"18-24",IF(K25&lt;35,"25-34",IF(K25&lt;45,"35-44",IF(K25&lt;55,"45-54","55+"))))</x:f>
        <x:v>45-54</x:v>
      </x:c>
      <x:c r="M25" s="15" t="n">
        <x:v>44875.575203472225</x:v>
      </x:c>
      <x:c r="N25" t="n">
        <x:f>(YEAR(DATE(2025,12,31))-YEAR(M25))*12+MONTH(DATE(2025,12,31))-MONTH(M25)</x:f>
        <x:v>37</x:v>
      </x:c>
      <x:c r="O25" t="str">
        <x:v>ACTIVE</x:v>
      </x:c>
      <x:c r="P25" t="str">
        <x:v>INDEPENDENT_CONTRACTOR</x:v>
      </x:c>
      <x:c r="Q25" t="str">
        <x:v>CAR</x:v>
      </x:c>
      <x:c r="R25" t="str">
        <x:v>FLEXIBLE</x:v>
      </x:c>
      <x:c r="S25" t="n">
        <x:v>30</x:v>
      </x:c>
      <x:c r="T25" t="str">
        <x:v>CLEARED</x:v>
      </x:c>
      <x:c r="U25" t="str">
        <x:v>EXPIRING_SOON</x:v>
      </x:c>
      <x:c r="V25" s="16" t="n">
        <x:v>0.8872</x:v>
      </x:c>
      <x:c r="W25" t="str">
        <x:v>English</x:v>
      </x:c>
      <x:c r="X25"/>
      <x:c r="Y25" t="n">
        <x:v>2953</x:v>
      </x:c>
      <x:c r="Z25" s="17" t="n">
        <x:v>4.54</x:v>
      </x:c>
      <x:c r="AA25" s="16" t="n">
        <x:v>0.9432</x:v>
      </x:c>
      <x:c r="AB25" s="16" t="n">
        <x:v>0.9525</x:v>
      </x:c>
      <x:c r="AC25" s="16" t="n">
        <x:v>0.9608</x:v>
      </x:c>
      <x:c r="AD25" t="n">
        <x:v>0</x:v>
      </x:c>
      <x:c r="AE25" t="str">
        <x:f>IF(O25&lt;&gt;"ACTIVE","NOT_RATED",IF(AND(Z25&gt;=4.8,AB25&gt;=0.97,AC25&gt;=0.93,AD25=0),"ELITE",IF(AND(Z25&gt;=4.6,AB25&gt;=0.94,AC25&gt;=0.88),"HIGH_PERFORMER",IF(OR(Z25&lt;4.2,AB25&lt;0.85,AD25&gt;=2),"AT_RISK","STANDARD"))))</x:f>
        <x:v>STANDARD</x:v>
      </x:c>
      <x:c r="AF25" s="15" t="n">
        <x:v>46012</x:v>
      </x:c>
      <x:c r="AG25" t="str">
        <x:v>VERIFIED</x:v>
      </x:c>
      <x:c r="AH25" t="str">
        <x:v>COMPLETE</x:v>
      </x:c>
      <x:c r="AI25" t="str">
        <x:v>Cameron Martinez</x:v>
      </x:c>
      <x:c r="AJ25" t="str">
        <x:v>SPOUSE_PARTNER</x:v>
      </x:c>
      <x:c r="AK25" t="str">
        <x:v>+1 (904) 555-0184</x:v>
      </x:c>
    </x:row>
    <x:row r="26" ht="18" customHeight="1">
      <x:c r="A26" t="str">
        <x:v>DHR-00025</x:v>
      </x:c>
      <x:c r="B26" t="str">
        <x:v>Ava Clark</x:v>
      </x:c>
      <x:c r="C26" t="str">
        <x:v>https://api.dicebear.com/9.x/adventurer/png?seed=DHR-00025-Ava%20Clark&amp;size=256&amp;radius=50&amp;backgroundColor=b6e3f4,c0aede,d1d4f9,ffd5dc,ffdfbf</x:v>
      </x:c>
      <x:c r="D26" t="str">
        <x:v>ava.clark.025@example.com</x:v>
      </x:c>
      <x:c r="E26" t="str">
        <x:v>+1 (704) 555-0124</x:v>
      </x:c>
      <x:c r="F26" t="str">
        <x:v>Charlotte, NC</x:v>
      </x:c>
      <x:c r="G26" t="str">
        <x:v>Charlotte</x:v>
      </x:c>
      <x:c r="H26" t="str">
        <x:v>NC</x:v>
      </x:c>
      <x:c r="I26" s="18" t="str">
        <x:v>28202</x:v>
      </x:c>
      <x:c r="J26" s="15" t="n">
        <x:v>25075.28200185185</x:v>
      </x:c>
      <x:c r="K26" t="n">
        <x:f>INT((DATE(2025,12,31)-J26)/365.25)</x:f>
        <x:v>57</x:v>
      </x:c>
      <x:c r="L26" t="str">
        <x:f>IF(K26&lt;25,"18-24",IF(K26&lt;35,"25-34",IF(K26&lt;45,"35-44",IF(K26&lt;55,"45-54","55+"))))</x:f>
        <x:v>55+</x:v>
      </x:c>
      <x:c r="M26" s="15" t="n">
        <x:v>45842.677383518516</x:v>
      </x:c>
      <x:c r="N26" t="n">
        <x:f>(YEAR(DATE(2025,12,31))-YEAR(M26))*12+MONTH(DATE(2025,12,31))-MONTH(M26)</x:f>
        <x:v>5</x:v>
      </x:c>
      <x:c r="O26" t="str">
        <x:v>ACTIVE</x:v>
      </x:c>
      <x:c r="P26" t="str">
        <x:v>INDEPENDENT_CONTRACTOR</x:v>
      </x:c>
      <x:c r="Q26" t="str">
        <x:v>CAR</x:v>
      </x:c>
      <x:c r="R26" t="str">
        <x:v>FLEXIBLE</x:v>
      </x:c>
      <x:c r="S26" t="n">
        <x:v>16</x:v>
      </x:c>
      <x:c r="T26" t="str">
        <x:v>CLEARED</x:v>
      </x:c>
      <x:c r="U26" t="str">
        <x:v>VALID</x:v>
      </x:c>
      <x:c r="V26" s="16" t="n">
        <x:v>0.8697</x:v>
      </x:c>
      <x:c r="W26" t="str">
        <x:v>English</x:v>
      </x:c>
      <x:c r="X26"/>
      <x:c r="Y26" t="n">
        <x:v>262</x:v>
      </x:c>
      <x:c r="Z26" s="17" t="n">
        <x:v>4.75</x:v>
      </x:c>
      <x:c r="AA26" s="16" t="n">
        <x:v>0.8864</x:v>
      </x:c>
      <x:c r="AB26" s="16" t="n">
        <x:v>0.9521</x:v>
      </x:c>
      <x:c r="AC26" s="16" t="n">
        <x:v>0.9544</x:v>
      </x:c>
      <x:c r="AD26" t="n">
        <x:v>1</x:v>
      </x:c>
      <x:c r="AE26" t="str">
        <x:f>IF(O26&lt;&gt;"ACTIVE","NOT_RATED",IF(AND(Z26&gt;=4.8,AB26&gt;=0.97,AC26&gt;=0.93,AD26=0),"ELITE",IF(AND(Z26&gt;=4.6,AB26&gt;=0.94,AC26&gt;=0.88),"HIGH_PERFORMER",IF(OR(Z26&lt;4.2,AB26&lt;0.85,AD26&gt;=2),"AT_RISK","STANDARD"))))</x:f>
        <x:v>HIGH_PERFORMER</x:v>
      </x:c>
      <x:c r="AF26" s="15" t="n">
        <x:v>46011</x:v>
      </x:c>
      <x:c r="AG26" t="str">
        <x:v>VERIFIED</x:v>
      </x:c>
      <x:c r="AH26" t="str">
        <x:v>COMPLETE</x:v>
      </x:c>
      <x:c r="AI26" t="str">
        <x:v>Jamie Davis</x:v>
      </x:c>
      <x:c r="AJ26" t="str">
        <x:v>SPOUSE_PARTNER</x:v>
      </x:c>
      <x:c r="AK26" t="str">
        <x:v>+1 (704) 555-0191</x:v>
      </x:c>
    </x:row>
    <x:row r="27" ht="18" customHeight="1">
      <x:c r="A27" t="str">
        <x:v>DHR-00026</x:v>
      </x:c>
      <x:c r="B27" t="str">
        <x:v>Ava Davis</x:v>
      </x:c>
      <x:c r="C27" t="str">
        <x:v>https://api.dicebear.com/9.x/adventurer/png?seed=DHR-00026-Ava%20Davis&amp;size=256&amp;radius=50&amp;backgroundColor=b6e3f4,c0aede,d1d4f9,ffd5dc,ffdfbf</x:v>
      </x:c>
      <x:c r="D27" t="str">
        <x:v>ava.davis.026@example.com</x:v>
      </x:c>
      <x:c r="E27" t="str">
        <x:v>+1 (404) 555-0125</x:v>
      </x:c>
      <x:c r="F27" t="str">
        <x:v>Atlanta, GA</x:v>
      </x:c>
      <x:c r="G27" t="str">
        <x:v>Atlanta</x:v>
      </x:c>
      <x:c r="H27" t="str">
        <x:v>GA</x:v>
      </x:c>
      <x:c r="I27" s="18" t="str">
        <x:v>30303</x:v>
      </x:c>
      <x:c r="J27" s="15" t="n">
        <x:v>31929.213496284723</x:v>
      </x:c>
      <x:c r="K27" t="n">
        <x:f>INT((DATE(2025,12,31)-J27)/365.25)</x:f>
        <x:v>38</x:v>
      </x:c>
      <x:c r="L27" t="str">
        <x:f>IF(K27&lt;25,"18-24",IF(K27&lt;35,"25-34",IF(K27&lt;45,"35-44",IF(K27&lt;55,"45-54","55+"))))</x:f>
        <x:v>35-44</x:v>
      </x:c>
      <x:c r="M27" s="15" t="n">
        <x:v>44443.4689477662</x:v>
      </x:c>
      <x:c r="N27" t="n">
        <x:f>(YEAR(DATE(2025,12,31))-YEAR(M27))*12+MONTH(DATE(2025,12,31))-MONTH(M27)</x:f>
        <x:v>51</x:v>
      </x:c>
      <x:c r="O27" t="str">
        <x:v>ACTIVE</x:v>
      </x:c>
      <x:c r="P27" t="str">
        <x:v>INDEPENDENT_CONTRACTOR</x:v>
      </x:c>
      <x:c r="Q27" t="str">
        <x:v>CAR</x:v>
      </x:c>
      <x:c r="R27" t="str">
        <x:v>LUNCH</x:v>
      </x:c>
      <x:c r="S27" t="n">
        <x:v>13</x:v>
      </x:c>
      <x:c r="T27" t="str">
        <x:v>CLEARED</x:v>
      </x:c>
      <x:c r="U27" t="str">
        <x:v>VALID</x:v>
      </x:c>
      <x:c r="V27" s="16" t="n">
        <x:v>0.8581</x:v>
      </x:c>
      <x:c r="W27" t="str">
        <x:v>English</x:v>
      </x:c>
      <x:c r="X27"/>
      <x:c r="Y27" t="n">
        <x:v>2041</x:v>
      </x:c>
      <x:c r="Z27" s="17" t="n">
        <x:v>4.42</x:v>
      </x:c>
      <x:c r="AA27" s="16" t="n">
        <x:v>0.7627</x:v>
      </x:c>
      <x:c r="AB27" s="16" t="n">
        <x:v>0.9062</x:v>
      </x:c>
      <x:c r="AC27" s="16" t="n">
        <x:v>0.9322</x:v>
      </x:c>
      <x:c r="AD27" t="n">
        <x:v>0</x:v>
      </x:c>
      <x:c r="AE27" t="str">
        <x:f>IF(O27&lt;&gt;"ACTIVE","NOT_RATED",IF(AND(Z27&gt;=4.8,AB27&gt;=0.97,AC27&gt;=0.93,AD27=0),"ELITE",IF(AND(Z27&gt;=4.6,AB27&gt;=0.94,AC27&gt;=0.88),"HIGH_PERFORMER",IF(OR(Z27&lt;4.2,AB27&lt;0.85,AD27&gt;=2),"AT_RISK","STANDARD"))))</x:f>
        <x:v>STANDARD</x:v>
      </x:c>
      <x:c r="AF27" s="15" t="n">
        <x:v>46014</x:v>
      </x:c>
      <x:c r="AG27" t="str">
        <x:v>VERIFIED</x:v>
      </x:c>
      <x:c r="AH27" t="str">
        <x:v>COMPLETE</x:v>
      </x:c>
      <x:c r="AI27" t="str">
        <x:v>Jamie Johnson</x:v>
      </x:c>
      <x:c r="AJ27" t="str">
        <x:v>SPOUSE_PARTNER</x:v>
      </x:c>
      <x:c r="AK27" t="str">
        <x:v>+1 (404) 555-0198</x:v>
      </x:c>
    </x:row>
    <x:row r="28" ht="18" customHeight="1">
      <x:c r="A28" t="str">
        <x:v>DHR-00027</x:v>
      </x:c>
      <x:c r="B28" t="str">
        <x:v>Ava Garcia</x:v>
      </x:c>
      <x:c r="C28" t="str">
        <x:v>https://api.dicebear.com/9.x/adventurer/png?seed=DHR-00027-Ava%20Garcia&amp;size=256&amp;radius=50&amp;backgroundColor=b6e3f4,c0aede,d1d4f9,ffd5dc,ffdfbf</x:v>
      </x:c>
      <x:c r="D28" t="str">
        <x:v>ava.garcia.027@example.com</x:v>
      </x:c>
      <x:c r="E28" t="str">
        <x:v>+1 (713) 555-0126</x:v>
      </x:c>
      <x:c r="F28" t="str">
        <x:v>Houston, TX</x:v>
      </x:c>
      <x:c r="G28" t="str">
        <x:v>Houston</x:v>
      </x:c>
      <x:c r="H28" t="str">
        <x:v>TX</x:v>
      </x:c>
      <x:c r="I28" s="18" t="str">
        <x:v>77002</x:v>
      </x:c>
      <x:c r="J28" s="15" t="n">
        <x:v>26801.305192361113</x:v>
      </x:c>
      <x:c r="K28" t="n">
        <x:f>INT((DATE(2025,12,31)-J28)/365.25)</x:f>
        <x:v>52</x:v>
      </x:c>
      <x:c r="L28" t="str">
        <x:f>IF(K28&lt;25,"18-24",IF(K28&lt;35,"25-34",IF(K28&lt;45,"35-44",IF(K28&lt;55,"45-54","55+"))))</x:f>
        <x:v>45-54</x:v>
      </x:c>
      <x:c r="M28" s="15" t="n">
        <x:v>44590.77439773148</x:v>
      </x:c>
      <x:c r="N28" t="n">
        <x:f>(YEAR(DATE(2025,12,31))-YEAR(M28))*12+MONTH(DATE(2025,12,31))-MONTH(M28)</x:f>
        <x:v>47</x:v>
      </x:c>
      <x:c r="O28" t="str">
        <x:v>ACTIVE</x:v>
      </x:c>
      <x:c r="P28" t="str">
        <x:v>INDEPENDENT_CONTRACTOR</x:v>
      </x:c>
      <x:c r="Q28" t="str">
        <x:v>SCOOTER</x:v>
      </x:c>
      <x:c r="R28" t="str">
        <x:v>DINNER</x:v>
      </x:c>
      <x:c r="S28" t="n">
        <x:v>40</x:v>
      </x:c>
      <x:c r="T28" t="str">
        <x:v>CLEARED</x:v>
      </x:c>
      <x:c r="U28" t="str">
        <x:v>VALID</x:v>
      </x:c>
      <x:c r="V28" s="16" t="n">
        <x:v>0.8778</x:v>
      </x:c>
      <x:c r="W28" t="str">
        <x:v>English</x:v>
      </x:c>
      <x:c r="X28"/>
      <x:c r="Y28" t="n">
        <x:v>6091</x:v>
      </x:c>
      <x:c r="Z28" s="17" t="n">
        <x:v>4.91</x:v>
      </x:c>
      <x:c r="AA28" s="16" t="n">
        <x:v>0.7784</x:v>
      </x:c>
      <x:c r="AB28" s="16" t="n">
        <x:v>0.9581</x:v>
      </x:c>
      <x:c r="AC28" s="16" t="n">
        <x:v>0.9504</x:v>
      </x:c>
      <x:c r="AD28" t="n">
        <x:v>0</x:v>
      </x:c>
      <x:c r="AE28" t="str">
        <x:f>IF(O28&lt;&gt;"ACTIVE","NOT_RATED",IF(AND(Z28&gt;=4.8,AB28&gt;=0.97,AC28&gt;=0.93,AD28=0),"ELITE",IF(AND(Z28&gt;=4.6,AB28&gt;=0.94,AC28&gt;=0.88),"HIGH_PERFORMER",IF(OR(Z28&lt;4.2,AB28&lt;0.85,AD28&gt;=2),"AT_RISK","STANDARD"))))</x:f>
        <x:v>HIGH_PERFORMER</x:v>
      </x:c>
      <x:c r="AF28" s="15" t="n">
        <x:v>46009</x:v>
      </x:c>
      <x:c r="AG28" t="str">
        <x:v>VERIFIED</x:v>
      </x:c>
      <x:c r="AH28" t="str">
        <x:v>COMPLETE</x:v>
      </x:c>
      <x:c r="AI28" t="str">
        <x:v>Casey Harris</x:v>
      </x:c>
      <x:c r="AJ28" t="str">
        <x:v>PARENT</x:v>
      </x:c>
      <x:c r="AK28" t="str">
        <x:v>+1 (713) 555-0105</x:v>
      </x:c>
    </x:row>
    <x:row r="29" ht="18" customHeight="1">
      <x:c r="A29" t="str">
        <x:v>DHR-00028</x:v>
      </x:c>
      <x:c r="B29" t="str">
        <x:v>Ava Harris</x:v>
      </x:c>
      <x:c r="C29" t="str">
        <x:v>https://api.dicebear.com/9.x/adventurer/png?seed=DHR-00028-Ava%20Harris&amp;size=256&amp;radius=50&amp;backgroundColor=b6e3f4,c0aede,d1d4f9,ffd5dc,ffdfbf</x:v>
      </x:c>
      <x:c r="D29" t="str">
        <x:v>ava.harris.028@example.com</x:v>
      </x:c>
      <x:c r="E29" t="str">
        <x:v>+1 (904) 555-0127</x:v>
      </x:c>
      <x:c r="F29" t="str">
        <x:v>Jacksonville, FL</x:v>
      </x:c>
      <x:c r="G29" t="str">
        <x:v>Jacksonville</x:v>
      </x:c>
      <x:c r="H29" t="str">
        <x:v>FL</x:v>
      </x:c>
      <x:c r="I29" s="18" t="str">
        <x:v>32202</x:v>
      </x:c>
      <x:c r="J29" s="15" t="n">
        <x:v>35883.093422638885</x:v>
      </x:c>
      <x:c r="K29" t="n">
        <x:f>INT((DATE(2025,12,31)-J29)/365.25)</x:f>
        <x:v>27</x:v>
      </x:c>
      <x:c r="L29" t="str">
        <x:f>IF(K29&lt;25,"18-24",IF(K29&lt;35,"25-34",IF(K29&lt;45,"35-44",IF(K29&lt;55,"45-54","55+"))))</x:f>
        <x:v>25-34</x:v>
      </x:c>
      <x:c r="M29" s="15" t="n">
        <x:v>43956.98617491898</x:v>
      </x:c>
      <x:c r="N29" t="n">
        <x:f>(YEAR(DATE(2025,12,31))-YEAR(M29))*12+MONTH(DATE(2025,12,31))-MONTH(M29)</x:f>
        <x:v>67</x:v>
      </x:c>
      <x:c r="O29" t="str">
        <x:v>ACTIVE</x:v>
      </x:c>
      <x:c r="P29" t="str">
        <x:v>INDEPENDENT_CONTRACTOR</x:v>
      </x:c>
      <x:c r="Q29" t="str">
        <x:v>CAR</x:v>
      </x:c>
      <x:c r="R29" t="str">
        <x:v>FLEXIBLE</x:v>
      </x:c>
      <x:c r="S29" t="n">
        <x:v>10</x:v>
      </x:c>
      <x:c r="T29" t="str">
        <x:v>CLEARED</x:v>
      </x:c>
      <x:c r="U29" t="str">
        <x:v>VALID</x:v>
      </x:c>
      <x:c r="V29" s="16" t="n">
        <x:v>0.9108</x:v>
      </x:c>
      <x:c r="W29" t="str">
        <x:v>English</x:v>
      </x:c>
      <x:c r="X29"/>
      <x:c r="Y29" t="n">
        <x:v>2865</x:v>
      </x:c>
      <x:c r="Z29" s="17" t="n">
        <x:v>4.47</x:v>
      </x:c>
      <x:c r="AA29" s="16" t="n">
        <x:v>0.6827</x:v>
      </x:c>
      <x:c r="AB29" s="16" t="n">
        <x:v>0.957</x:v>
      </x:c>
      <x:c r="AC29" s="16" t="n">
        <x:v>0.9078</x:v>
      </x:c>
      <x:c r="AD29" t="n">
        <x:v>0</x:v>
      </x:c>
      <x:c r="AE29" t="str">
        <x:f>IF(O29&lt;&gt;"ACTIVE","NOT_RATED",IF(AND(Z29&gt;=4.8,AB29&gt;=0.97,AC29&gt;=0.93,AD29=0),"ELITE",IF(AND(Z29&gt;=4.6,AB29&gt;=0.94,AC29&gt;=0.88),"HIGH_PERFORMER",IF(OR(Z29&lt;4.2,AB29&lt;0.85,AD29&gt;=2),"AT_RISK","STANDARD"))))</x:f>
        <x:v>STANDARD</x:v>
      </x:c>
      <x:c r="AF29" s="15" t="n">
        <x:v>46018</x:v>
      </x:c>
      <x:c r="AG29" t="str">
        <x:v>VERIFIED</x:v>
      </x:c>
      <x:c r="AH29" t="str">
        <x:v>COMPLETE</x:v>
      </x:c>
      <x:c r="AI29" t="str">
        <x:v>Skyler Harris</x:v>
      </x:c>
      <x:c r="AJ29" t="str">
        <x:v>SPOUSE_PARTNER</x:v>
      </x:c>
      <x:c r="AK29" t="str">
        <x:v>+1 (904) 555-0112</x:v>
      </x:c>
    </x:row>
    <x:row r="30" ht="18" customHeight="1">
      <x:c r="A30" t="str">
        <x:v>DHR-00029</x:v>
      </x:c>
      <x:c r="B30" t="str">
        <x:v>Ava Jackson</x:v>
      </x:c>
      <x:c r="C30" t="str">
        <x:v>https://api.dicebear.com/9.x/adventurer/png?seed=DHR-00029-Ava%20Jackson&amp;size=256&amp;radius=50&amp;backgroundColor=b6e3f4,c0aede,d1d4f9,ffd5dc,ffdfbf</x:v>
      </x:c>
      <x:c r="D30" t="str">
        <x:v>ava.jackson.029@example.com</x:v>
      </x:c>
      <x:c r="E30" t="str">
        <x:v>+1 (212) 555-0128</x:v>
      </x:c>
      <x:c r="F30" t="str">
        <x:v>New York, NY</x:v>
      </x:c>
      <x:c r="G30" t="str">
        <x:v>New York</x:v>
      </x:c>
      <x:c r="H30" t="str">
        <x:v>NY</x:v>
      </x:c>
      <x:c r="I30" s="18" t="str">
        <x:v>10001</x:v>
      </x:c>
      <x:c r="J30" s="15" t="n">
        <x:v>24644.893030798612</x:v>
      </x:c>
      <x:c r="K30" t="n">
        <x:f>INT((DATE(2025,12,31)-J30)/365.25)</x:f>
        <x:v>58</x:v>
      </x:c>
      <x:c r="L30" t="str">
        <x:f>IF(K30&lt;25,"18-24",IF(K30&lt;35,"25-34",IF(K30&lt;45,"35-44",IF(K30&lt;55,"45-54","55+"))))</x:f>
        <x:v>55+</x:v>
      </x:c>
      <x:c r="M30" s="15" t="n">
        <x:v>45505.88912564815</x:v>
      </x:c>
      <x:c r="N30" t="n">
        <x:f>(YEAR(DATE(2025,12,31))-YEAR(M30))*12+MONTH(DATE(2025,12,31))-MONTH(M30)</x:f>
        <x:v>16</x:v>
      </x:c>
      <x:c r="O30" t="str">
        <x:v>OFFBOARDED</x:v>
      </x:c>
      <x:c r="P30" t="str">
        <x:v>INDEPENDENT_CONTRACTOR</x:v>
      </x:c>
      <x:c r="Q30" t="str">
        <x:v>CAR</x:v>
      </x:c>
      <x:c r="R30" t="str">
        <x:v>LUNCH</x:v>
      </x:c>
      <x:c r="S30" t="n">
        <x:v>11</x:v>
      </x:c>
      <x:c r="T30" t="str">
        <x:v>CLEARED</x:v>
      </x:c>
      <x:c r="U30" t="str">
        <x:v>VALID</x:v>
      </x:c>
      <x:c r="V30" s="16" t="n">
        <x:v>0.8269</x:v>
      </x:c>
      <x:c r="W30" t="str">
        <x:v>English</x:v>
      </x:c>
      <x:c r="X30" t="str">
        <x:v>Spanish</x:v>
      </x:c>
      <x:c r="Y30" t="n">
        <x:v>527</x:v>
      </x:c>
      <x:c r="Z30" s="17" t="n">
        <x:v>4.85</x:v>
      </x:c>
      <x:c r="AA30" s="16" t="n">
        <x:v>0.9317</x:v>
      </x:c>
      <x:c r="AB30" s="16" t="n">
        <x:v>0.9323</x:v>
      </x:c>
      <x:c r="AC30" s="16" t="n">
        <x:v>0.8471</x:v>
      </x:c>
      <x:c r="AD30" t="n">
        <x:v>0</x:v>
      </x:c>
      <x:c r="AE30" t="str">
        <x:f>IF(O30&lt;&gt;"ACTIVE","NOT_RATED",IF(AND(Z30&gt;=4.8,AB30&gt;=0.97,AC30&gt;=0.93,AD30=0),"ELITE",IF(AND(Z30&gt;=4.6,AB30&gt;=0.94,AC30&gt;=0.88),"HIGH_PERFORMER",IF(OR(Z30&lt;4.2,AB30&lt;0.85,AD30&gt;=2),"AT_RISK","STANDARD"))))</x:f>
        <x:v>NOT_RATED</x:v>
      </x:c>
      <x:c r="AF30" s="15" t="n">
        <x:v>45583</x:v>
      </x:c>
      <x:c r="AG30" t="str">
        <x:v>PENDING</x:v>
      </x:c>
      <x:c r="AH30" t="str">
        <x:v>COMPLETE</x:v>
      </x:c>
      <x:c r="AI30" t="str">
        <x:v>Alex Jones</x:v>
      </x:c>
      <x:c r="AJ30" t="str">
        <x:v>SPOUSE_PARTNER</x:v>
      </x:c>
      <x:c r="AK30" t="str">
        <x:v>+1 (212) 555-0119</x:v>
      </x:c>
    </x:row>
    <x:row r="31" ht="18" customHeight="1">
      <x:c r="A31" t="str">
        <x:v>DHR-00030</x:v>
      </x:c>
      <x:c r="B31" t="str">
        <x:v>Ava Johnson</x:v>
      </x:c>
      <x:c r="C31" t="str">
        <x:v>https://api.dicebear.com/9.x/adventurer/png?seed=DHR-00030-Ava%20Johnson&amp;size=256&amp;radius=50&amp;backgroundColor=b6e3f4,c0aede,d1d4f9,ffd5dc,ffdfbf</x:v>
      </x:c>
      <x:c r="D31" t="str">
        <x:v>ava.johnson.030@example.com</x:v>
      </x:c>
      <x:c r="E31" t="str">
        <x:v>+1 (704) 555-0129</x:v>
      </x:c>
      <x:c r="F31" t="str">
        <x:v>Charlotte, NC</x:v>
      </x:c>
      <x:c r="G31" t="str">
        <x:v>Charlotte</x:v>
      </x:c>
      <x:c r="H31" t="str">
        <x:v>NC</x:v>
      </x:c>
      <x:c r="I31" s="18" t="str">
        <x:v>28202</x:v>
      </x:c>
      <x:c r="J31" s="15" t="n">
        <x:v>34420.67349568287</x:v>
      </x:c>
      <x:c r="K31" t="n">
        <x:f>INT((DATE(2025,12,31)-J31)/365.25)</x:f>
        <x:v>31</x:v>
      </x:c>
      <x:c r="L31" t="str">
        <x:f>IF(K31&lt;25,"18-24",IF(K31&lt;35,"25-34",IF(K31&lt;45,"35-44",IF(K31&lt;55,"45-54","55+"))))</x:f>
        <x:v>25-34</x:v>
      </x:c>
      <x:c r="M31" s="15" t="n">
        <x:v>44316.539146041665</x:v>
      </x:c>
      <x:c r="N31" t="n">
        <x:f>(YEAR(DATE(2025,12,31))-YEAR(M31))*12+MONTH(DATE(2025,12,31))-MONTH(M31)</x:f>
        <x:v>56</x:v>
      </x:c>
      <x:c r="O31" t="str">
        <x:v>ACTIVE</x:v>
      </x:c>
      <x:c r="P31" t="str">
        <x:v>INDEPENDENT_CONTRACTOR</x:v>
      </x:c>
      <x:c r="Q31" t="str">
        <x:v>CAR</x:v>
      </x:c>
      <x:c r="R31" t="str">
        <x:v>DINNER</x:v>
      </x:c>
      <x:c r="S31" t="n">
        <x:v>44</x:v>
      </x:c>
      <x:c r="T31" t="str">
        <x:v>CLEARED</x:v>
      </x:c>
      <x:c r="U31" t="str">
        <x:v>VALID</x:v>
      </x:c>
      <x:c r="V31" s="16" t="n">
        <x:v>0.9671</x:v>
      </x:c>
      <x:c r="W31" t="str">
        <x:v>French</x:v>
      </x:c>
      <x:c r="X31"/>
      <x:c r="Y31" t="n">
        <x:v>4365</x:v>
      </x:c>
      <x:c r="Z31" s="17" t="n">
        <x:v>4.22</x:v>
      </x:c>
      <x:c r="AA31" s="16" t="n">
        <x:v>0.649</x:v>
      </x:c>
      <x:c r="AB31" s="16" t="n">
        <x:v>0.914</x:v>
      </x:c>
      <x:c r="AC31" s="16" t="n">
        <x:v>0.8421</x:v>
      </x:c>
      <x:c r="AD31" t="n">
        <x:v>0</x:v>
      </x:c>
      <x:c r="AE31" t="str">
        <x:f>IF(O31&lt;&gt;"ACTIVE","NOT_RATED",IF(AND(Z31&gt;=4.8,AB31&gt;=0.97,AC31&gt;=0.93,AD31=0),"ELITE",IF(AND(Z31&gt;=4.6,AB31&gt;=0.94,AC31&gt;=0.88),"HIGH_PERFORMER",IF(OR(Z31&lt;4.2,AB31&lt;0.85,AD31&gt;=2),"AT_RISK","STANDARD"))))</x:f>
        <x:v>STANDARD</x:v>
      </x:c>
      <x:c r="AF31" s="15" t="n">
        <x:v>46019</x:v>
      </x:c>
      <x:c r="AG31" t="str">
        <x:v>VERIFIED</x:v>
      </x:c>
      <x:c r="AH31" t="str">
        <x:v>COMPLETE</x:v>
      </x:c>
      <x:c r="AI31" t="str">
        <x:v>Taylor Clark</x:v>
      </x:c>
      <x:c r="AJ31" t="str">
        <x:v>FRIEND</x:v>
      </x:c>
      <x:c r="AK31" t="str">
        <x:v>+1 (704) 555-0126</x:v>
      </x:c>
    </x:row>
    <x:row r="32" ht="18" customHeight="1">
      <x:c r="A32" t="str">
        <x:v>DHR-00031</x:v>
      </x:c>
      <x:c r="B32" t="str">
        <x:v>Ava Jones</x:v>
      </x:c>
      <x:c r="C32" t="str">
        <x:v>https://api.dicebear.com/9.x/adventurer/png?seed=DHR-00031-Ava%20Jones&amp;size=256&amp;radius=50&amp;backgroundColor=b6e3f4,c0aede,d1d4f9,ffd5dc,ffdfbf</x:v>
      </x:c>
      <x:c r="D32" t="str">
        <x:v>ava.jones.031@example.com</x:v>
      </x:c>
      <x:c r="E32" t="str">
        <x:v>+1 (602) 555-0130</x:v>
      </x:c>
      <x:c r="F32" t="str">
        <x:v>Phoenix, AZ</x:v>
      </x:c>
      <x:c r="G32" t="str">
        <x:v>Phoenix</x:v>
      </x:c>
      <x:c r="H32" t="str">
        <x:v>AZ</x:v>
      </x:c>
      <x:c r="I32" s="18" t="str">
        <x:v>85004</x:v>
      </x:c>
      <x:c r="J32" s="15" t="n">
        <x:v>33478.17576547454</x:v>
      </x:c>
      <x:c r="K32" t="n">
        <x:f>INT((DATE(2025,12,31)-J32)/365.25)</x:f>
        <x:v>34</x:v>
      </x:c>
      <x:c r="L32" t="str">
        <x:f>IF(K32&lt;25,"18-24",IF(K32&lt;35,"25-34",IF(K32&lt;45,"35-44",IF(K32&lt;55,"45-54","55+"))))</x:f>
        <x:v>25-34</x:v>
      </x:c>
      <x:c r="M32" s="15" t="n">
        <x:v>44040.34321428241</x:v>
      </x:c>
      <x:c r="N32" t="n">
        <x:f>(YEAR(DATE(2025,12,31))-YEAR(M32))*12+MONTH(DATE(2025,12,31))-MONTH(M32)</x:f>
        <x:v>65</x:v>
      </x:c>
      <x:c r="O32" t="str">
        <x:v>ACTIVE</x:v>
      </x:c>
      <x:c r="P32" t="str">
        <x:v>INDEPENDENT_CONTRACTOR</x:v>
      </x:c>
      <x:c r="Q32" t="str">
        <x:v>CAR</x:v>
      </x:c>
      <x:c r="R32" t="str">
        <x:v>FLEXIBLE</x:v>
      </x:c>
      <x:c r="S32" t="n">
        <x:v>45</x:v>
      </x:c>
      <x:c r="T32" t="str">
        <x:v>CLEARED</x:v>
      </x:c>
      <x:c r="U32" t="str">
        <x:v>VALID</x:v>
      </x:c>
      <x:c r="V32" s="16" t="n">
        <x:v>0.9118</x:v>
      </x:c>
      <x:c r="W32" t="str">
        <x:v>English</x:v>
      </x:c>
      <x:c r="X32"/>
      <x:c r="Y32" t="n">
        <x:v>6221</x:v>
      </x:c>
      <x:c r="Z32" s="17" t="n">
        <x:v>4.67</x:v>
      </x:c>
      <x:c r="AA32" s="16" t="n">
        <x:v>0.6472</x:v>
      </x:c>
      <x:c r="AB32" s="16" t="n">
        <x:v>0.9791</x:v>
      </x:c>
      <x:c r="AC32" s="16" t="n">
        <x:v>0.9428</x:v>
      </x:c>
      <x:c r="AD32" t="n">
        <x:v>0</x:v>
      </x:c>
      <x:c r="AE32" t="str">
        <x:f>IF(O32&lt;&gt;"ACTIVE","NOT_RATED",IF(AND(Z32&gt;=4.8,AB32&gt;=0.97,AC32&gt;=0.93,AD32=0),"ELITE",IF(AND(Z32&gt;=4.6,AB32&gt;=0.94,AC32&gt;=0.88),"HIGH_PERFORMER",IF(OR(Z32&lt;4.2,AB32&lt;0.85,AD32&gt;=2),"AT_RISK","STANDARD"))))</x:f>
        <x:v>HIGH_PERFORMER</x:v>
      </x:c>
      <x:c r="AF32" s="15" t="n">
        <x:v>46019</x:v>
      </x:c>
      <x:c r="AG32" t="str">
        <x:v>VERIFIED</x:v>
      </x:c>
      <x:c r="AH32" t="str">
        <x:v>COMPLETE</x:v>
      </x:c>
      <x:c r="AI32" t="str">
        <x:v>Jordan Young</x:v>
      </x:c>
      <x:c r="AJ32" t="str">
        <x:v>SPOUSE_PARTNER</x:v>
      </x:c>
      <x:c r="AK32" t="str">
        <x:v>+1 (602) 555-0133</x:v>
      </x:c>
    </x:row>
    <x:row r="33" ht="18" customHeight="1">
      <x:c r="A33" t="str">
        <x:v>DHR-00032</x:v>
      </x:c>
      <x:c r="B33" t="str">
        <x:v>Ava Lee</x:v>
      </x:c>
      <x:c r="C33" t="str">
        <x:v>https://api.dicebear.com/9.x/adventurer/png?seed=DHR-00032-Ava%20Lee&amp;size=256&amp;radius=50&amp;backgroundColor=b6e3f4,c0aede,d1d4f9,ffd5dc,ffdfbf</x:v>
      </x:c>
      <x:c r="D33" t="str">
        <x:v>ava.lee.032@example.com</x:v>
      </x:c>
      <x:c r="E33" t="str">
        <x:v>+1 (210) 555-0131</x:v>
      </x:c>
      <x:c r="F33" t="str">
        <x:v>San Antonio, TX</x:v>
      </x:c>
      <x:c r="G33" t="str">
        <x:v>San Antonio</x:v>
      </x:c>
      <x:c r="H33" t="str">
        <x:v>TX</x:v>
      </x:c>
      <x:c r="I33" s="18" t="str">
        <x:v>78205</x:v>
      </x:c>
      <x:c r="J33" s="15" t="n">
        <x:v>32871.0953752662</x:v>
      </x:c>
      <x:c r="K33" t="n">
        <x:f>INT((DATE(2025,12,31)-J33)/365.25)</x:f>
        <x:v>36</x:v>
      </x:c>
      <x:c r="L33" t="str">
        <x:f>IF(K33&lt;25,"18-24",IF(K33&lt;35,"25-34",IF(K33&lt;45,"35-44",IF(K33&lt;55,"45-54","55+"))))</x:f>
        <x:v>35-44</x:v>
      </x:c>
      <x:c r="M33" s="15" t="n">
        <x:v>45281.79692975694</x:v>
      </x:c>
      <x:c r="N33" t="n">
        <x:f>(YEAR(DATE(2025,12,31))-YEAR(M33))*12+MONTH(DATE(2025,12,31))-MONTH(M33)</x:f>
        <x:v>24</x:v>
      </x:c>
      <x:c r="O33" t="str">
        <x:v>ACTIVE</x:v>
      </x:c>
      <x:c r="P33" t="str">
        <x:v>INDEPENDENT_CONTRACTOR</x:v>
      </x:c>
      <x:c r="Q33" t="str">
        <x:v>CAR</x:v>
      </x:c>
      <x:c r="R33" t="str">
        <x:v>FLEXIBLE</x:v>
      </x:c>
      <x:c r="S33" t="n">
        <x:v>29</x:v>
      </x:c>
      <x:c r="T33" t="str">
        <x:v>PENDING</x:v>
      </x:c>
      <x:c r="U33" t="str">
        <x:v>VALID</x:v>
      </x:c>
      <x:c r="V33" s="16" t="n">
        <x:v>0.9564</x:v>
      </x:c>
      <x:c r="W33" t="str">
        <x:v>Spanish</x:v>
      </x:c>
      <x:c r="X33"/>
      <x:c r="Y33" t="n">
        <x:v>1361</x:v>
      </x:c>
      <x:c r="Z33" s="17" t="n">
        <x:v>4.2</x:v>
      </x:c>
      <x:c r="AA33" s="16" t="n">
        <x:v>0.6231</x:v>
      </x:c>
      <x:c r="AB33" s="16" t="n">
        <x:v>0.9229</x:v>
      </x:c>
      <x:c r="AC33" s="16" t="n">
        <x:v>0.8481</x:v>
      </x:c>
      <x:c r="AD33" t="n">
        <x:v>0</x:v>
      </x:c>
      <x:c r="AE33" t="str">
        <x:f>IF(O33&lt;&gt;"ACTIVE","NOT_RATED",IF(AND(Z33&gt;=4.8,AB33&gt;=0.97,AC33&gt;=0.93,AD33=0),"ELITE",IF(AND(Z33&gt;=4.6,AB33&gt;=0.94,AC33&gt;=0.88),"HIGH_PERFORMER",IF(OR(Z33&lt;4.2,AB33&lt;0.85,AD33&gt;=2),"AT_RISK","STANDARD"))))</x:f>
        <x:v>STANDARD</x:v>
      </x:c>
      <x:c r="AF33" s="15" t="n">
        <x:v>46014</x:v>
      </x:c>
      <x:c r="AG33" t="str">
        <x:v>VERIFIED</x:v>
      </x:c>
      <x:c r="AH33" t="str">
        <x:v>COMPLETE</x:v>
      </x:c>
      <x:c r="AI33" t="str">
        <x:v>Riley Martin</x:v>
      </x:c>
      <x:c r="AJ33" t="str">
        <x:v>SPOUSE_PARTNER</x:v>
      </x:c>
      <x:c r="AK33" t="str">
        <x:v>+1 (210) 555-0140</x:v>
      </x:c>
    </x:row>
    <x:row r="34" ht="18" customHeight="1">
      <x:c r="A34" t="str">
        <x:v>DHR-00033</x:v>
      </x:c>
      <x:c r="B34" t="str">
        <x:v>Ava Martin</x:v>
      </x:c>
      <x:c r="C34" t="str">
        <x:v>https://api.dicebear.com/9.x/adventurer/png?seed=DHR-00033-Ava%20Martin&amp;size=256&amp;radius=50&amp;backgroundColor=b6e3f4,c0aede,d1d4f9,ffd5dc,ffdfbf</x:v>
      </x:c>
      <x:c r="D34" t="str">
        <x:v>ava.martin.033@example.com</x:v>
      </x:c>
      <x:c r="E34" t="str">
        <x:v>+1 (602) 555-0132</x:v>
      </x:c>
      <x:c r="F34" t="str">
        <x:v>Phoenix, AZ</x:v>
      </x:c>
      <x:c r="G34" t="str">
        <x:v>Phoenix</x:v>
      </x:c>
      <x:c r="H34" t="str">
        <x:v>AZ</x:v>
      </x:c>
      <x:c r="I34" s="18" t="str">
        <x:v>85004</x:v>
      </x:c>
      <x:c r="J34" s="15" t="n">
        <x:v>38000.82594576389</x:v>
      </x:c>
      <x:c r="K34" t="n">
        <x:f>INT((DATE(2025,12,31)-J34)/365.25)</x:f>
        <x:v>21</x:v>
      </x:c>
      <x:c r="L34" t="str">
        <x:f>IF(K34&lt;25,"18-24",IF(K34&lt;35,"25-34",IF(K34&lt;45,"35-44",IF(K34&lt;55,"45-54","55+"))))</x:f>
        <x:v>18-24</x:v>
      </x:c>
      <x:c r="M34" s="15" t="n">
        <x:v>45453.96955459491</x:v>
      </x:c>
      <x:c r="N34" t="n">
        <x:f>(YEAR(DATE(2025,12,31))-YEAR(M34))*12+MONTH(DATE(2025,12,31))-MONTH(M34)</x:f>
        <x:v>18</x:v>
      </x:c>
      <x:c r="O34" t="str">
        <x:v>ACTIVE</x:v>
      </x:c>
      <x:c r="P34" t="str">
        <x:v>INDEPENDENT_CONTRACTOR</x:v>
      </x:c>
      <x:c r="Q34" t="str">
        <x:v>BICYCLE</x:v>
      </x:c>
      <x:c r="R34" t="str">
        <x:v>FLEXIBLE</x:v>
      </x:c>
      <x:c r="S34" t="n">
        <x:v>16</x:v>
      </x:c>
      <x:c r="T34" t="str">
        <x:v>CLEARED</x:v>
      </x:c>
      <x:c r="U34" t="str">
        <x:v>NOT_REQUIRED</x:v>
      </x:c>
      <x:c r="V34" s="16" t="n">
        <x:v>0.9404</x:v>
      </x:c>
      <x:c r="W34" t="str">
        <x:v>Spanish</x:v>
      </x:c>
      <x:c r="X34"/>
      <x:c r="Y34" t="n">
        <x:v>959</x:v>
      </x:c>
      <x:c r="Z34" s="17" t="n">
        <x:v>4.47</x:v>
      </x:c>
      <x:c r="AA34" s="16" t="n">
        <x:v>0.7157</x:v>
      </x:c>
      <x:c r="AB34" s="16" t="n">
        <x:v>0.9334</x:v>
      </x:c>
      <x:c r="AC34" s="16" t="n">
        <x:v>0.8363</x:v>
      </x:c>
      <x:c r="AD34" t="n">
        <x:v>0</x:v>
      </x:c>
      <x:c r="AE34" t="str">
        <x:f>IF(O34&lt;&gt;"ACTIVE","NOT_RATED",IF(AND(Z34&gt;=4.8,AB34&gt;=0.97,AC34&gt;=0.93,AD34=0),"ELITE",IF(AND(Z34&gt;=4.6,AB34&gt;=0.94,AC34&gt;=0.88),"HIGH_PERFORMER",IF(OR(Z34&lt;4.2,AB34&lt;0.85,AD34&gt;=2),"AT_RISK","STANDARD"))))</x:f>
        <x:v>STANDARD</x:v>
      </x:c>
      <x:c r="AF34" s="15" t="n">
        <x:v>46017</x:v>
      </x:c>
      <x:c r="AG34" t="str">
        <x:v>VERIFIED</x:v>
      </x:c>
      <x:c r="AH34" t="str">
        <x:v>COMPLETE</x:v>
      </x:c>
      <x:c r="AI34" t="str">
        <x:v>Parker Clark</x:v>
      </x:c>
      <x:c r="AJ34" t="str">
        <x:v>PARENT</x:v>
      </x:c>
      <x:c r="AK34" t="str">
        <x:v>+1 (602) 555-0147</x:v>
      </x:c>
    </x:row>
    <x:row r="35" ht="18" customHeight="1">
      <x:c r="A35" t="str">
        <x:v>DHR-00034</x:v>
      </x:c>
      <x:c r="B35" t="str">
        <x:v>Ava Martinez</x:v>
      </x:c>
      <x:c r="C35" t="str">
        <x:v>https://api.dicebear.com/9.x/adventurer/png?seed=DHR-00034-Ava%20Martinez&amp;size=256&amp;radius=50&amp;backgroundColor=b6e3f4,c0aede,d1d4f9,ffd5dc,ffdfbf</x:v>
      </x:c>
      <x:c r="D35" t="str">
        <x:v>ava.martinez.034@example.com</x:v>
      </x:c>
      <x:c r="E35" t="str">
        <x:v>+1 (904) 555-0133</x:v>
      </x:c>
      <x:c r="F35" t="str">
        <x:v>Jacksonville, FL</x:v>
      </x:c>
      <x:c r="G35" t="str">
        <x:v>Jacksonville</x:v>
      </x:c>
      <x:c r="H35" t="str">
        <x:v>FL</x:v>
      </x:c>
      <x:c r="I35" s="18" t="str">
        <x:v>32202</x:v>
      </x:c>
      <x:c r="J35" s="15" t="n">
        <x:v>27283.995475543983</x:v>
      </x:c>
      <x:c r="K35" t="n">
        <x:f>INT((DATE(2025,12,31)-J35)/365.25)</x:f>
        <x:v>51</x:v>
      </x:c>
      <x:c r="L35" t="str">
        <x:f>IF(K35&lt;25,"18-24",IF(K35&lt;35,"25-34",IF(K35&lt;45,"35-44",IF(K35&lt;55,"45-54","55+"))))</x:f>
        <x:v>45-54</x:v>
      </x:c>
      <x:c r="M35" s="15" t="n">
        <x:v>45775.74131138889</x:v>
      </x:c>
      <x:c r="N35" t="n">
        <x:f>(YEAR(DATE(2025,12,31))-YEAR(M35))*12+MONTH(DATE(2025,12,31))-MONTH(M35)</x:f>
        <x:v>8</x:v>
      </x:c>
      <x:c r="O35" t="str">
        <x:v>ACTIVE</x:v>
      </x:c>
      <x:c r="P35" t="str">
        <x:v>INDEPENDENT_CONTRACTOR</x:v>
      </x:c>
      <x:c r="Q35" t="str">
        <x:v>CAR</x:v>
      </x:c>
      <x:c r="R35" t="str">
        <x:v>FLEXIBLE</x:v>
      </x:c>
      <x:c r="S35" t="n">
        <x:v>46</x:v>
      </x:c>
      <x:c r="T35" t="str">
        <x:v>CLEARED</x:v>
      </x:c>
      <x:c r="U35" t="str">
        <x:v>VALID</x:v>
      </x:c>
      <x:c r="V35" s="16" t="n">
        <x:v>0.9972</x:v>
      </x:c>
      <x:c r="W35" t="str">
        <x:v>English</x:v>
      </x:c>
      <x:c r="X35"/>
      <x:c r="Y35" t="n">
        <x:v>1163</x:v>
      </x:c>
      <x:c r="Z35" s="17" t="n">
        <x:v>4.27</x:v>
      </x:c>
      <x:c r="AA35" s="16" t="n">
        <x:v>0.9289</x:v>
      </x:c>
      <x:c r="AB35" s="16" t="n">
        <x:v>0.8916</x:v>
      </x:c>
      <x:c r="AC35" s="16" t="n">
        <x:v>0.8891</x:v>
      </x:c>
      <x:c r="AD35" t="n">
        <x:v>0</x:v>
      </x:c>
      <x:c r="AE35" t="str">
        <x:f>IF(O35&lt;&gt;"ACTIVE","NOT_RATED",IF(AND(Z35&gt;=4.8,AB35&gt;=0.97,AC35&gt;=0.93,AD35=0),"ELITE",IF(AND(Z35&gt;=4.6,AB35&gt;=0.94,AC35&gt;=0.88),"HIGH_PERFORMER",IF(OR(Z35&lt;4.2,AB35&lt;0.85,AD35&gt;=2),"AT_RISK","STANDARD"))))</x:f>
        <x:v>STANDARD</x:v>
      </x:c>
      <x:c r="AF35" s="15" t="n">
        <x:v>46012</x:v>
      </x:c>
      <x:c r="AG35" t="str">
        <x:v>VERIFIED</x:v>
      </x:c>
      <x:c r="AH35" t="str">
        <x:v>COMPLETE</x:v>
      </x:c>
      <x:c r="AI35" t="str">
        <x:v>Chris Lee</x:v>
      </x:c>
      <x:c r="AJ35" t="str">
        <x:v>SIBLING</x:v>
      </x:c>
      <x:c r="AK35" t="str">
        <x:v>+1 (904) 555-0154</x:v>
      </x:c>
    </x:row>
    <x:row r="36" ht="18" customHeight="1">
      <x:c r="A36" t="str">
        <x:v>DHR-00035</x:v>
      </x:c>
      <x:c r="B36" t="str">
        <x:v>Ava Miller</x:v>
      </x:c>
      <x:c r="C36" t="str">
        <x:v>https://api.dicebear.com/9.x/adventurer/png?seed=DHR-00035-Ava%20Miller&amp;size=256&amp;radius=50&amp;backgroundColor=b6e3f4,c0aede,d1d4f9,ffd5dc,ffdfbf</x:v>
      </x:c>
      <x:c r="D36" t="str">
        <x:v>ava.miller.035@example.com</x:v>
      </x:c>
      <x:c r="E36" t="str">
        <x:v>+1 (503) 555-0134</x:v>
      </x:c>
      <x:c r="F36" t="str">
        <x:v>Portland, OR</x:v>
      </x:c>
      <x:c r="G36" t="str">
        <x:v>Portland</x:v>
      </x:c>
      <x:c r="H36" t="str">
        <x:v>OR</x:v>
      </x:c>
      <x:c r="I36" s="18" t="str">
        <x:v>97205</x:v>
      </x:c>
      <x:c r="J36" s="15" t="n">
        <x:v>30425.847997418983</x:v>
      </x:c>
      <x:c r="K36" t="n">
        <x:f>INT((DATE(2025,12,31)-J36)/365.25)</x:f>
        <x:v>42</x:v>
      </x:c>
      <x:c r="L36" t="str">
        <x:f>IF(K36&lt;25,"18-24",IF(K36&lt;35,"25-34",IF(K36&lt;45,"35-44",IF(K36&lt;55,"45-54","55+"))))</x:f>
        <x:v>35-44</x:v>
      </x:c>
      <x:c r="M36" s="15" t="n">
        <x:v>45911.02862751157</x:v>
      </x:c>
      <x:c r="N36" t="n">
        <x:f>(YEAR(DATE(2025,12,31))-YEAR(M36))*12+MONTH(DATE(2025,12,31))-MONTH(M36)</x:f>
        <x:v>3</x:v>
      </x:c>
      <x:c r="O36" t="str">
        <x:v>ACTIVE</x:v>
      </x:c>
      <x:c r="P36" t="str">
        <x:v>INDEPENDENT_CONTRACTOR</x:v>
      </x:c>
      <x:c r="Q36" t="str">
        <x:v>SCOOTER</x:v>
      </x:c>
      <x:c r="R36" t="str">
        <x:v>DINNER</x:v>
      </x:c>
      <x:c r="S36" t="n">
        <x:v>9</x:v>
      </x:c>
      <x:c r="T36" t="str">
        <x:v>CLEARED</x:v>
      </x:c>
      <x:c r="U36" t="str">
        <x:v>VALID</x:v>
      </x:c>
      <x:c r="V36" s="16" t="n">
        <x:v>0.937</x:v>
      </x:c>
      <x:c r="W36" t="str">
        <x:v>Spanish</x:v>
      </x:c>
      <x:c r="X36" t="str">
        <x:v>English</x:v>
      </x:c>
      <x:c r="Y36" t="n">
        <x:v>109</x:v>
      </x:c>
      <x:c r="Z36" s="17" t="n">
        <x:v>4.39</x:v>
      </x:c>
      <x:c r="AA36" s="16" t="n">
        <x:v>0.8299</x:v>
      </x:c>
      <x:c r="AB36" s="16" t="n">
        <x:v>0.8984</x:v>
      </x:c>
      <x:c r="AC36" s="16" t="n">
        <x:v>0.9532</x:v>
      </x:c>
      <x:c r="AD36" t="n">
        <x:v>0</x:v>
      </x:c>
      <x:c r="AE36" t="str">
        <x:f>IF(O36&lt;&gt;"ACTIVE","NOT_RATED",IF(AND(Z36&gt;=4.8,AB36&gt;=0.97,AC36&gt;=0.93,AD36=0),"ELITE",IF(AND(Z36&gt;=4.6,AB36&gt;=0.94,AC36&gt;=0.88),"HIGH_PERFORMER",IF(OR(Z36&lt;4.2,AB36&lt;0.85,AD36&gt;=2),"AT_RISK","STANDARD"))))</x:f>
        <x:v>STANDARD</x:v>
      </x:c>
      <x:c r="AF36" s="15" t="n">
        <x:v>46020</x:v>
      </x:c>
      <x:c r="AG36" t="str">
        <x:v>VERIFIED</x:v>
      </x:c>
      <x:c r="AH36" t="str">
        <x:v>COMPLETE</x:v>
      </x:c>
      <x:c r="AI36" t="str">
        <x:v>Mia Taylor</x:v>
      </x:c>
      <x:c r="AJ36" t="str">
        <x:v>SPOUSE_PARTNER</x:v>
      </x:c>
      <x:c r="AK36" t="str">
        <x:v>+1 (503) 555-0161</x:v>
      </x:c>
    </x:row>
    <x:row r="37" ht="18" customHeight="1">
      <x:c r="A37" t="str">
        <x:v>DHR-00036</x:v>
      </x:c>
      <x:c r="B37" t="str">
        <x:v>Ava Moore</x:v>
      </x:c>
      <x:c r="C37" t="str">
        <x:v>https://api.dicebear.com/9.x/adventurer/png?seed=DHR-00036-Ava%20Moore&amp;size=256&amp;radius=50&amp;backgroundColor=b6e3f4,c0aede,d1d4f9,ffd5dc,ffdfbf</x:v>
      </x:c>
      <x:c r="D37" t="str">
        <x:v>ava.moore.036@example.com</x:v>
      </x:c>
      <x:c r="E37" t="str">
        <x:v>+1 (503) 555-0135</x:v>
      </x:c>
      <x:c r="F37" t="str">
        <x:v>Portland, OR</x:v>
      </x:c>
      <x:c r="G37" t="str">
        <x:v>Portland</x:v>
      </x:c>
      <x:c r="H37" t="str">
        <x:v>OR</x:v>
      </x:c>
      <x:c r="I37" s="18" t="str">
        <x:v>97205</x:v>
      </x:c>
      <x:c r="J37" s="15" t="n">
        <x:v>33030.14964959491</x:v>
      </x:c>
      <x:c r="K37" t="n">
        <x:f>INT((DATE(2025,12,31)-J37)/365.25)</x:f>
        <x:v>35</x:v>
      </x:c>
      <x:c r="L37" t="str">
        <x:f>IF(K37&lt;25,"18-24",IF(K37&lt;35,"25-34",IF(K37&lt;45,"35-44",IF(K37&lt;55,"45-54","55+"))))</x:f>
        <x:v>35-44</x:v>
      </x:c>
      <x:c r="M37" s="15" t="n">
        <x:v>45203.10770325232</x:v>
      </x:c>
      <x:c r="N37" t="n">
        <x:f>(YEAR(DATE(2025,12,31))-YEAR(M37))*12+MONTH(DATE(2025,12,31))-MONTH(M37)</x:f>
        <x:v>26</x:v>
      </x:c>
      <x:c r="O37" t="str">
        <x:v>ACTIVE</x:v>
      </x:c>
      <x:c r="P37" t="str">
        <x:v>INDEPENDENT_CONTRACTOR</x:v>
      </x:c>
      <x:c r="Q37" t="str">
        <x:v>BICYCLE</x:v>
      </x:c>
      <x:c r="R37" t="str">
        <x:v>FLEXIBLE</x:v>
      </x:c>
      <x:c r="S37" t="n">
        <x:v>27</x:v>
      </x:c>
      <x:c r="T37" t="str">
        <x:v>CLEARED</x:v>
      </x:c>
      <x:c r="U37" t="str">
        <x:v>NOT_REQUIRED</x:v>
      </x:c>
      <x:c r="V37" s="16" t="n">
        <x:v>0.837</x:v>
      </x:c>
      <x:c r="W37" t="str">
        <x:v>English</x:v>
      </x:c>
      <x:c r="X37" t="str">
        <x:v>French</x:v>
      </x:c>
      <x:c r="Y37" t="n">
        <x:v>2156</x:v>
      </x:c>
      <x:c r="Z37" s="17" t="n">
        <x:v>4.12</x:v>
      </x:c>
      <x:c r="AA37" s="16" t="n">
        <x:v>0.68</x:v>
      </x:c>
      <x:c r="AB37" s="16" t="n">
        <x:v>0.879</x:v>
      </x:c>
      <x:c r="AC37" s="16" t="n">
        <x:v>0.8612</x:v>
      </x:c>
      <x:c r="AD37" t="n">
        <x:v>1</x:v>
      </x:c>
      <x:c r="AE37" t="str">
        <x:f>IF(O37&lt;&gt;"ACTIVE","NOT_RATED",IF(AND(Z37&gt;=4.8,AB37&gt;=0.97,AC37&gt;=0.93,AD37=0),"ELITE",IF(AND(Z37&gt;=4.6,AB37&gt;=0.94,AC37&gt;=0.88),"HIGH_PERFORMER",IF(OR(Z37&lt;4.2,AB37&lt;0.85,AD37&gt;=2),"AT_RISK","STANDARD"))))</x:f>
        <x:v>AT_RISK</x:v>
      </x:c>
      <x:c r="AF37" s="15" t="n">
        <x:v>46021</x:v>
      </x:c>
      <x:c r="AG37" t="str">
        <x:v>VERIFIED</x:v>
      </x:c>
      <x:c r="AH37" t="str">
        <x:v>COMPLETE</x:v>
      </x:c>
      <x:c r="AI37" t="str">
        <x:v>Noah Miller</x:v>
      </x:c>
      <x:c r="AJ37" t="str">
        <x:v>PARENT</x:v>
      </x:c>
      <x:c r="AK37" t="str">
        <x:v>+1 (503) 555-0168</x:v>
      </x:c>
    </x:row>
    <x:row r="38" ht="18" customHeight="1">
      <x:c r="A38" t="str">
        <x:v>DHR-00037</x:v>
      </x:c>
      <x:c r="B38" t="str">
        <x:v>Ava Perez</x:v>
      </x:c>
      <x:c r="C38" t="str">
        <x:v>https://api.dicebear.com/9.x/adventurer/png?seed=DHR-00037-Ava%20Perez&amp;size=256&amp;radius=50&amp;backgroundColor=b6e3f4,c0aede,d1d4f9,ffd5dc,ffdfbf</x:v>
      </x:c>
      <x:c r="D38" t="str">
        <x:v>ava.perez.037@example.com</x:v>
      </x:c>
      <x:c r="E38" t="str">
        <x:v>+1 (512) 555-0136</x:v>
      </x:c>
      <x:c r="F38" t="str">
        <x:v>Austin, TX</x:v>
      </x:c>
      <x:c r="G38" t="str">
        <x:v>Austin</x:v>
      </x:c>
      <x:c r="H38" t="str">
        <x:v>TX</x:v>
      </x:c>
      <x:c r="I38" s="18" t="str">
        <x:v>78701</x:v>
      </x:c>
      <x:c r="J38" s="15" t="n">
        <x:v>27126.013287858797</x:v>
      </x:c>
      <x:c r="K38" t="n">
        <x:f>INT((DATE(2025,12,31)-J38)/365.25)</x:f>
        <x:v>51</x:v>
      </x:c>
      <x:c r="L38" t="str">
        <x:f>IF(K38&lt;25,"18-24",IF(K38&lt;35,"25-34",IF(K38&lt;45,"35-44",IF(K38&lt;55,"45-54","55+"))))</x:f>
        <x:v>45-54</x:v>
      </x:c>
      <x:c r="M38" s="15" t="n">
        <x:v>45331.57346564815</x:v>
      </x:c>
      <x:c r="N38" t="n">
        <x:f>(YEAR(DATE(2025,12,31))-YEAR(M38))*12+MONTH(DATE(2025,12,31))-MONTH(M38)</x:f>
        <x:v>22</x:v>
      </x:c>
      <x:c r="O38" t="str">
        <x:v>ACTIVE</x:v>
      </x:c>
      <x:c r="P38" t="str">
        <x:v>INDEPENDENT_CONTRACTOR</x:v>
      </x:c>
      <x:c r="Q38" t="str">
        <x:v>CAR</x:v>
      </x:c>
      <x:c r="R38" t="str">
        <x:v>FLEXIBLE</x:v>
      </x:c>
      <x:c r="S38" t="n">
        <x:v>39</x:v>
      </x:c>
      <x:c r="T38" t="str">
        <x:v>CLEARED</x:v>
      </x:c>
      <x:c r="U38" t="str">
        <x:v>VALID</x:v>
      </x:c>
      <x:c r="V38" s="16" t="n">
        <x:v>0.846</x:v>
      </x:c>
      <x:c r="W38" t="str">
        <x:v>English</x:v>
      </x:c>
      <x:c r="X38" t="str">
        <x:v>Spanish</x:v>
      </x:c>
      <x:c r="Y38" t="n">
        <x:v>2700</x:v>
      </x:c>
      <x:c r="Z38" s="17" t="n">
        <x:v>4.42</x:v>
      </x:c>
      <x:c r="AA38" s="16" t="n">
        <x:v>0.9501</x:v>
      </x:c>
      <x:c r="AB38" s="16" t="n">
        <x:v>0.9257</x:v>
      </x:c>
      <x:c r="AC38" s="16" t="n">
        <x:v>0.8246</x:v>
      </x:c>
      <x:c r="AD38" t="n">
        <x:v>1</x:v>
      </x:c>
      <x:c r="AE38" t="str">
        <x:f>IF(O38&lt;&gt;"ACTIVE","NOT_RATED",IF(AND(Z38&gt;=4.8,AB38&gt;=0.97,AC38&gt;=0.93,AD38=0),"ELITE",IF(AND(Z38&gt;=4.6,AB38&gt;=0.94,AC38&gt;=0.88),"HIGH_PERFORMER",IF(OR(Z38&lt;4.2,AB38&lt;0.85,AD38&gt;=2),"AT_RISK","STANDARD"))))</x:f>
        <x:v>STANDARD</x:v>
      </x:c>
      <x:c r="AF38" s="15" t="n">
        <x:v>46014</x:v>
      </x:c>
      <x:c r="AG38" t="str">
        <x:v>VERIFIED</x:v>
      </x:c>
      <x:c r="AH38" t="str">
        <x:v>COMPLETE</x:v>
      </x:c>
      <x:c r="AI38" t="str">
        <x:v>Quinn Martin</x:v>
      </x:c>
      <x:c r="AJ38" t="str">
        <x:v>SPOUSE_PARTNER</x:v>
      </x:c>
      <x:c r="AK38" t="str">
        <x:v>+1 (512) 555-0175</x:v>
      </x:c>
    </x:row>
    <x:row r="39" ht="18" customHeight="1">
      <x:c r="A39" t="str">
        <x:v>DHR-00038</x:v>
      </x:c>
      <x:c r="B39" t="str">
        <x:v>Ava Rodriguez</x:v>
      </x:c>
      <x:c r="C39" t="str">
        <x:v>https://api.dicebear.com/9.x/adventurer/png?seed=DHR-00038-Ava%20Rodriguez&amp;size=256&amp;radius=50&amp;backgroundColor=b6e3f4,c0aede,d1d4f9,ffd5dc,ffdfbf</x:v>
      </x:c>
      <x:c r="D39" t="str">
        <x:v>ava.rodriguez.038@example.com</x:v>
      </x:c>
      <x:c r="E39" t="str">
        <x:v>+1 (704) 555-0137</x:v>
      </x:c>
      <x:c r="F39" t="str">
        <x:v>Charlotte, NC</x:v>
      </x:c>
      <x:c r="G39" t="str">
        <x:v>Charlotte</x:v>
      </x:c>
      <x:c r="H39" t="str">
        <x:v>NC</x:v>
      </x:c>
      <x:c r="I39" s="18" t="str">
        <x:v>28202</x:v>
      </x:c>
      <x:c r="J39" s="15" t="n">
        <x:v>28468.77259259259</x:v>
      </x:c>
      <x:c r="K39" t="n">
        <x:f>INT((DATE(2025,12,31)-J39)/365.25)</x:f>
        <x:v>48</x:v>
      </x:c>
      <x:c r="L39" t="str">
        <x:f>IF(K39&lt;25,"18-24",IF(K39&lt;35,"25-34",IF(K39&lt;45,"35-44",IF(K39&lt;55,"45-54","55+"))))</x:f>
        <x:v>45-54</x:v>
      </x:c>
      <x:c r="M39" s="15" t="n">
        <x:v>45946.06499181713</x:v>
      </x:c>
      <x:c r="N39" t="n">
        <x:f>(YEAR(DATE(2025,12,31))-YEAR(M39))*12+MONTH(DATE(2025,12,31))-MONTH(M39)</x:f>
        <x:v>2</x:v>
      </x:c>
      <x:c r="O39" t="str">
        <x:v>OFFBOARDED</x:v>
      </x:c>
      <x:c r="P39" t="str">
        <x:v>INDEPENDENT_CONTRACTOR</x:v>
      </x:c>
      <x:c r="Q39" t="str">
        <x:v>BICYCLE</x:v>
      </x:c>
      <x:c r="R39" t="str">
        <x:v>FLEXIBLE</x:v>
      </x:c>
      <x:c r="S39" t="n">
        <x:v>37</x:v>
      </x:c>
      <x:c r="T39" t="str">
        <x:v>REVIEW_REQUIRED</x:v>
      </x:c>
      <x:c r="U39" t="str">
        <x:v>NOT_REQUIRED</x:v>
      </x:c>
      <x:c r="V39" s="16" t="n">
        <x:v>0.8717</x:v>
      </x:c>
      <x:c r="W39" t="str">
        <x:v>English</x:v>
      </x:c>
      <x:c r="X39"/>
      <x:c r="Y39" t="n">
        <x:v>152</x:v>
      </x:c>
      <x:c r="Z39" s="17" t="n">
        <x:v>4.58</x:v>
      </x:c>
      <x:c r="AA39" s="16" t="n">
        <x:v>0.6971</x:v>
      </x:c>
      <x:c r="AB39" s="16" t="n">
        <x:v>0.8818</x:v>
      </x:c>
      <x:c r="AC39" s="16" t="n">
        <x:v>0.8841</x:v>
      </x:c>
      <x:c r="AD39" t="n">
        <x:v>0</x:v>
      </x:c>
      <x:c r="AE39" t="str">
        <x:f>IF(O39&lt;&gt;"ACTIVE","NOT_RATED",IF(AND(Z39&gt;=4.8,AB39&gt;=0.97,AC39&gt;=0.93,AD39=0),"ELITE",IF(AND(Z39&gt;=4.6,AB39&gt;=0.94,AC39&gt;=0.88),"HIGH_PERFORMER",IF(OR(Z39&lt;4.2,AB39&lt;0.85,AD39&gt;=2),"AT_RISK","STANDARD"))))</x:f>
        <x:v>NOT_RATED</x:v>
      </x:c>
      <x:c r="AF39" s="15" t="n">
        <x:v>45946.06499181713</x:v>
      </x:c>
      <x:c r="AG39" t="str">
        <x:v>VERIFIED</x:v>
      </x:c>
      <x:c r="AH39" t="str">
        <x:v>COMPLETE</x:v>
      </x:c>
      <x:c r="AI39" t="str">
        <x:v>Robin Perez</x:v>
      </x:c>
      <x:c r="AJ39" t="str">
        <x:v>FRIEND</x:v>
      </x:c>
      <x:c r="AK39" t="str">
        <x:v>+1 (704) 555-0182</x:v>
      </x:c>
    </x:row>
    <x:row r="40" ht="18" customHeight="1">
      <x:c r="A40" t="str">
        <x:v>DHR-00039</x:v>
      </x:c>
      <x:c r="B40" t="str">
        <x:v>Ava Thomas</x:v>
      </x:c>
      <x:c r="C40" t="str">
        <x:v>https://api.dicebear.com/9.x/adventurer/png?seed=DHR-00039-Ava%20Thomas&amp;size=256&amp;radius=50&amp;backgroundColor=b6e3f4,c0aede,d1d4f9,ffd5dc,ffdfbf</x:v>
      </x:c>
      <x:c r="D40" t="str">
        <x:v>ava.thomas.039@example.com</x:v>
      </x:c>
      <x:c r="E40" t="str">
        <x:v>+1 (617) 555-0138</x:v>
      </x:c>
      <x:c r="F40" t="str">
        <x:v>Boston, MA</x:v>
      </x:c>
      <x:c r="G40" t="str">
        <x:v>Boston</x:v>
      </x:c>
      <x:c r="H40" t="str">
        <x:v>MA</x:v>
      </x:c>
      <x:c r="I40" s="18" t="str">
        <x:v>02108</x:v>
      </x:c>
      <x:c r="J40" s="15" t="n">
        <x:v>37686.24743834491</x:v>
      </x:c>
      <x:c r="K40" t="n">
        <x:f>INT((DATE(2025,12,31)-J40)/365.25)</x:f>
        <x:v>22</x:v>
      </x:c>
      <x:c r="L40" t="str">
        <x:f>IF(K40&lt;25,"18-24",IF(K40&lt;35,"25-34",IF(K40&lt;45,"35-44",IF(K40&lt;55,"45-54","55+"))))</x:f>
        <x:v>18-24</x:v>
      </x:c>
      <x:c r="M40" s="15" t="n">
        <x:v>45323.24140513889</x:v>
      </x:c>
      <x:c r="N40" t="n">
        <x:f>(YEAR(DATE(2025,12,31))-YEAR(M40))*12+MONTH(DATE(2025,12,31))-MONTH(M40)</x:f>
        <x:v>22</x:v>
      </x:c>
      <x:c r="O40" t="str">
        <x:v>ACTIVE</x:v>
      </x:c>
      <x:c r="P40" t="str">
        <x:v>INDEPENDENT_CONTRACTOR</x:v>
      </x:c>
      <x:c r="Q40" t="str">
        <x:v>CAR</x:v>
      </x:c>
      <x:c r="R40" t="str">
        <x:v>FLEXIBLE</x:v>
      </x:c>
      <x:c r="S40" t="n">
        <x:v>37</x:v>
      </x:c>
      <x:c r="T40" t="str">
        <x:v>CLEARED</x:v>
      </x:c>
      <x:c r="U40" t="str">
        <x:v>VALID</x:v>
      </x:c>
      <x:c r="V40" s="16" t="n">
        <x:v>0.978</x:v>
      </x:c>
      <x:c r="W40" t="str">
        <x:v>Spanish</x:v>
      </x:c>
      <x:c r="X40" t="str">
        <x:v>English</x:v>
      </x:c>
      <x:c r="Y40" t="n">
        <x:v>2348</x:v>
      </x:c>
      <x:c r="Z40" s="17" t="n">
        <x:v>4.63</x:v>
      </x:c>
      <x:c r="AA40" s="16" t="n">
        <x:v>0.8253</x:v>
      </x:c>
      <x:c r="AB40" s="16" t="n">
        <x:v>0.8873</x:v>
      </x:c>
      <x:c r="AC40" s="16" t="n">
        <x:v>0.8733</x:v>
      </x:c>
      <x:c r="AD40" t="n">
        <x:v>0</x:v>
      </x:c>
      <x:c r="AE40" t="str">
        <x:f>IF(O40&lt;&gt;"ACTIVE","NOT_RATED",IF(AND(Z40&gt;=4.8,AB40&gt;=0.97,AC40&gt;=0.93,AD40=0),"ELITE",IF(AND(Z40&gt;=4.6,AB40&gt;=0.94,AC40&gt;=0.88),"HIGH_PERFORMER",IF(OR(Z40&lt;4.2,AB40&lt;0.85,AD40&gt;=2),"AT_RISK","STANDARD"))))</x:f>
        <x:v>STANDARD</x:v>
      </x:c>
      <x:c r="AF40" s="15" t="n">
        <x:v>46021</x:v>
      </x:c>
      <x:c r="AG40" t="str">
        <x:v>VERIFIED</x:v>
      </x:c>
      <x:c r="AH40" t="str">
        <x:v>COMPLETE</x:v>
      </x:c>
      <x:c r="AI40" t="str">
        <x:v>Cameron White</x:v>
      </x:c>
      <x:c r="AJ40" t="str">
        <x:v>FRIEND</x:v>
      </x:c>
      <x:c r="AK40" t="str">
        <x:v>+1 (617) 555-0189</x:v>
      </x:c>
    </x:row>
    <x:row r="41" ht="18" customHeight="1">
      <x:c r="A41" t="str">
        <x:v>DHR-00040</x:v>
      </x:c>
      <x:c r="B41" t="str">
        <x:v>Ava Thompson</x:v>
      </x:c>
      <x:c r="C41" t="str">
        <x:v>https://api.dicebear.com/9.x/adventurer/png?seed=DHR-00040-Ava%20Thompson&amp;size=256&amp;radius=50&amp;backgroundColor=b6e3f4,c0aede,d1d4f9,ffd5dc,ffdfbf</x:v>
      </x:c>
      <x:c r="D41" t="str">
        <x:v>ava.thompson.040@example.com</x:v>
      </x:c>
      <x:c r="E41" t="str">
        <x:v>+1 (503) 555-0139</x:v>
      </x:c>
      <x:c r="F41" t="str">
        <x:v>Portland, OR</x:v>
      </x:c>
      <x:c r="G41" t="str">
        <x:v>Portland</x:v>
      </x:c>
      <x:c r="H41" t="str">
        <x:v>OR</x:v>
      </x:c>
      <x:c r="I41" s="18" t="str">
        <x:v>97205</x:v>
      </x:c>
      <x:c r="J41" s="15" t="n">
        <x:v>30888.68471212963</x:v>
      </x:c>
      <x:c r="K41" t="n">
        <x:f>INT((DATE(2025,12,31)-J41)/365.25)</x:f>
        <x:v>41</x:v>
      </x:c>
      <x:c r="L41" t="str">
        <x:f>IF(K41&lt;25,"18-24",IF(K41&lt;35,"25-34",IF(K41&lt;45,"35-44",IF(K41&lt;55,"45-54","55+"))))</x:f>
        <x:v>35-44</x:v>
      </x:c>
      <x:c r="M41" s="15" t="n">
        <x:v>43628.27618253472</x:v>
      </x:c>
      <x:c r="N41" t="n">
        <x:f>(YEAR(DATE(2025,12,31))-YEAR(M41))*12+MONTH(DATE(2025,12,31))-MONTH(M41)</x:f>
        <x:v>78</x:v>
      </x:c>
      <x:c r="O41" t="str">
        <x:v>ACTIVE</x:v>
      </x:c>
      <x:c r="P41" t="str">
        <x:v>INDEPENDENT_CONTRACTOR</x:v>
      </x:c>
      <x:c r="Q41" t="str">
        <x:v>CAR</x:v>
      </x:c>
      <x:c r="R41" t="str">
        <x:v>WEEKENDS</x:v>
      </x:c>
      <x:c r="S41" t="n">
        <x:v>29</x:v>
      </x:c>
      <x:c r="T41" t="str">
        <x:v>CLEARED</x:v>
      </x:c>
      <x:c r="U41" t="str">
        <x:v>VALID</x:v>
      </x:c>
      <x:c r="V41" s="16" t="n">
        <x:v>0.8477</x:v>
      </x:c>
      <x:c r="W41" t="str">
        <x:v>English</x:v>
      </x:c>
      <x:c r="X41"/>
      <x:c r="Y41" t="n">
        <x:v>6889</x:v>
      </x:c>
      <x:c r="Z41" s="17" t="n">
        <x:v>4.38</x:v>
      </x:c>
      <x:c r="AA41" s="16" t="n">
        <x:v>0.9212</x:v>
      </x:c>
      <x:c r="AB41" s="16" t="n">
        <x:v>0.9944</x:v>
      </x:c>
      <x:c r="AC41" s="16" t="n">
        <x:v>0.8613</x:v>
      </x:c>
      <x:c r="AD41" t="n">
        <x:v>1</x:v>
      </x:c>
      <x:c r="AE41" t="str">
        <x:f>IF(O41&lt;&gt;"ACTIVE","NOT_RATED",IF(AND(Z41&gt;=4.8,AB41&gt;=0.97,AC41&gt;=0.93,AD41=0),"ELITE",IF(AND(Z41&gt;=4.6,AB41&gt;=0.94,AC41&gt;=0.88),"HIGH_PERFORMER",IF(OR(Z41&lt;4.2,AB41&lt;0.85,AD41&gt;=2),"AT_RISK","STANDARD"))))</x:f>
        <x:v>STANDARD</x:v>
      </x:c>
      <x:c r="AF41" s="15" t="n">
        <x:v>46017</x:v>
      </x:c>
      <x:c r="AG41" t="str">
        <x:v>VERIFIED</x:v>
      </x:c>
      <x:c r="AH41" t="str">
        <x:v>COMPLETE</x:v>
      </x:c>
      <x:c r="AI41" t="str">
        <x:v>Chris Wilson</x:v>
      </x:c>
      <x:c r="AJ41" t="str">
        <x:v>SPOUSE_PARTNER</x:v>
      </x:c>
      <x:c r="AK41" t="str">
        <x:v>+1 (503) 555-0196</x:v>
      </x:c>
    </x:row>
    <x:row r="42" ht="18" customHeight="1">
      <x:c r="A42" t="str">
        <x:v>DHR-00041</x:v>
      </x:c>
      <x:c r="B42" t="str">
        <x:v>Ava Walker</x:v>
      </x:c>
      <x:c r="C42" t="str">
        <x:v>https://api.dicebear.com/9.x/adventurer/png?seed=DHR-00041-Ava%20Walker&amp;size=256&amp;radius=50&amp;backgroundColor=b6e3f4,c0aede,d1d4f9,ffd5dc,ffdfbf</x:v>
      </x:c>
      <x:c r="D42" t="str">
        <x:v>ava.walker.041@example.com</x:v>
      </x:c>
      <x:c r="E42" t="str">
        <x:v>+1 (210) 555-0140</x:v>
      </x:c>
      <x:c r="F42" t="str">
        <x:v>San Antonio, TX</x:v>
      </x:c>
      <x:c r="G42" t="str">
        <x:v>San Antonio</x:v>
      </x:c>
      <x:c r="H42" t="str">
        <x:v>TX</x:v>
      </x:c>
      <x:c r="I42" s="18" t="str">
        <x:v>78205</x:v>
      </x:c>
      <x:c r="J42" s="15" t="n">
        <x:v>30305.86766144676</x:v>
      </x:c>
      <x:c r="K42" t="n">
        <x:f>INT((DATE(2025,12,31)-J42)/365.25)</x:f>
        <x:v>43</x:v>
      </x:c>
      <x:c r="L42" t="str">
        <x:f>IF(K42&lt;25,"18-24",IF(K42&lt;35,"25-34",IF(K42&lt;45,"35-44",IF(K42&lt;55,"45-54","55+"))))</x:f>
        <x:v>35-44</x:v>
      </x:c>
      <x:c r="M42" s="15" t="n">
        <x:v>44977.25777887731</x:v>
      </x:c>
      <x:c r="N42" t="n">
        <x:f>(YEAR(DATE(2025,12,31))-YEAR(M42))*12+MONTH(DATE(2025,12,31))-MONTH(M42)</x:f>
        <x:v>34</x:v>
      </x:c>
      <x:c r="O42" t="str">
        <x:v>ACTIVE</x:v>
      </x:c>
      <x:c r="P42" t="str">
        <x:v>INDEPENDENT_CONTRACTOR</x:v>
      </x:c>
      <x:c r="Q42" t="str">
        <x:v>MOTORCYCLE</x:v>
      </x:c>
      <x:c r="R42" t="str">
        <x:v>DINNER</x:v>
      </x:c>
      <x:c r="S42" t="n">
        <x:v>22</x:v>
      </x:c>
      <x:c r="T42" t="str">
        <x:v>CLEARED</x:v>
      </x:c>
      <x:c r="U42" t="str">
        <x:v>VALID</x:v>
      </x:c>
      <x:c r="V42" s="16" t="n">
        <x:v>0.7937</x:v>
      </x:c>
      <x:c r="W42" t="str">
        <x:v>Spanish</x:v>
      </x:c>
      <x:c r="X42"/>
      <x:c r="Y42" t="n">
        <x:v>1433</x:v>
      </x:c>
      <x:c r="Z42" s="17" t="n">
        <x:v>4.24</x:v>
      </x:c>
      <x:c r="AA42" s="16" t="n">
        <x:v>0.8517</x:v>
      </x:c>
      <x:c r="AB42" s="16" t="n">
        <x:v>0.9044</x:v>
      </x:c>
      <x:c r="AC42" s="16" t="n">
        <x:v>0.9255</x:v>
      </x:c>
      <x:c r="AD42" t="n">
        <x:v>0</x:v>
      </x:c>
      <x:c r="AE42" t="str">
        <x:f>IF(O42&lt;&gt;"ACTIVE","NOT_RATED",IF(AND(Z42&gt;=4.8,AB42&gt;=0.97,AC42&gt;=0.93,AD42=0),"ELITE",IF(AND(Z42&gt;=4.6,AB42&gt;=0.94,AC42&gt;=0.88),"HIGH_PERFORMER",IF(OR(Z42&lt;4.2,AB42&lt;0.85,AD42&gt;=2),"AT_RISK","STANDARD"))))</x:f>
        <x:v>STANDARD</x:v>
      </x:c>
      <x:c r="AF42" s="15" t="n">
        <x:v>46022</x:v>
      </x:c>
      <x:c r="AG42" t="str">
        <x:v>VERIFIED</x:v>
      </x:c>
      <x:c r="AH42" t="str">
        <x:v>COMPLETE</x:v>
      </x:c>
      <x:c r="AI42" t="str">
        <x:v>Reese Williams</x:v>
      </x:c>
      <x:c r="AJ42" t="str">
        <x:v>SPOUSE_PARTNER</x:v>
      </x:c>
      <x:c r="AK42" t="str">
        <x:v>+1 (210) 555-0103</x:v>
      </x:c>
    </x:row>
    <x:row r="43" ht="18" customHeight="1">
      <x:c r="A43" t="str">
        <x:v>DHR-00042</x:v>
      </x:c>
      <x:c r="B43" t="str">
        <x:v>Ava White</x:v>
      </x:c>
      <x:c r="C43" t="str">
        <x:v>https://api.dicebear.com/9.x/adventurer/png?seed=DHR-00042-Ava%20White&amp;size=256&amp;radius=50&amp;backgroundColor=b6e3f4,c0aede,d1d4f9,ffd5dc,ffdfbf</x:v>
      </x:c>
      <x:c r="D43" t="str">
        <x:v>ava.white.042@example.com</x:v>
      </x:c>
      <x:c r="E43" t="str">
        <x:v>+1 (415) 555-0141</x:v>
      </x:c>
      <x:c r="F43" t="str">
        <x:v>San Francisco, CA</x:v>
      </x:c>
      <x:c r="G43" t="str">
        <x:v>San Francisco</x:v>
      </x:c>
      <x:c r="H43" t="str">
        <x:v>CA</x:v>
      </x:c>
      <x:c r="I43" s="18" t="str">
        <x:v>94103</x:v>
      </x:c>
      <x:c r="J43" s="15" t="n">
        <x:v>26342.27706255787</x:v>
      </x:c>
      <x:c r="K43" t="n">
        <x:f>INT((DATE(2025,12,31)-J43)/365.25)</x:f>
        <x:v>53</x:v>
      </x:c>
      <x:c r="L43" t="str">
        <x:f>IF(K43&lt;25,"18-24",IF(K43&lt;35,"25-34",IF(K43&lt;45,"35-44",IF(K43&lt;55,"45-54","55+"))))</x:f>
        <x:v>45-54</x:v>
      </x:c>
      <x:c r="M43" s="15" t="n">
        <x:v>43893.53618959491</x:v>
      </x:c>
      <x:c r="N43" t="n">
        <x:f>(YEAR(DATE(2025,12,31))-YEAR(M43))*12+MONTH(DATE(2025,12,31))-MONTH(M43)</x:f>
        <x:v>69</x:v>
      </x:c>
      <x:c r="O43" t="str">
        <x:v>ACTIVE</x:v>
      </x:c>
      <x:c r="P43" t="str">
        <x:v>INDEPENDENT_CONTRACTOR</x:v>
      </x:c>
      <x:c r="Q43" t="str">
        <x:v>E_BIKE</x:v>
      </x:c>
      <x:c r="R43" t="str">
        <x:v>DINNER</x:v>
      </x:c>
      <x:c r="S43" t="n">
        <x:v>14</x:v>
      </x:c>
      <x:c r="T43" t="str">
        <x:v>CLEARED</x:v>
      </x:c>
      <x:c r="U43" t="str">
        <x:v>NOT_REQUIRED</x:v>
      </x:c>
      <x:c r="V43" s="16" t="n">
        <x:v>0.9962</x:v>
      </x:c>
      <x:c r="W43" t="str">
        <x:v>English</x:v>
      </x:c>
      <x:c r="X43"/>
      <x:c r="Y43" t="n">
        <x:v>2783</x:v>
      </x:c>
      <x:c r="Z43" s="17" t="n">
        <x:v>4.97</x:v>
      </x:c>
      <x:c r="AA43" s="16" t="n">
        <x:v>0.6757</x:v>
      </x:c>
      <x:c r="AB43" s="16" t="n">
        <x:v>0.9582</x:v>
      </x:c>
      <x:c r="AC43" s="16" t="n">
        <x:v>0.9715</x:v>
      </x:c>
      <x:c r="AD43" t="n">
        <x:v>0</x:v>
      </x:c>
      <x:c r="AE43" t="str">
        <x:f>IF(O43&lt;&gt;"ACTIVE","NOT_RATED",IF(AND(Z43&gt;=4.8,AB43&gt;=0.97,AC43&gt;=0.93,AD43=0),"ELITE",IF(AND(Z43&gt;=4.6,AB43&gt;=0.94,AC43&gt;=0.88),"HIGH_PERFORMER",IF(OR(Z43&lt;4.2,AB43&lt;0.85,AD43&gt;=2),"AT_RISK","STANDARD"))))</x:f>
        <x:v>HIGH_PERFORMER</x:v>
      </x:c>
      <x:c r="AF43" s="15" t="n">
        <x:v>46014</x:v>
      </x:c>
      <x:c r="AG43" t="str">
        <x:v>VERIFIED</x:v>
      </x:c>
      <x:c r="AH43" t="str">
        <x:v>COMPLETE</x:v>
      </x:c>
      <x:c r="AI43" t="str">
        <x:v>Drew Williams</x:v>
      </x:c>
      <x:c r="AJ43" t="str">
        <x:v>SPOUSE_PARTNER</x:v>
      </x:c>
      <x:c r="AK43" t="str">
        <x:v>+1 (415) 555-0110</x:v>
      </x:c>
    </x:row>
    <x:row r="44" ht="18" customHeight="1">
      <x:c r="A44" t="str">
        <x:v>DHR-00043</x:v>
      </x:c>
      <x:c r="B44" t="str">
        <x:v>Ava Williams</x:v>
      </x:c>
      <x:c r="C44" t="str">
        <x:v>https://api.dicebear.com/9.x/adventurer/png?seed=DHR-00043-Ava%20Williams&amp;size=256&amp;radius=50&amp;backgroundColor=b6e3f4,c0aede,d1d4f9,ffd5dc,ffdfbf</x:v>
      </x:c>
      <x:c r="D44" t="str">
        <x:v>ava.williams.043@example.com</x:v>
      </x:c>
      <x:c r="E44" t="str">
        <x:v>+1 (619) 555-0142</x:v>
      </x:c>
      <x:c r="F44" t="str">
        <x:v>San Diego, CA</x:v>
      </x:c>
      <x:c r="G44" t="str">
        <x:v>San Diego</x:v>
      </x:c>
      <x:c r="H44" t="str">
        <x:v>CA</x:v>
      </x:c>
      <x:c r="I44" s="18" t="str">
        <x:v>92101</x:v>
      </x:c>
      <x:c r="J44" s="15" t="n">
        <x:v>31826.119096574075</x:v>
      </x:c>
      <x:c r="K44" t="n">
        <x:f>INT((DATE(2025,12,31)-J44)/365.25)</x:f>
        <x:v>38</x:v>
      </x:c>
      <x:c r="L44" t="str">
        <x:f>IF(K44&lt;25,"18-24",IF(K44&lt;35,"25-34",IF(K44&lt;45,"35-44",IF(K44&lt;55,"45-54","55+"))))</x:f>
        <x:v>35-44</x:v>
      </x:c>
      <x:c r="M44" s="15" t="n">
        <x:v>45194.692796550924</x:v>
      </x:c>
      <x:c r="N44" t="n">
        <x:f>(YEAR(DATE(2025,12,31))-YEAR(M44))*12+MONTH(DATE(2025,12,31))-MONTH(M44)</x:f>
        <x:v>27</x:v>
      </x:c>
      <x:c r="O44" t="str">
        <x:v>ACTIVE</x:v>
      </x:c>
      <x:c r="P44" t="str">
        <x:v>INDEPENDENT_CONTRACTOR</x:v>
      </x:c>
      <x:c r="Q44" t="str">
        <x:v>CAR</x:v>
      </x:c>
      <x:c r="R44" t="str">
        <x:v>DINNER</x:v>
      </x:c>
      <x:c r="S44" t="n">
        <x:v>8</x:v>
      </x:c>
      <x:c r="T44" t="str">
        <x:v>CLEARED</x:v>
      </x:c>
      <x:c r="U44" t="str">
        <x:v>VALID</x:v>
      </x:c>
      <x:c r="V44" s="16" t="n">
        <x:v>0.8952</x:v>
      </x:c>
      <x:c r="W44" t="str">
        <x:v>English</x:v>
      </x:c>
      <x:c r="X44"/>
      <x:c r="Y44" t="n">
        <x:v>776</x:v>
      </x:c>
      <x:c r="Z44" s="17" t="n">
        <x:v>4.37</x:v>
      </x:c>
      <x:c r="AA44" s="16" t="n">
        <x:v>0.9357</x:v>
      </x:c>
      <x:c r="AB44" s="16" t="n">
        <x:v>0.9702</x:v>
      </x:c>
      <x:c r="AC44" s="16" t="n">
        <x:v>0.8848</x:v>
      </x:c>
      <x:c r="AD44" t="n">
        <x:v>0</x:v>
      </x:c>
      <x:c r="AE44" t="str">
        <x:f>IF(O44&lt;&gt;"ACTIVE","NOT_RATED",IF(AND(Z44&gt;=4.8,AB44&gt;=0.97,AC44&gt;=0.93,AD44=0),"ELITE",IF(AND(Z44&gt;=4.6,AB44&gt;=0.94,AC44&gt;=0.88),"HIGH_PERFORMER",IF(OR(Z44&lt;4.2,AB44&lt;0.85,AD44&gt;=2),"AT_RISK","STANDARD"))))</x:f>
        <x:v>STANDARD</x:v>
      </x:c>
      <x:c r="AF44" s="15" t="n">
        <x:v>46010</x:v>
      </x:c>
      <x:c r="AG44" t="str">
        <x:v>VERIFIED</x:v>
      </x:c>
      <x:c r="AH44" t="str">
        <x:v>COMPLETE</x:v>
      </x:c>
      <x:c r="AI44" t="str">
        <x:v>Chris Jones</x:v>
      </x:c>
      <x:c r="AJ44" t="str">
        <x:v>PARENT</x:v>
      </x:c>
      <x:c r="AK44" t="str">
        <x:v>+1 (619) 555-0117</x:v>
      </x:c>
    </x:row>
    <x:row r="45" ht="18" customHeight="1">
      <x:c r="A45" t="str">
        <x:v>DHR-00044</x:v>
      </x:c>
      <x:c r="B45" t="str">
        <x:v>Ava Wilson</x:v>
      </x:c>
      <x:c r="C45" t="str">
        <x:v>https://api.dicebear.com/9.x/adventurer/png?seed=DHR-00044-Ava%20Wilson&amp;size=256&amp;radius=50&amp;backgroundColor=b6e3f4,c0aede,d1d4f9,ffd5dc,ffdfbf</x:v>
      </x:c>
      <x:c r="D45" t="str">
        <x:v>ava.wilson.044@example.com</x:v>
      </x:c>
      <x:c r="E45" t="str">
        <x:v>+1 (303) 555-0143</x:v>
      </x:c>
      <x:c r="F45" t="str">
        <x:v>Denver, CO</x:v>
      </x:c>
      <x:c r="G45" t="str">
        <x:v>Denver</x:v>
      </x:c>
      <x:c r="H45" t="str">
        <x:v>CO</x:v>
      </x:c>
      <x:c r="I45" s="18" t="str">
        <x:v>80202</x:v>
      </x:c>
      <x:c r="J45" s="15" t="n">
        <x:v>37420.686436585645</x:v>
      </x:c>
      <x:c r="K45" t="n">
        <x:f>INT((DATE(2025,12,31)-J45)/365.25)</x:f>
        <x:v>23</x:v>
      </x:c>
      <x:c r="L45" t="str">
        <x:f>IF(K45&lt;25,"18-24",IF(K45&lt;35,"25-34",IF(K45&lt;45,"35-44",IF(K45&lt;55,"45-54","55+"))))</x:f>
        <x:v>18-24</x:v>
      </x:c>
      <x:c r="M45" s="15" t="n">
        <x:v>44451.36465016204</x:v>
      </x:c>
      <x:c r="N45" t="n">
        <x:f>(YEAR(DATE(2025,12,31))-YEAR(M45))*12+MONTH(DATE(2025,12,31))-MONTH(M45)</x:f>
        <x:v>51</x:v>
      </x:c>
      <x:c r="O45" t="str">
        <x:v>ACTIVE</x:v>
      </x:c>
      <x:c r="P45" t="str">
        <x:v>INDEPENDENT_CONTRACTOR</x:v>
      </x:c>
      <x:c r="Q45" t="str">
        <x:v>E_BIKE</x:v>
      </x:c>
      <x:c r="R45" t="str">
        <x:v>FLEXIBLE</x:v>
      </x:c>
      <x:c r="S45" t="n">
        <x:v>37</x:v>
      </x:c>
      <x:c r="T45" t="str">
        <x:v>CLEARED</x:v>
      </x:c>
      <x:c r="U45" t="str">
        <x:v>NOT_REQUIRED</x:v>
      </x:c>
      <x:c r="V45" s="16" t="n">
        <x:v>0.8984</x:v>
      </x:c>
      <x:c r="W45" t="str">
        <x:v>English</x:v>
      </x:c>
      <x:c r="X45"/>
      <x:c r="Y45" t="n">
        <x:v>6828</x:v>
      </x:c>
      <x:c r="Z45" s="17" t="n">
        <x:v>4.85</x:v>
      </x:c>
      <x:c r="AA45" s="16" t="n">
        <x:v>0.9478</x:v>
      </x:c>
      <x:c r="AB45" s="16" t="n">
        <x:v>0.9411</x:v>
      </x:c>
      <x:c r="AC45" s="16" t="n">
        <x:v>0.8435</x:v>
      </x:c>
      <x:c r="AD45" t="n">
        <x:v>0</x:v>
      </x:c>
      <x:c r="AE45" t="str">
        <x:f>IF(O45&lt;&gt;"ACTIVE","NOT_RATED",IF(AND(Z45&gt;=4.8,AB45&gt;=0.97,AC45&gt;=0.93,AD45=0),"ELITE",IF(AND(Z45&gt;=4.6,AB45&gt;=0.94,AC45&gt;=0.88),"HIGH_PERFORMER",IF(OR(Z45&lt;4.2,AB45&lt;0.85,AD45&gt;=2),"AT_RISK","STANDARD"))))</x:f>
        <x:v>STANDARD</x:v>
      </x:c>
      <x:c r="AF45" s="15" t="n">
        <x:v>46020</x:v>
      </x:c>
      <x:c r="AG45" t="str">
        <x:v>VERIFIED</x:v>
      </x:c>
      <x:c r="AH45" t="str">
        <x:v>COMPLETE</x:v>
      </x:c>
      <x:c r="AI45" t="str">
        <x:v>Chris Martin</x:v>
      </x:c>
      <x:c r="AJ45" t="str">
        <x:v>SPOUSE_PARTNER</x:v>
      </x:c>
      <x:c r="AK45" t="str">
        <x:v>+1 (303) 555-0124</x:v>
      </x:c>
    </x:row>
    <x:row r="46" ht="18" customHeight="1">
      <x:c r="A46" t="str">
        <x:v>DHR-00045</x:v>
      </x:c>
      <x:c r="B46" t="str">
        <x:v>Ava Young</x:v>
      </x:c>
      <x:c r="C46" t="str">
        <x:v>https://api.dicebear.com/9.x/adventurer/png?seed=DHR-00045-Ava%20Young&amp;size=256&amp;radius=50&amp;backgroundColor=b6e3f4,c0aede,d1d4f9,ffd5dc,ffdfbf</x:v>
      </x:c>
      <x:c r="D46" t="str">
        <x:v>ava.young.045@example.com</x:v>
      </x:c>
      <x:c r="E46" t="str">
        <x:v>+1 (702) 555-0144</x:v>
      </x:c>
      <x:c r="F46" t="str">
        <x:v>Las Vegas, NV</x:v>
      </x:c>
      <x:c r="G46" t="str">
        <x:v>Las Vegas</x:v>
      </x:c>
      <x:c r="H46" t="str">
        <x:v>NV</x:v>
      </x:c>
      <x:c r="I46" s="18" t="str">
        <x:v>89101</x:v>
      </x:c>
      <x:c r="J46" s="15" t="n">
        <x:v>27801.671050578705</x:v>
      </x:c>
      <x:c r="K46" t="n">
        <x:f>INT((DATE(2025,12,31)-J46)/365.25)</x:f>
        <x:v>49</x:v>
      </x:c>
      <x:c r="L46" t="str">
        <x:f>IF(K46&lt;25,"18-24",IF(K46&lt;35,"25-34",IF(K46&lt;45,"35-44",IF(K46&lt;55,"45-54","55+"))))</x:f>
        <x:v>45-54</x:v>
      </x:c>
      <x:c r="M46" s="15" t="n">
        <x:v>45399.27597664352</x:v>
      </x:c>
      <x:c r="N46" t="n">
        <x:f>(YEAR(DATE(2025,12,31))-YEAR(M46))*12+MONTH(DATE(2025,12,31))-MONTH(M46)</x:f>
        <x:v>20</x:v>
      </x:c>
      <x:c r="O46" t="str">
        <x:v>ACTIVE</x:v>
      </x:c>
      <x:c r="P46" t="str">
        <x:v>INDEPENDENT_CONTRACTOR</x:v>
      </x:c>
      <x:c r="Q46" t="str">
        <x:v>BICYCLE</x:v>
      </x:c>
      <x:c r="R46" t="str">
        <x:v>WEEKENDS</x:v>
      </x:c>
      <x:c r="S46" t="n">
        <x:v>38</x:v>
      </x:c>
      <x:c r="T46" t="str">
        <x:v>CLEARED</x:v>
      </x:c>
      <x:c r="U46" t="str">
        <x:v>NOT_REQUIRED</x:v>
      </x:c>
      <x:c r="V46" s="16" t="n">
        <x:v>0.9306</x:v>
      </x:c>
      <x:c r="W46" t="str">
        <x:v>Spanish</x:v>
      </x:c>
      <x:c r="X46" t="str">
        <x:v>Mandarin</x:v>
      </x:c>
      <x:c r="Y46" t="n">
        <x:v>2448</x:v>
      </x:c>
      <x:c r="Z46" s="17" t="n">
        <x:v>4.33</x:v>
      </x:c>
      <x:c r="AA46" s="16" t="n">
        <x:v>0.6766</x:v>
      </x:c>
      <x:c r="AB46" s="16" t="n">
        <x:v>0.8739</x:v>
      </x:c>
      <x:c r="AC46" s="16" t="n">
        <x:v>0.918</x:v>
      </x:c>
      <x:c r="AD46" t="n">
        <x:v>0</x:v>
      </x:c>
      <x:c r="AE46" t="str">
        <x:f>IF(O46&lt;&gt;"ACTIVE","NOT_RATED",IF(AND(Z46&gt;=4.8,AB46&gt;=0.97,AC46&gt;=0.93,AD46=0),"ELITE",IF(AND(Z46&gt;=4.6,AB46&gt;=0.94,AC46&gt;=0.88),"HIGH_PERFORMER",IF(OR(Z46&lt;4.2,AB46&lt;0.85,AD46&gt;=2),"AT_RISK","STANDARD"))))</x:f>
        <x:v>STANDARD</x:v>
      </x:c>
      <x:c r="AF46" s="15" t="n">
        <x:v>46013</x:v>
      </x:c>
      <x:c r="AG46" t="str">
        <x:v>VERIFIED</x:v>
      </x:c>
      <x:c r="AH46" t="str">
        <x:v>COMPLETE</x:v>
      </x:c>
      <x:c r="AI46" t="str">
        <x:v>Taylor Martinez</x:v>
      </x:c>
      <x:c r="AJ46" t="str">
        <x:v>FRIEND</x:v>
      </x:c>
      <x:c r="AK46" t="str">
        <x:v>+1 (702) 555-0131</x:v>
      </x:c>
    </x:row>
    <x:row r="47" ht="18" customHeight="1">
      <x:c r="A47" t="str">
        <x:v>DHR-00046</x:v>
      </x:c>
      <x:c r="B47" t="str">
        <x:v>Avery Anderson</x:v>
      </x:c>
      <x:c r="C47" t="str">
        <x:v>https://api.dicebear.com/9.x/adventurer/png?seed=DHR-00046-Avery%20Anderson&amp;size=256&amp;radius=50&amp;backgroundColor=b6e3f4,c0aede,d1d4f9,ffd5dc,ffdfbf</x:v>
      </x:c>
      <x:c r="D47" t="str">
        <x:v>avery.anderson.046@example.com</x:v>
      </x:c>
      <x:c r="E47" t="str">
        <x:v>+1 (612) 555-0145</x:v>
      </x:c>
      <x:c r="F47" t="str">
        <x:v>Minneapolis, MN</x:v>
      </x:c>
      <x:c r="G47" t="str">
        <x:v>Minneapolis</x:v>
      </x:c>
      <x:c r="H47" t="str">
        <x:v>MN</x:v>
      </x:c>
      <x:c r="I47" s="18" t="str">
        <x:v>55401</x:v>
      </x:c>
      <x:c r="J47" s="15" t="n">
        <x:v>36705.868116516205</x:v>
      </x:c>
      <x:c r="K47" t="n">
        <x:f>INT((DATE(2025,12,31)-J47)/365.25)</x:f>
        <x:v>25</x:v>
      </x:c>
      <x:c r="L47" t="str">
        <x:f>IF(K47&lt;25,"18-24",IF(K47&lt;35,"25-34",IF(K47&lt;45,"35-44",IF(K47&lt;55,"45-54","55+"))))</x:f>
        <x:v>25-34</x:v>
      </x:c>
      <x:c r="M47" s="15" t="n">
        <x:v>45834.32836717593</x:v>
      </x:c>
      <x:c r="N47" t="n">
        <x:f>(YEAR(DATE(2025,12,31))-YEAR(M47))*12+MONTH(DATE(2025,12,31))-MONTH(M47)</x:f>
        <x:v>6</x:v>
      </x:c>
      <x:c r="O47" t="str">
        <x:v>ACTIVE</x:v>
      </x:c>
      <x:c r="P47" t="str">
        <x:v>INDEPENDENT_CONTRACTOR</x:v>
      </x:c>
      <x:c r="Q47" t="str">
        <x:v>BICYCLE</x:v>
      </x:c>
      <x:c r="R47" t="str">
        <x:v>DINNER</x:v>
      </x:c>
      <x:c r="S47" t="n">
        <x:v>36</x:v>
      </x:c>
      <x:c r="T47" t="str">
        <x:v>CLEARED</x:v>
      </x:c>
      <x:c r="U47" t="str">
        <x:v>NOT_REQUIRED</x:v>
      </x:c>
      <x:c r="V47" s="16" t="n">
        <x:v>0.9758</x:v>
      </x:c>
      <x:c r="W47" t="str">
        <x:v>Portuguese</x:v>
      </x:c>
      <x:c r="X47"/>
      <x:c r="Y47" t="n">
        <x:v>534</x:v>
      </x:c>
      <x:c r="Z47" s="17" t="n">
        <x:v>4.68</x:v>
      </x:c>
      <x:c r="AA47" s="16" t="n">
        <x:v>0.6058</x:v>
      </x:c>
      <x:c r="AB47" s="16" t="n">
        <x:v>0.9231</x:v>
      </x:c>
      <x:c r="AC47" s="16" t="n">
        <x:v>0.8068</x:v>
      </x:c>
      <x:c r="AD47" t="n">
        <x:v>0</x:v>
      </x:c>
      <x:c r="AE47" t="str">
        <x:f>IF(O47&lt;&gt;"ACTIVE","NOT_RATED",IF(AND(Z47&gt;=4.8,AB47&gt;=0.97,AC47&gt;=0.93,AD47=0),"ELITE",IF(AND(Z47&gt;=4.6,AB47&gt;=0.94,AC47&gt;=0.88),"HIGH_PERFORMER",IF(OR(Z47&lt;4.2,AB47&lt;0.85,AD47&gt;=2),"AT_RISK","STANDARD"))))</x:f>
        <x:v>STANDARD</x:v>
      </x:c>
      <x:c r="AF47" s="15" t="n">
        <x:v>46018</x:v>
      </x:c>
      <x:c r="AG47" t="str">
        <x:v>VERIFIED</x:v>
      </x:c>
      <x:c r="AH47" t="str">
        <x:v>COMPLETE</x:v>
      </x:c>
      <x:c r="AI47" t="str">
        <x:v>Jordan Garcia</x:v>
      </x:c>
      <x:c r="AJ47" t="str">
        <x:v>PARENT</x:v>
      </x:c>
      <x:c r="AK47" t="str">
        <x:v>+1 (612) 555-0138</x:v>
      </x:c>
    </x:row>
    <x:row r="48" ht="18" customHeight="1">
      <x:c r="A48" t="str">
        <x:v>DHR-00047</x:v>
      </x:c>
      <x:c r="B48" t="str">
        <x:v>Avery Brown</x:v>
      </x:c>
      <x:c r="C48" t="str">
        <x:v>https://api.dicebear.com/9.x/adventurer/png?seed=DHR-00047-Avery%20Brown&amp;size=256&amp;radius=50&amp;backgroundColor=b6e3f4,c0aede,d1d4f9,ffd5dc,ffdfbf</x:v>
      </x:c>
      <x:c r="D48" t="str">
        <x:v>avery.brown.047@example.com</x:v>
      </x:c>
      <x:c r="E48" t="str">
        <x:v>+1 (512) 555-0146</x:v>
      </x:c>
      <x:c r="F48" t="str">
        <x:v>Austin, TX</x:v>
      </x:c>
      <x:c r="G48" t="str">
        <x:v>Austin</x:v>
      </x:c>
      <x:c r="H48" t="str">
        <x:v>TX</x:v>
      </x:c>
      <x:c r="I48" s="18" t="str">
        <x:v>78701</x:v>
      </x:c>
      <x:c r="J48" s="15" t="n">
        <x:v>30307.349902465277</x:v>
      </x:c>
      <x:c r="K48" t="n">
        <x:f>INT((DATE(2025,12,31)-J48)/365.25)</x:f>
        <x:v>43</x:v>
      </x:c>
      <x:c r="L48" t="str">
        <x:f>IF(K48&lt;25,"18-24",IF(K48&lt;35,"25-34",IF(K48&lt;45,"35-44",IF(K48&lt;55,"45-54","55+"))))</x:f>
        <x:v>35-44</x:v>
      </x:c>
      <x:c r="M48" s="15" t="n">
        <x:v>43846.31700729167</x:v>
      </x:c>
      <x:c r="N48" t="n">
        <x:f>(YEAR(DATE(2025,12,31))-YEAR(M48))*12+MONTH(DATE(2025,12,31))-MONTH(M48)</x:f>
        <x:v>71</x:v>
      </x:c>
      <x:c r="O48" t="str">
        <x:v>OFFBOARDED</x:v>
      </x:c>
      <x:c r="P48" t="str">
        <x:v>INDEPENDENT_CONTRACTOR</x:v>
      </x:c>
      <x:c r="Q48" t="str">
        <x:v>SCOOTER</x:v>
      </x:c>
      <x:c r="R48" t="str">
        <x:v>LUNCH</x:v>
      </x:c>
      <x:c r="S48" t="n">
        <x:v>28</x:v>
      </x:c>
      <x:c r="T48" t="str">
        <x:v>EXPIRED</x:v>
      </x:c>
      <x:c r="U48" t="str">
        <x:v>VALID</x:v>
      </x:c>
      <x:c r="V48" s="16" t="n">
        <x:v>0.7843</x:v>
      </x:c>
      <x:c r="W48" t="str">
        <x:v>Arabic</x:v>
      </x:c>
      <x:c r="X48"/>
      <x:c r="Y48" t="n">
        <x:v>5612</x:v>
      </x:c>
      <x:c r="Z48" s="17" t="n">
        <x:v>4.15</x:v>
      </x:c>
      <x:c r="AA48" s="16" t="n">
        <x:v>0.99</x:v>
      </x:c>
      <x:c r="AB48" s="16" t="n">
        <x:v>0.9519</x:v>
      </x:c>
      <x:c r="AC48" s="16" t="n">
        <x:v>0.8819</x:v>
      </x:c>
      <x:c r="AD48" t="n">
        <x:v>1</x:v>
      </x:c>
      <x:c r="AE48" t="str">
        <x:f>IF(O48&lt;&gt;"ACTIVE","NOT_RATED",IF(AND(Z48&gt;=4.8,AB48&gt;=0.97,AC48&gt;=0.93,AD48=0),"ELITE",IF(AND(Z48&gt;=4.6,AB48&gt;=0.94,AC48&gt;=0.88),"HIGH_PERFORMER",IF(OR(Z48&lt;4.2,AB48&lt;0.85,AD48&gt;=2),"AT_RISK","STANDARD"))))</x:f>
        <x:v>NOT_RATED</x:v>
      </x:c>
      <x:c r="AF48" s="15" t="n">
        <x:v>45590</x:v>
      </x:c>
      <x:c r="AG48" t="str">
        <x:v>VERIFIED</x:v>
      </x:c>
      <x:c r="AH48" t="str">
        <x:v>COMPLETE</x:v>
      </x:c>
      <x:c r="AI48" t="str">
        <x:v>Avery Young</x:v>
      </x:c>
      <x:c r="AJ48" t="str">
        <x:v>SPOUSE_PARTNER</x:v>
      </x:c>
      <x:c r="AK48" t="str">
        <x:v>+1 (512) 555-0145</x:v>
      </x:c>
    </x:row>
    <x:row r="49" ht="18" customHeight="1">
      <x:c r="A49" t="str">
        <x:v>DHR-00048</x:v>
      </x:c>
      <x:c r="B49" t="str">
        <x:v>Avery Clark</x:v>
      </x:c>
      <x:c r="C49" t="str">
        <x:v>https://api.dicebear.com/9.x/adventurer/png?seed=DHR-00048-Avery%20Clark&amp;size=256&amp;radius=50&amp;backgroundColor=b6e3f4,c0aede,d1d4f9,ffd5dc,ffdfbf</x:v>
      </x:c>
      <x:c r="D49" t="str">
        <x:v>avery.clark.048@example.com</x:v>
      </x:c>
      <x:c r="E49" t="str">
        <x:v>+1 (212) 555-0147</x:v>
      </x:c>
      <x:c r="F49" t="str">
        <x:v>New York, NY</x:v>
      </x:c>
      <x:c r="G49" t="str">
        <x:v>New York</x:v>
      </x:c>
      <x:c r="H49" t="str">
        <x:v>NY</x:v>
      </x:c>
      <x:c r="I49" s="18" t="str">
        <x:v>10001</x:v>
      </x:c>
      <x:c r="J49" s="15" t="n">
        <x:v>32231.62500880787</x:v>
      </x:c>
      <x:c r="K49" t="n">
        <x:f>INT((DATE(2025,12,31)-J49)/365.25)</x:f>
        <x:v>37</x:v>
      </x:c>
      <x:c r="L49" t="str">
        <x:f>IF(K49&lt;25,"18-24",IF(K49&lt;35,"25-34",IF(K49&lt;45,"35-44",IF(K49&lt;55,"45-54","55+"))))</x:f>
        <x:v>35-44</x:v>
      </x:c>
      <x:c r="M49" s="15" t="n">
        <x:v>45845.996700891206</x:v>
      </x:c>
      <x:c r="N49" t="n">
        <x:f>(YEAR(DATE(2025,12,31))-YEAR(M49))*12+MONTH(DATE(2025,12,31))-MONTH(M49)</x:f>
        <x:v>5</x:v>
      </x:c>
      <x:c r="O49" t="str">
        <x:v>ACTIVE</x:v>
      </x:c>
      <x:c r="P49" t="str">
        <x:v>INDEPENDENT_CONTRACTOR</x:v>
      </x:c>
      <x:c r="Q49" t="str">
        <x:v>BICYCLE</x:v>
      </x:c>
      <x:c r="R49" t="str">
        <x:v>DINNER</x:v>
      </x:c>
      <x:c r="S49" t="n">
        <x:v>11</x:v>
      </x:c>
      <x:c r="T49" t="str">
        <x:v>CLEARED</x:v>
      </x:c>
      <x:c r="U49" t="str">
        <x:v>NOT_REQUIRED</x:v>
      </x:c>
      <x:c r="V49" s="16" t="n">
        <x:v>0.8356</x:v>
      </x:c>
      <x:c r="W49" t="str">
        <x:v>English</x:v>
      </x:c>
      <x:c r="X49"/>
      <x:c r="Y49" t="n">
        <x:v>213</x:v>
      </x:c>
      <x:c r="Z49" s="17" t="n">
        <x:v>4.34</x:v>
      </x:c>
      <x:c r="AA49" s="16" t="n">
        <x:v>0.745</x:v>
      </x:c>
      <x:c r="AB49" s="16" t="n">
        <x:v>0.983</x:v>
      </x:c>
      <x:c r="AC49" s="16" t="n">
        <x:v>0.8292</x:v>
      </x:c>
      <x:c r="AD49" t="n">
        <x:v>0</x:v>
      </x:c>
      <x:c r="AE49" t="str">
        <x:f>IF(O49&lt;&gt;"ACTIVE","NOT_RATED",IF(AND(Z49&gt;=4.8,AB49&gt;=0.97,AC49&gt;=0.93,AD49=0),"ELITE",IF(AND(Z49&gt;=4.6,AB49&gt;=0.94,AC49&gt;=0.88),"HIGH_PERFORMER",IF(OR(Z49&lt;4.2,AB49&lt;0.85,AD49&gt;=2),"AT_RISK","STANDARD"))))</x:f>
        <x:v>STANDARD</x:v>
      </x:c>
      <x:c r="AF49" s="15" t="n">
        <x:v>46012</x:v>
      </x:c>
      <x:c r="AG49" t="str">
        <x:v>VERIFIED</x:v>
      </x:c>
      <x:c r="AH49" t="str">
        <x:v>COMPLETE</x:v>
      </x:c>
      <x:c r="AI49" t="str">
        <x:v>Noah Davis</x:v>
      </x:c>
      <x:c r="AJ49" t="str">
        <x:v>PARENT</x:v>
      </x:c>
      <x:c r="AK49" t="str">
        <x:v>+1 (212) 555-0152</x:v>
      </x:c>
    </x:row>
    <x:row r="50" ht="18" customHeight="1">
      <x:c r="A50" t="str">
        <x:v>DHR-00049</x:v>
      </x:c>
      <x:c r="B50" t="str">
        <x:v>Avery Davis</x:v>
      </x:c>
      <x:c r="C50" t="str">
        <x:v>https://api.dicebear.com/9.x/adventurer/png?seed=DHR-00049-Avery%20Davis&amp;size=256&amp;radius=50&amp;backgroundColor=b6e3f4,c0aede,d1d4f9,ffd5dc,ffdfbf</x:v>
      </x:c>
      <x:c r="D50" t="str">
        <x:v>avery.davis.049@example.com</x:v>
      </x:c>
      <x:c r="E50" t="str">
        <x:v>+1 (212) 555-0148</x:v>
      </x:c>
      <x:c r="F50" t="str">
        <x:v>New York, NY</x:v>
      </x:c>
      <x:c r="G50" t="str">
        <x:v>New York</x:v>
      </x:c>
      <x:c r="H50" t="str">
        <x:v>NY</x:v>
      </x:c>
      <x:c r="I50" s="18" t="str">
        <x:v>10001</x:v>
      </x:c>
      <x:c r="J50" s="15" t="n">
        <x:v>26817.1683875</x:v>
      </x:c>
      <x:c r="K50" t="n">
        <x:f>INT((DATE(2025,12,31)-J50)/365.25)</x:f>
        <x:v>52</x:v>
      </x:c>
      <x:c r="L50" t="str">
        <x:f>IF(K50&lt;25,"18-24",IF(K50&lt;35,"25-34",IF(K50&lt;45,"35-44",IF(K50&lt;55,"45-54","55+"))))</x:f>
        <x:v>45-54</x:v>
      </x:c>
      <x:c r="M50" s="15" t="n">
        <x:v>44162.49399178241</x:v>
      </x:c>
      <x:c r="N50" t="n">
        <x:f>(YEAR(DATE(2025,12,31))-YEAR(M50))*12+MONTH(DATE(2025,12,31))-MONTH(M50)</x:f>
        <x:v>61</x:v>
      </x:c>
      <x:c r="O50" t="str">
        <x:v>ACTIVE</x:v>
      </x:c>
      <x:c r="P50" t="str">
        <x:v>INDEPENDENT_CONTRACTOR</x:v>
      </x:c>
      <x:c r="Q50" t="str">
        <x:v>SCOOTER</x:v>
      </x:c>
      <x:c r="R50" t="str">
        <x:v>FLEXIBLE</x:v>
      </x:c>
      <x:c r="S50" t="n">
        <x:v>32</x:v>
      </x:c>
      <x:c r="T50" t="str">
        <x:v>CLEARED</x:v>
      </x:c>
      <x:c r="U50" t="str">
        <x:v>VALID</x:v>
      </x:c>
      <x:c r="V50" s="16" t="n">
        <x:v>0.9133</x:v>
      </x:c>
      <x:c r="W50" t="str">
        <x:v>English</x:v>
      </x:c>
      <x:c r="X50" t="str">
        <x:v>Spanish</x:v>
      </x:c>
      <x:c r="Y50" t="n">
        <x:v>4323</x:v>
      </x:c>
      <x:c r="Z50" s="17" t="n">
        <x:v>4.24</x:v>
      </x:c>
      <x:c r="AA50" s="16" t="n">
        <x:v>0.7668</x:v>
      </x:c>
      <x:c r="AB50" s="16" t="n">
        <x:v>0.9392</x:v>
      </x:c>
      <x:c r="AC50" s="16" t="n">
        <x:v>0.9238</x:v>
      </x:c>
      <x:c r="AD50" t="n">
        <x:v>0</x:v>
      </x:c>
      <x:c r="AE50" t="str">
        <x:f>IF(O50&lt;&gt;"ACTIVE","NOT_RATED",IF(AND(Z50&gt;=4.8,AB50&gt;=0.97,AC50&gt;=0.93,AD50=0),"ELITE",IF(AND(Z50&gt;=4.6,AB50&gt;=0.94,AC50&gt;=0.88),"HIGH_PERFORMER",IF(OR(Z50&lt;4.2,AB50&lt;0.85,AD50&gt;=2),"AT_RISK","STANDARD"))))</x:f>
        <x:v>STANDARD</x:v>
      </x:c>
      <x:c r="AF50" s="15" t="n">
        <x:v>46019</x:v>
      </x:c>
      <x:c r="AG50" t="str">
        <x:v>VERIFIED</x:v>
      </x:c>
      <x:c r="AH50" t="str">
        <x:v>COMPLETE</x:v>
      </x:c>
      <x:c r="AI50" t="str">
        <x:v>Morgan Martin</x:v>
      </x:c>
      <x:c r="AJ50" t="str">
        <x:v>PARENT</x:v>
      </x:c>
      <x:c r="AK50" t="str">
        <x:v>+1 (212) 555-0159</x:v>
      </x:c>
    </x:row>
    <x:row r="51" ht="18" customHeight="1">
      <x:c r="A51" t="str">
        <x:v>DHR-00050</x:v>
      </x:c>
      <x:c r="B51" t="str">
        <x:v>Avery Garcia</x:v>
      </x:c>
      <x:c r="C51" t="str">
        <x:v>https://api.dicebear.com/9.x/adventurer/png?seed=DHR-00050-Avery%20Garcia&amp;size=256&amp;radius=50&amp;backgroundColor=b6e3f4,c0aede,d1d4f9,ffd5dc,ffdfbf</x:v>
      </x:c>
      <x:c r="D51" t="str">
        <x:v>avery.garcia.050@example.com</x:v>
      </x:c>
      <x:c r="E51" t="str">
        <x:v>+1 (213) 555-0149</x:v>
      </x:c>
      <x:c r="F51" t="str">
        <x:v>Los Angeles, CA</x:v>
      </x:c>
      <x:c r="G51" t="str">
        <x:v>Los Angeles</x:v>
      </x:c>
      <x:c r="H51" t="str">
        <x:v>CA</x:v>
      </x:c>
      <x:c r="I51" s="18" t="str">
        <x:v>90012</x:v>
      </x:c>
      <x:c r="J51" s="15" t="n">
        <x:v>25931.506675833334</x:v>
      </x:c>
      <x:c r="K51" t="n">
        <x:f>INT((DATE(2025,12,31)-J51)/365.25)</x:f>
        <x:v>55</x:v>
      </x:c>
      <x:c r="L51" t="str">
        <x:f>IF(K51&lt;25,"18-24",IF(K51&lt;35,"25-34",IF(K51&lt;45,"35-44",IF(K51&lt;55,"45-54","55+"))))</x:f>
        <x:v>55+</x:v>
      </x:c>
      <x:c r="M51" s="15" t="n">
        <x:v>45791.783618043984</x:v>
      </x:c>
      <x:c r="N51" t="n">
        <x:f>(YEAR(DATE(2025,12,31))-YEAR(M51))*12+MONTH(DATE(2025,12,31))-MONTH(M51)</x:f>
        <x:v>7</x:v>
      </x:c>
      <x:c r="O51" t="str">
        <x:v>ACTIVE</x:v>
      </x:c>
      <x:c r="P51" t="str">
        <x:v>INDEPENDENT_CONTRACTOR</x:v>
      </x:c>
      <x:c r="Q51" t="str">
        <x:v>BICYCLE</x:v>
      </x:c>
      <x:c r="R51" t="str">
        <x:v>LUNCH</x:v>
      </x:c>
      <x:c r="S51" t="n">
        <x:v>40</x:v>
      </x:c>
      <x:c r="T51" t="str">
        <x:v>CLEARED</x:v>
      </x:c>
      <x:c r="U51" t="str">
        <x:v>NOT_REQUIRED</x:v>
      </x:c>
      <x:c r="V51" s="16" t="n">
        <x:v>0.8127</x:v>
      </x:c>
      <x:c r="W51" t="str">
        <x:v>French</x:v>
      </x:c>
      <x:c r="X51"/>
      <x:c r="Y51" t="n">
        <x:v>1447</x:v>
      </x:c>
      <x:c r="Z51" s="17" t="n">
        <x:v>4.51</x:v>
      </x:c>
      <x:c r="AA51" s="16" t="n">
        <x:v>0.9325</x:v>
      </x:c>
      <x:c r="AB51" s="16" t="n">
        <x:v>0.984</x:v>
      </x:c>
      <x:c r="AC51" s="16" t="n">
        <x:v>0.8194</x:v>
      </x:c>
      <x:c r="AD51" t="n">
        <x:v>0</x:v>
      </x:c>
      <x:c r="AE51" t="str">
        <x:f>IF(O51&lt;&gt;"ACTIVE","NOT_RATED",IF(AND(Z51&gt;=4.8,AB51&gt;=0.97,AC51&gt;=0.93,AD51=0),"ELITE",IF(AND(Z51&gt;=4.6,AB51&gt;=0.94,AC51&gt;=0.88),"HIGH_PERFORMER",IF(OR(Z51&lt;4.2,AB51&lt;0.85,AD51&gt;=2),"AT_RISK","STANDARD"))))</x:f>
        <x:v>STANDARD</x:v>
      </x:c>
      <x:c r="AF51" s="15" t="n">
        <x:v>46011</x:v>
      </x:c>
      <x:c r="AG51" t="str">
        <x:v>VERIFIED</x:v>
      </x:c>
      <x:c r="AH51" t="str">
        <x:v>COMPLETE</x:v>
      </x:c>
      <x:c r="AI51" t="str">
        <x:v>Parker Thompson</x:v>
      </x:c>
      <x:c r="AJ51" t="str">
        <x:v>SPOUSE_PARTNER</x:v>
      </x:c>
      <x:c r="AK51" t="str">
        <x:v>+1 (213) 555-0166</x:v>
      </x:c>
    </x:row>
    <x:row r="52" ht="18" customHeight="1">
      <x:c r="A52" t="str">
        <x:v>DHR-00051</x:v>
      </x:c>
      <x:c r="B52" t="str">
        <x:v>Avery Jackson</x:v>
      </x:c>
      <x:c r="C52" t="str">
        <x:v>https://api.dicebear.com/9.x/adventurer/png?seed=DHR-00051-Avery%20Jackson&amp;size=256&amp;radius=50&amp;backgroundColor=b6e3f4,c0aede,d1d4f9,ffd5dc,ffdfbf</x:v>
      </x:c>
      <x:c r="D52" t="str">
        <x:v>avery.jackson.051@example.com</x:v>
      </x:c>
      <x:c r="E52" t="str">
        <x:v>+1 (404) 555-0150</x:v>
      </x:c>
      <x:c r="F52" t="str">
        <x:v>Atlanta, GA</x:v>
      </x:c>
      <x:c r="G52" t="str">
        <x:v>Atlanta</x:v>
      </x:c>
      <x:c r="H52" t="str">
        <x:v>GA</x:v>
      </x:c>
      <x:c r="I52" s="18" t="str">
        <x:v>30303</x:v>
      </x:c>
      <x:c r="J52" s="15" t="n">
        <x:v>32970.19386204861</x:v>
      </x:c>
      <x:c r="K52" t="n">
        <x:f>INT((DATE(2025,12,31)-J52)/365.25)</x:f>
        <x:v>35</x:v>
      </x:c>
      <x:c r="L52" t="str">
        <x:f>IF(K52&lt;25,"18-24",IF(K52&lt;35,"25-34",IF(K52&lt;45,"35-44",IF(K52&lt;55,"45-54","55+"))))</x:f>
        <x:v>35-44</x:v>
      </x:c>
      <x:c r="M52" s="15" t="n">
        <x:v>44869.005898877316</x:v>
      </x:c>
      <x:c r="N52" t="n">
        <x:f>(YEAR(DATE(2025,12,31))-YEAR(M52))*12+MONTH(DATE(2025,12,31))-MONTH(M52)</x:f>
        <x:v>37</x:v>
      </x:c>
      <x:c r="O52" t="str">
        <x:v>PAUSED</x:v>
      </x:c>
      <x:c r="P52" t="str">
        <x:v>INDEPENDENT_CONTRACTOR</x:v>
      </x:c>
      <x:c r="Q52" t="str">
        <x:v>CAR</x:v>
      </x:c>
      <x:c r="R52" t="str">
        <x:v>DINNER</x:v>
      </x:c>
      <x:c r="S52" t="n">
        <x:v>25</x:v>
      </x:c>
      <x:c r="T52" t="str">
        <x:v>CLEARED</x:v>
      </x:c>
      <x:c r="U52" t="str">
        <x:v>VALID</x:v>
      </x:c>
      <x:c r="V52" s="16" t="n">
        <x:v>0.8414</x:v>
      </x:c>
      <x:c r="W52" t="str">
        <x:v>English</x:v>
      </x:c>
      <x:c r="X52"/>
      <x:c r="Y52" t="n">
        <x:v>2928</x:v>
      </x:c>
      <x:c r="Z52" s="17" t="n">
        <x:v>4.31</x:v>
      </x:c>
      <x:c r="AA52" s="16" t="n">
        <x:v>0.7471</x:v>
      </x:c>
      <x:c r="AB52" s="16" t="n">
        <x:v>0.9085</x:v>
      </x:c>
      <x:c r="AC52" s="16" t="n">
        <x:v>0.858</x:v>
      </x:c>
      <x:c r="AD52" t="n">
        <x:v>1</x:v>
      </x:c>
      <x:c r="AE52" t="str">
        <x:f>IF(O52&lt;&gt;"ACTIVE","NOT_RATED",IF(AND(Z52&gt;=4.8,AB52&gt;=0.97,AC52&gt;=0.93,AD52=0),"ELITE",IF(AND(Z52&gt;=4.6,AB52&gt;=0.94,AC52&gt;=0.88),"HIGH_PERFORMER",IF(OR(Z52&lt;4.2,AB52&lt;0.85,AD52&gt;=2),"AT_RISK","STANDARD"))))</x:f>
        <x:v>NOT_RATED</x:v>
      </x:c>
      <x:c r="AF52" s="15" t="n">
        <x:v>46001</x:v>
      </x:c>
      <x:c r="AG52" t="str">
        <x:v>VERIFIED</x:v>
      </x:c>
      <x:c r="AH52" t="str">
        <x:v>COMPLETE</x:v>
      </x:c>
      <x:c r="AI52" t="str">
        <x:v>Quinn Wilson</x:v>
      </x:c>
      <x:c r="AJ52" t="str">
        <x:v>SIBLING</x:v>
      </x:c>
      <x:c r="AK52" t="str">
        <x:v>+1 (404) 555-0173</x:v>
      </x:c>
    </x:row>
    <x:row r="53" ht="18" customHeight="1">
      <x:c r="A53" t="str">
        <x:v>DHR-00052</x:v>
      </x:c>
      <x:c r="B53" t="str">
        <x:v>Avery Johnson</x:v>
      </x:c>
      <x:c r="C53" t="str">
        <x:v>https://api.dicebear.com/9.x/adventurer/png?seed=DHR-00052-Avery%20Johnson&amp;size=256&amp;radius=50&amp;backgroundColor=b6e3f4,c0aede,d1d4f9,ffd5dc,ffdfbf</x:v>
      </x:c>
      <x:c r="D53" t="str">
        <x:v>avery.johnson.052@example.com</x:v>
      </x:c>
      <x:c r="E53" t="str">
        <x:v>+1 (415) 555-0151</x:v>
      </x:c>
      <x:c r="F53" t="str">
        <x:v>San Francisco, CA</x:v>
      </x:c>
      <x:c r="G53" t="str">
        <x:v>San Francisco</x:v>
      </x:c>
      <x:c r="H53" t="str">
        <x:v>CA</x:v>
      </x:c>
      <x:c r="I53" s="18" t="str">
        <x:v>94103</x:v>
      </x:c>
      <x:c r="J53" s="15" t="n">
        <x:v>26884.144066087963</x:v>
      </x:c>
      <x:c r="K53" t="n">
        <x:f>INT((DATE(2025,12,31)-J53)/365.25)</x:f>
        <x:v>52</x:v>
      </x:c>
      <x:c r="L53" t="str">
        <x:f>IF(K53&lt;25,"18-24",IF(K53&lt;35,"25-34",IF(K53&lt;45,"35-44",IF(K53&lt;55,"45-54","55+"))))</x:f>
        <x:v>45-54</x:v>
      </x:c>
      <x:c r="M53" s="15" t="n">
        <x:v>43915.5146959375</x:v>
      </x:c>
      <x:c r="N53" t="n">
        <x:f>(YEAR(DATE(2025,12,31))-YEAR(M53))*12+MONTH(DATE(2025,12,31))-MONTH(M53)</x:f>
        <x:v>69</x:v>
      </x:c>
      <x:c r="O53" t="str">
        <x:v>ACTIVE</x:v>
      </x:c>
      <x:c r="P53" t="str">
        <x:v>INDEPENDENT_CONTRACTOR</x:v>
      </x:c>
      <x:c r="Q53" t="str">
        <x:v>SCOOTER</x:v>
      </x:c>
      <x:c r="R53" t="str">
        <x:v>DINNER</x:v>
      </x:c>
      <x:c r="S53" t="n">
        <x:v>19</x:v>
      </x:c>
      <x:c r="T53" t="str">
        <x:v>CLEARED</x:v>
      </x:c>
      <x:c r="U53" t="str">
        <x:v>VALID</x:v>
      </x:c>
      <x:c r="V53" s="16" t="n">
        <x:v>0.9849</x:v>
      </x:c>
      <x:c r="W53" t="str">
        <x:v>English</x:v>
      </x:c>
      <x:c r="X53"/>
      <x:c r="Y53" t="n">
        <x:v>4880</x:v>
      </x:c>
      <x:c r="Z53" s="17" t="n">
        <x:v>4.68</x:v>
      </x:c>
      <x:c r="AA53" s="16" t="n">
        <x:v>0.9421</x:v>
      </x:c>
      <x:c r="AB53" s="16" t="n">
        <x:v>0.9281</x:v>
      </x:c>
      <x:c r="AC53" s="16" t="n">
        <x:v>0.9002</x:v>
      </x:c>
      <x:c r="AD53" t="n">
        <x:v>0</x:v>
      </x:c>
      <x:c r="AE53" t="str">
        <x:f>IF(O53&lt;&gt;"ACTIVE","NOT_RATED",IF(AND(Z53&gt;=4.8,AB53&gt;=0.97,AC53&gt;=0.93,AD53=0),"ELITE",IF(AND(Z53&gt;=4.6,AB53&gt;=0.94,AC53&gt;=0.88),"HIGH_PERFORMER",IF(OR(Z53&lt;4.2,AB53&lt;0.85,AD53&gt;=2),"AT_RISK","STANDARD"))))</x:f>
        <x:v>STANDARD</x:v>
      </x:c>
      <x:c r="AF53" s="15" t="n">
        <x:v>46020</x:v>
      </x:c>
      <x:c r="AG53" t="str">
        <x:v>VERIFIED</x:v>
      </x:c>
      <x:c r="AH53" t="str">
        <x:v>COMPLETE</x:v>
      </x:c>
      <x:c r="AI53" t="str">
        <x:v>Noah Davis</x:v>
      </x:c>
      <x:c r="AJ53" t="str">
        <x:v>FRIEND</x:v>
      </x:c>
      <x:c r="AK53" t="str">
        <x:v>+1 (415) 555-0180</x:v>
      </x:c>
    </x:row>
    <x:row r="54" ht="18" customHeight="1">
      <x:c r="A54" t="str">
        <x:v>DHR-00053</x:v>
      </x:c>
      <x:c r="B54" t="str">
        <x:v>Avery Jones</x:v>
      </x:c>
      <x:c r="C54" t="str">
        <x:v>https://api.dicebear.com/9.x/adventurer/png?seed=DHR-00053-Avery%20Jones&amp;size=256&amp;radius=50&amp;backgroundColor=b6e3f4,c0aede,d1d4f9,ffd5dc,ffdfbf</x:v>
      </x:c>
      <x:c r="D54" t="str">
        <x:v>avery.jones.053@example.com</x:v>
      </x:c>
      <x:c r="E54" t="str">
        <x:v>+1 (408) 555-0152</x:v>
      </x:c>
      <x:c r="F54" t="str">
        <x:v>San Jose, CA</x:v>
      </x:c>
      <x:c r="G54" t="str">
        <x:v>San Jose</x:v>
      </x:c>
      <x:c r="H54" t="str">
        <x:v>CA</x:v>
      </x:c>
      <x:c r="I54" s="18" t="str">
        <x:v>95113</x:v>
      </x:c>
      <x:c r="J54" s="15" t="n">
        <x:v>23588.193331261573</x:v>
      </x:c>
      <x:c r="K54" t="n">
        <x:f>INT((DATE(2025,12,31)-J54)/365.25)</x:f>
        <x:v>61</x:v>
      </x:c>
      <x:c r="L54" t="str">
        <x:f>IF(K54&lt;25,"18-24",IF(K54&lt;35,"25-34",IF(K54&lt;45,"35-44",IF(K54&lt;55,"45-54","55+"))))</x:f>
        <x:v>55+</x:v>
      </x:c>
      <x:c r="M54" s="15" t="n">
        <x:v>45639.05934101852</x:v>
      </x:c>
      <x:c r="N54" t="n">
        <x:f>(YEAR(DATE(2025,12,31))-YEAR(M54))*12+MONTH(DATE(2025,12,31))-MONTH(M54)</x:f>
        <x:v>12</x:v>
      </x:c>
      <x:c r="O54" t="str">
        <x:v>ACTIVE</x:v>
      </x:c>
      <x:c r="P54" t="str">
        <x:v>INDEPENDENT_CONTRACTOR</x:v>
      </x:c>
      <x:c r="Q54" t="str">
        <x:v>E_BIKE</x:v>
      </x:c>
      <x:c r="R54" t="str">
        <x:v>LUNCH</x:v>
      </x:c>
      <x:c r="S54" t="n">
        <x:v>40</x:v>
      </x:c>
      <x:c r="T54" t="str">
        <x:v>CLEARED</x:v>
      </x:c>
      <x:c r="U54" t="str">
        <x:v>NOT_REQUIRED</x:v>
      </x:c>
      <x:c r="V54" s="16" t="n">
        <x:v>0.8014</x:v>
      </x:c>
      <x:c r="W54" t="str">
        <x:v>Spanish</x:v>
      </x:c>
      <x:c r="X54"/>
      <x:c r="Y54" t="n">
        <x:v>1577</x:v>
      </x:c>
      <x:c r="Z54" s="17" t="n">
        <x:v>4.73</x:v>
      </x:c>
      <x:c r="AA54" s="16" t="n">
        <x:v>0.8696</x:v>
      </x:c>
      <x:c r="AB54" s="16" t="n">
        <x:v>0.9103</x:v>
      </x:c>
      <x:c r="AC54" s="16" t="n">
        <x:v>0.9296</x:v>
      </x:c>
      <x:c r="AD54" t="n">
        <x:v>0</x:v>
      </x:c>
      <x:c r="AE54" t="str">
        <x:f>IF(O54&lt;&gt;"ACTIVE","NOT_RATED",IF(AND(Z54&gt;=4.8,AB54&gt;=0.97,AC54&gt;=0.93,AD54=0),"ELITE",IF(AND(Z54&gt;=4.6,AB54&gt;=0.94,AC54&gt;=0.88),"HIGH_PERFORMER",IF(OR(Z54&lt;4.2,AB54&lt;0.85,AD54&gt;=2),"AT_RISK","STANDARD"))))</x:f>
        <x:v>STANDARD</x:v>
      </x:c>
      <x:c r="AF54" s="15" t="n">
        <x:v>46017</x:v>
      </x:c>
      <x:c r="AG54" t="str">
        <x:v>VERIFIED</x:v>
      </x:c>
      <x:c r="AH54" t="str">
        <x:v>COMPLETE</x:v>
      </x:c>
      <x:c r="AI54" t="str">
        <x:v>Quinn White</x:v>
      </x:c>
      <x:c r="AJ54" t="str">
        <x:v>SPOUSE_PARTNER</x:v>
      </x:c>
      <x:c r="AK54" t="str">
        <x:v>+1 (408) 555-0187</x:v>
      </x:c>
    </x:row>
    <x:row r="55" ht="18" customHeight="1">
      <x:c r="A55" t="str">
        <x:v>DHR-00054</x:v>
      </x:c>
      <x:c r="B55" t="str">
        <x:v>Avery Lee</x:v>
      </x:c>
      <x:c r="C55" t="str">
        <x:v>https://api.dicebear.com/9.x/adventurer/png?seed=DHR-00054-Avery%20Lee&amp;size=256&amp;radius=50&amp;backgroundColor=b6e3f4,c0aede,d1d4f9,ffd5dc,ffdfbf</x:v>
      </x:c>
      <x:c r="D55" t="str">
        <x:v>avery.lee.054@example.com</x:v>
      </x:c>
      <x:c r="E55" t="str">
        <x:v>+1 (312) 555-0153</x:v>
      </x:c>
      <x:c r="F55" t="str">
        <x:v>Chicago, IL</x:v>
      </x:c>
      <x:c r="G55" t="str">
        <x:v>Chicago</x:v>
      </x:c>
      <x:c r="H55" t="str">
        <x:v>IL</x:v>
      </x:c>
      <x:c r="I55" s="18" t="str">
        <x:v>60601</x:v>
      </x:c>
      <x:c r="J55" s="15" t="n">
        <x:v>33699.876498136575</x:v>
      </x:c>
      <x:c r="K55" t="n">
        <x:f>INT((DATE(2025,12,31)-J55)/365.25)</x:f>
        <x:v>33</x:v>
      </x:c>
      <x:c r="L55" t="str">
        <x:f>IF(K55&lt;25,"18-24",IF(K55&lt;35,"25-34",IF(K55&lt;45,"35-44",IF(K55&lt;55,"45-54","55+"))))</x:f>
        <x:v>25-34</x:v>
      </x:c>
      <x:c r="M55" s="15" t="n">
        <x:v>44252.4091280787</x:v>
      </x:c>
      <x:c r="N55" t="n">
        <x:f>(YEAR(DATE(2025,12,31))-YEAR(M55))*12+MONTH(DATE(2025,12,31))-MONTH(M55)</x:f>
        <x:v>58</x:v>
      </x:c>
      <x:c r="O55" t="str">
        <x:v>ACTIVE</x:v>
      </x:c>
      <x:c r="P55" t="str">
        <x:v>INDEPENDENT_CONTRACTOR</x:v>
      </x:c>
      <x:c r="Q55" t="str">
        <x:v>CAR</x:v>
      </x:c>
      <x:c r="R55" t="str">
        <x:v>FLEXIBLE</x:v>
      </x:c>
      <x:c r="S55" t="n">
        <x:v>46</x:v>
      </x:c>
      <x:c r="T55" t="str">
        <x:v>CLEARED</x:v>
      </x:c>
      <x:c r="U55" t="str">
        <x:v>VALID</x:v>
      </x:c>
      <x:c r="V55" s="16" t="n">
        <x:v>0.8955</x:v>
      </x:c>
      <x:c r="W55" t="str">
        <x:v>English</x:v>
      </x:c>
      <x:c r="X55" t="str">
        <x:v>Spanish</x:v>
      </x:c>
      <x:c r="Y55" t="n">
        <x:v>7115</x:v>
      </x:c>
      <x:c r="Z55" s="17" t="n">
        <x:v>4.67</x:v>
      </x:c>
      <x:c r="AA55" s="16" t="n">
        <x:v>0.9686</x:v>
      </x:c>
      <x:c r="AB55" s="16" t="n">
        <x:v>0.9385</x:v>
      </x:c>
      <x:c r="AC55" s="16" t="n">
        <x:v>0.9133</x:v>
      </x:c>
      <x:c r="AD55" t="n">
        <x:v>1</x:v>
      </x:c>
      <x:c r="AE55" t="str">
        <x:f>IF(O55&lt;&gt;"ACTIVE","NOT_RATED",IF(AND(Z55&gt;=4.8,AB55&gt;=0.97,AC55&gt;=0.93,AD55=0),"ELITE",IF(AND(Z55&gt;=4.6,AB55&gt;=0.94,AC55&gt;=0.88),"HIGH_PERFORMER",IF(OR(Z55&lt;4.2,AB55&lt;0.85,AD55&gt;=2),"AT_RISK","STANDARD"))))</x:f>
        <x:v>STANDARD</x:v>
      </x:c>
      <x:c r="AF55" s="15" t="n">
        <x:v>46009</x:v>
      </x:c>
      <x:c r="AG55" t="str">
        <x:v>VERIFIED</x:v>
      </x:c>
      <x:c r="AH55" t="str">
        <x:v>COMPLETE</x:v>
      </x:c>
      <x:c r="AI55" t="str">
        <x:v>Jordan Brown</x:v>
      </x:c>
      <x:c r="AJ55" t="str">
        <x:v>PARENT</x:v>
      </x:c>
      <x:c r="AK55" t="str">
        <x:v>+1 (312) 555-0194</x:v>
      </x:c>
    </x:row>
    <x:row r="56" ht="18" customHeight="1">
      <x:c r="A56" t="str">
        <x:v>DHR-00055</x:v>
      </x:c>
      <x:c r="B56" t="str">
        <x:v>Avery Lewis</x:v>
      </x:c>
      <x:c r="C56" t="str">
        <x:v>https://api.dicebear.com/9.x/adventurer/png?seed=DHR-00055-Avery%20Lewis&amp;size=256&amp;radius=50&amp;backgroundColor=b6e3f4,c0aede,d1d4f9,ffd5dc,ffdfbf</x:v>
      </x:c>
      <x:c r="D56" t="str">
        <x:v>avery.lewis.055@example.com</x:v>
      </x:c>
      <x:c r="E56" t="str">
        <x:v>+1 (212) 555-0154</x:v>
      </x:c>
      <x:c r="F56" t="str">
        <x:v>New York, NY</x:v>
      </x:c>
      <x:c r="G56" t="str">
        <x:v>New York</x:v>
      </x:c>
      <x:c r="H56" t="str">
        <x:v>NY</x:v>
      </x:c>
      <x:c r="I56" s="18" t="str">
        <x:v>10001</x:v>
      </x:c>
      <x:c r="J56" s="15" t="n">
        <x:v>36692.00371894676</x:v>
      </x:c>
      <x:c r="K56" t="n">
        <x:f>INT((DATE(2025,12,31)-J56)/365.25)</x:f>
        <x:v>25</x:v>
      </x:c>
      <x:c r="L56" t="str">
        <x:f>IF(K56&lt;25,"18-24",IF(K56&lt;35,"25-34",IF(K56&lt;45,"35-44",IF(K56&lt;55,"45-54","55+"))))</x:f>
        <x:v>25-34</x:v>
      </x:c>
      <x:c r="M56" s="15" t="n">
        <x:v>45106.34394878472</x:v>
      </x:c>
      <x:c r="N56" t="n">
        <x:f>(YEAR(DATE(2025,12,31))-YEAR(M56))*12+MONTH(DATE(2025,12,31))-MONTH(M56)</x:f>
        <x:v>30</x:v>
      </x:c>
      <x:c r="O56" t="str">
        <x:v>ACTIVE</x:v>
      </x:c>
      <x:c r="P56" t="str">
        <x:v>INDEPENDENT_CONTRACTOR</x:v>
      </x:c>
      <x:c r="Q56" t="str">
        <x:v>SCOOTER</x:v>
      </x:c>
      <x:c r="R56" t="str">
        <x:v>FLEXIBLE</x:v>
      </x:c>
      <x:c r="S56" t="n">
        <x:v>42</x:v>
      </x:c>
      <x:c r="T56" t="str">
        <x:v>REVIEW_REQUIRED</x:v>
      </x:c>
      <x:c r="U56" t="str">
        <x:v>VALID</x:v>
      </x:c>
      <x:c r="V56" s="16" t="n">
        <x:v>0.8988</x:v>
      </x:c>
      <x:c r="W56" t="str">
        <x:v>Spanish</x:v>
      </x:c>
      <x:c r="X56"/>
      <x:c r="Y56" t="n">
        <x:v>2572</x:v>
      </x:c>
      <x:c r="Z56" s="17" t="n">
        <x:v>4.52</x:v>
      </x:c>
      <x:c r="AA56" s="16" t="n">
        <x:v>0.6397</x:v>
      </x:c>
      <x:c r="AB56" s="16" t="n">
        <x:v>0.9925</x:v>
      </x:c>
      <x:c r="AC56" s="16" t="n">
        <x:v>0.8227</x:v>
      </x:c>
      <x:c r="AD56" t="n">
        <x:v>0</x:v>
      </x:c>
      <x:c r="AE56" t="str">
        <x:f>IF(O56&lt;&gt;"ACTIVE","NOT_RATED",IF(AND(Z56&gt;=4.8,AB56&gt;=0.97,AC56&gt;=0.93,AD56=0),"ELITE",IF(AND(Z56&gt;=4.6,AB56&gt;=0.94,AC56&gt;=0.88),"HIGH_PERFORMER",IF(OR(Z56&lt;4.2,AB56&lt;0.85,AD56&gt;=2),"AT_RISK","STANDARD"))))</x:f>
        <x:v>STANDARD</x:v>
      </x:c>
      <x:c r="AF56" s="15" t="n">
        <x:v>46017</x:v>
      </x:c>
      <x:c r="AG56" t="str">
        <x:v>VERIFIED</x:v>
      </x:c>
      <x:c r="AH56" t="str">
        <x:v>COMPLETE</x:v>
      </x:c>
      <x:c r="AI56" t="str">
        <x:v>Mateo Rodriguez</x:v>
      </x:c>
      <x:c r="AJ56" t="str">
        <x:v>PARENT</x:v>
      </x:c>
      <x:c r="AK56" t="str">
        <x:v>+1 (212) 555-0101</x:v>
      </x:c>
    </x:row>
    <x:row r="57" ht="18" customHeight="1">
      <x:c r="A57" t="str">
        <x:v>DHR-00056</x:v>
      </x:c>
      <x:c r="B57" t="str">
        <x:v>Avery Martinez</x:v>
      </x:c>
      <x:c r="C57" t="str">
        <x:v>https://api.dicebear.com/9.x/adventurer/png?seed=DHR-00056-Avery%20Martinez&amp;size=256&amp;radius=50&amp;backgroundColor=b6e3f4,c0aede,d1d4f9,ffd5dc,ffdfbf</x:v>
      </x:c>
      <x:c r="D57" t="str">
        <x:v>avery.martinez.056@example.com</x:v>
      </x:c>
      <x:c r="E57" t="str">
        <x:v>+1 (305) 555-0155</x:v>
      </x:c>
      <x:c r="F57" t="str">
        <x:v>Miami, FL</x:v>
      </x:c>
      <x:c r="G57" t="str">
        <x:v>Miami</x:v>
      </x:c>
      <x:c r="H57" t="str">
        <x:v>FL</x:v>
      </x:c>
      <x:c r="I57" s="18" t="str">
        <x:v>33130</x:v>
      </x:c>
      <x:c r="J57" s="15" t="n">
        <x:v>37752.894806296295</x:v>
      </x:c>
      <x:c r="K57" t="n">
        <x:f>INT((DATE(2025,12,31)-J57)/365.25)</x:f>
        <x:v>22</x:v>
      </x:c>
      <x:c r="L57" t="str">
        <x:f>IF(K57&lt;25,"18-24",IF(K57&lt;35,"25-34",IF(K57&lt;45,"35-44",IF(K57&lt;55,"45-54","55+"))))</x:f>
        <x:v>18-24</x:v>
      </x:c>
      <x:c r="M57" s="15" t="n">
        <x:v>44778.642793796294</x:v>
      </x:c>
      <x:c r="N57" t="n">
        <x:f>(YEAR(DATE(2025,12,31))-YEAR(M57))*12+MONTH(DATE(2025,12,31))-MONTH(M57)</x:f>
        <x:v>40</x:v>
      </x:c>
      <x:c r="O57" t="str">
        <x:v>ACTIVE</x:v>
      </x:c>
      <x:c r="P57" t="str">
        <x:v>INDEPENDENT_CONTRACTOR</x:v>
      </x:c>
      <x:c r="Q57" t="str">
        <x:v>BICYCLE</x:v>
      </x:c>
      <x:c r="R57" t="str">
        <x:v>WEEKENDS</x:v>
      </x:c>
      <x:c r="S57" t="n">
        <x:v>33</x:v>
      </x:c>
      <x:c r="T57" t="str">
        <x:v>CLEARED</x:v>
      </x:c>
      <x:c r="U57" t="str">
        <x:v>NOT_REQUIRED</x:v>
      </x:c>
      <x:c r="V57" s="16" t="n">
        <x:v>0.8851</x:v>
      </x:c>
      <x:c r="W57" t="str">
        <x:v>English</x:v>
      </x:c>
      <x:c r="X57"/>
      <x:c r="Y57" t="n">
        <x:v>4200</x:v>
      </x:c>
      <x:c r="Z57" s="17" t="n">
        <x:v>4.41</x:v>
      </x:c>
      <x:c r="AA57" s="16" t="n">
        <x:v>0.8265</x:v>
      </x:c>
      <x:c r="AB57" s="16" t="n">
        <x:v>0.9244</x:v>
      </x:c>
      <x:c r="AC57" s="16" t="n">
        <x:v>0.9613</x:v>
      </x:c>
      <x:c r="AD57" t="n">
        <x:v>0</x:v>
      </x:c>
      <x:c r="AE57" t="str">
        <x:f>IF(O57&lt;&gt;"ACTIVE","NOT_RATED",IF(AND(Z57&gt;=4.8,AB57&gt;=0.97,AC57&gt;=0.93,AD57=0),"ELITE",IF(AND(Z57&gt;=4.6,AB57&gt;=0.94,AC57&gt;=0.88),"HIGH_PERFORMER",IF(OR(Z57&lt;4.2,AB57&lt;0.85,AD57&gt;=2),"AT_RISK","STANDARD"))))</x:f>
        <x:v>STANDARD</x:v>
      </x:c>
      <x:c r="AF57" s="15" t="n">
        <x:v>46011</x:v>
      </x:c>
      <x:c r="AG57" t="str">
        <x:v>VERIFIED</x:v>
      </x:c>
      <x:c r="AH57" t="str">
        <x:v>COMPLETE</x:v>
      </x:c>
      <x:c r="AI57" t="str">
        <x:v>Jamie Wilson</x:v>
      </x:c>
      <x:c r="AJ57" t="str">
        <x:v>PARENT</x:v>
      </x:c>
      <x:c r="AK57" t="str">
        <x:v>+1 (305) 555-0108</x:v>
      </x:c>
    </x:row>
    <x:row r="58" ht="18" customHeight="1">
      <x:c r="A58" t="str">
        <x:v>DHR-00057</x:v>
      </x:c>
      <x:c r="B58" t="str">
        <x:v>Avery Miller</x:v>
      </x:c>
      <x:c r="C58" t="str">
        <x:v>https://api.dicebear.com/9.x/adventurer/png?seed=DHR-00057-Avery%20Miller&amp;size=256&amp;radius=50&amp;backgroundColor=b6e3f4,c0aede,d1d4f9,ffd5dc,ffdfbf</x:v>
      </x:c>
      <x:c r="D58" t="str">
        <x:v>avery.miller.057@example.com</x:v>
      </x:c>
      <x:c r="E58" t="str">
        <x:v>+1 (612) 555-0156</x:v>
      </x:c>
      <x:c r="F58" t="str">
        <x:v>Minneapolis, MN</x:v>
      </x:c>
      <x:c r="G58" t="str">
        <x:v>Minneapolis</x:v>
      </x:c>
      <x:c r="H58" t="str">
        <x:v>MN</x:v>
      </x:c>
      <x:c r="I58" s="18" t="str">
        <x:v>55401</x:v>
      </x:c>
      <x:c r="J58" s="15" t="n">
        <x:v>28760.015317881946</x:v>
      </x:c>
      <x:c r="K58" t="n">
        <x:f>INT((DATE(2025,12,31)-J58)/365.25)</x:f>
        <x:v>47</x:v>
      </x:c>
      <x:c r="L58" t="str">
        <x:f>IF(K58&lt;25,"18-24",IF(K58&lt;35,"25-34",IF(K58&lt;45,"35-44",IF(K58&lt;55,"45-54","55+"))))</x:f>
        <x:v>45-54</x:v>
      </x:c>
      <x:c r="M58" s="15" t="n">
        <x:v>44366.248529351855</x:v>
      </x:c>
      <x:c r="N58" t="n">
        <x:f>(YEAR(DATE(2025,12,31))-YEAR(M58))*12+MONTH(DATE(2025,12,31))-MONTH(M58)</x:f>
        <x:v>54</x:v>
      </x:c>
      <x:c r="O58" t="str">
        <x:v>PAUSED</x:v>
      </x:c>
      <x:c r="P58" t="str">
        <x:v>INDEPENDENT_CONTRACTOR</x:v>
      </x:c>
      <x:c r="Q58" t="str">
        <x:v>E_BIKE</x:v>
      </x:c>
      <x:c r="R58" t="str">
        <x:v>DINNER</x:v>
      </x:c>
      <x:c r="S58" t="n">
        <x:v>27</x:v>
      </x:c>
      <x:c r="T58" t="str">
        <x:v>CLEARED</x:v>
      </x:c>
      <x:c r="U58" t="str">
        <x:v>NOT_REQUIRED</x:v>
      </x:c>
      <x:c r="V58" s="16" t="n">
        <x:v>0.8327</x:v>
      </x:c>
      <x:c r="W58" t="str">
        <x:v>English</x:v>
      </x:c>
      <x:c r="X58" t="str">
        <x:v>Vietnamese</x:v>
      </x:c>
      <x:c r="Y58" t="n">
        <x:v>3043</x:v>
      </x:c>
      <x:c r="Z58" s="17" t="n">
        <x:v>4.8</x:v>
      </x:c>
      <x:c r="AA58" s="16" t="n">
        <x:v>0.8058</x:v>
      </x:c>
      <x:c r="AB58" s="16" t="n">
        <x:v>0.9457</x:v>
      </x:c>
      <x:c r="AC58" s="16" t="n">
        <x:v>0.9225</x:v>
      </x:c>
      <x:c r="AD58" t="n">
        <x:v>0</x:v>
      </x:c>
      <x:c r="AE58" t="str">
        <x:f>IF(O58&lt;&gt;"ACTIVE","NOT_RATED",IF(AND(Z58&gt;=4.8,AB58&gt;=0.97,AC58&gt;=0.93,AD58=0),"ELITE",IF(AND(Z58&gt;=4.6,AB58&gt;=0.94,AC58&gt;=0.88),"HIGH_PERFORMER",IF(OR(Z58&lt;4.2,AB58&lt;0.85,AD58&gt;=2),"AT_RISK","STANDARD"))))</x:f>
        <x:v>NOT_RATED</x:v>
      </x:c>
      <x:c r="AF58" s="15" t="n">
        <x:v>45999</x:v>
      </x:c>
      <x:c r="AG58" t="str">
        <x:v>VERIFIED</x:v>
      </x:c>
      <x:c r="AH58" t="str">
        <x:v>PENDING</x:v>
      </x:c>
      <x:c r="AI58" t="str">
        <x:v>Ava Thompson</x:v>
      </x:c>
      <x:c r="AJ58" t="str">
        <x:v>FRIEND</x:v>
      </x:c>
      <x:c r="AK58" t="str">
        <x:v>+1 (612) 555-0115</x:v>
      </x:c>
    </x:row>
    <x:row r="59" ht="18" customHeight="1">
      <x:c r="A59" t="str">
        <x:v>DHR-00058</x:v>
      </x:c>
      <x:c r="B59" t="str">
        <x:v>Avery Moore</x:v>
      </x:c>
      <x:c r="C59" t="str">
        <x:v>https://api.dicebear.com/9.x/adventurer/png?seed=DHR-00058-Avery%20Moore&amp;size=256&amp;radius=50&amp;backgroundColor=b6e3f4,c0aede,d1d4f9,ffd5dc,ffdfbf</x:v>
      </x:c>
      <x:c r="D59" t="str">
        <x:v>avery.moore.058@example.com</x:v>
      </x:c>
      <x:c r="E59" t="str">
        <x:v>+1 (213) 555-0157</x:v>
      </x:c>
      <x:c r="F59" t="str">
        <x:v>Los Angeles, CA</x:v>
      </x:c>
      <x:c r="G59" t="str">
        <x:v>Los Angeles</x:v>
      </x:c>
      <x:c r="H59" t="str">
        <x:v>CA</x:v>
      </x:c>
      <x:c r="I59" s="18" t="str">
        <x:v>90012</x:v>
      </x:c>
      <x:c r="J59" s="15" t="n">
        <x:v>27139.730356018517</x:v>
      </x:c>
      <x:c r="K59" t="n">
        <x:f>INT((DATE(2025,12,31)-J59)/365.25)</x:f>
        <x:v>51</x:v>
      </x:c>
      <x:c r="L59" t="str">
        <x:f>IF(K59&lt;25,"18-24",IF(K59&lt;35,"25-34",IF(K59&lt;45,"35-44",IF(K59&lt;55,"45-54","55+"))))</x:f>
        <x:v>45-54</x:v>
      </x:c>
      <x:c r="M59" s="15" t="n">
        <x:v>44648.160086400465</x:v>
      </x:c>
      <x:c r="N59" t="n">
        <x:f>(YEAR(DATE(2025,12,31))-YEAR(M59))*12+MONTH(DATE(2025,12,31))-MONTH(M59)</x:f>
        <x:v>45</x:v>
      </x:c>
      <x:c r="O59" t="str">
        <x:v>ACTIVE</x:v>
      </x:c>
      <x:c r="P59" t="str">
        <x:v>INDEPENDENT_CONTRACTOR</x:v>
      </x:c>
      <x:c r="Q59" t="str">
        <x:v>CAR</x:v>
      </x:c>
      <x:c r="R59" t="str">
        <x:v>FLEXIBLE</x:v>
      </x:c>
      <x:c r="S59" t="n">
        <x:v>42</x:v>
      </x:c>
      <x:c r="T59" t="str">
        <x:v>CLEARED</x:v>
      </x:c>
      <x:c r="U59" t="str">
        <x:v>VALID</x:v>
      </x:c>
      <x:c r="V59" s="16" t="n">
        <x:v>0.941</x:v>
      </x:c>
      <x:c r="W59" t="str">
        <x:v>French</x:v>
      </x:c>
      <x:c r="X59"/>
      <x:c r="Y59" t="n">
        <x:v>7680</x:v>
      </x:c>
      <x:c r="Z59" s="17" t="n">
        <x:v>4.82</x:v>
      </x:c>
      <x:c r="AA59" s="16" t="n">
        <x:v>0.7615</x:v>
      </x:c>
      <x:c r="AB59" s="16" t="n">
        <x:v>0.9186</x:v>
      </x:c>
      <x:c r="AC59" s="16" t="n">
        <x:v>0.9606</x:v>
      </x:c>
      <x:c r="AD59" t="n">
        <x:v>0</x:v>
      </x:c>
      <x:c r="AE59" t="str">
        <x:f>IF(O59&lt;&gt;"ACTIVE","NOT_RATED",IF(AND(Z59&gt;=4.8,AB59&gt;=0.97,AC59&gt;=0.93,AD59=0),"ELITE",IF(AND(Z59&gt;=4.6,AB59&gt;=0.94,AC59&gt;=0.88),"HIGH_PERFORMER",IF(OR(Z59&lt;4.2,AB59&lt;0.85,AD59&gt;=2),"AT_RISK","STANDARD"))))</x:f>
        <x:v>STANDARD</x:v>
      </x:c>
      <x:c r="AF59" s="15" t="n">
        <x:v>46010</x:v>
      </x:c>
      <x:c r="AG59" t="str">
        <x:v>VERIFIED</x:v>
      </x:c>
      <x:c r="AH59" t="str">
        <x:v>COMPLETE</x:v>
      </x:c>
      <x:c r="AI59" t="str">
        <x:v>Emma Williams</x:v>
      </x:c>
      <x:c r="AJ59" t="str">
        <x:v>SPOUSE_PARTNER</x:v>
      </x:c>
      <x:c r="AK59" t="str">
        <x:v>+1 (213) 555-0122</x:v>
      </x:c>
    </x:row>
    <x:row r="60" ht="18" customHeight="1">
      <x:c r="A60" t="str">
        <x:v>DHR-00059</x:v>
      </x:c>
      <x:c r="B60" t="str">
        <x:v>Avery Perez</x:v>
      </x:c>
      <x:c r="C60" t="str">
        <x:v>https://api.dicebear.com/9.x/adventurer/png?seed=DHR-00059-Avery%20Perez&amp;size=256&amp;radius=50&amp;backgroundColor=b6e3f4,c0aede,d1d4f9,ffd5dc,ffdfbf</x:v>
      </x:c>
      <x:c r="D60" t="str">
        <x:v>avery.perez.059@example.com</x:v>
      </x:c>
      <x:c r="E60" t="str">
        <x:v>+1 (212) 555-0158</x:v>
      </x:c>
      <x:c r="F60" t="str">
        <x:v>New York, NY</x:v>
      </x:c>
      <x:c r="G60" t="str">
        <x:v>New York</x:v>
      </x:c>
      <x:c r="H60" t="str">
        <x:v>NY</x:v>
      </x:c>
      <x:c r="I60" s="18" t="str">
        <x:v>10001</x:v>
      </x:c>
      <x:c r="J60" s="15" t="n">
        <x:v>30510.993406828704</x:v>
      </x:c>
      <x:c r="K60" t="n">
        <x:f>INT((DATE(2025,12,31)-J60)/365.25)</x:f>
        <x:v>42</x:v>
      </x:c>
      <x:c r="L60" t="str">
        <x:f>IF(K60&lt;25,"18-24",IF(K60&lt;35,"25-34",IF(K60&lt;45,"35-44",IF(K60&lt;55,"45-54","55+"))))</x:f>
        <x:v>35-44</x:v>
      </x:c>
      <x:c r="M60" s="15" t="n">
        <x:v>43563.92804171296</x:v>
      </x:c>
      <x:c r="N60" t="n">
        <x:f>(YEAR(DATE(2025,12,31))-YEAR(M60))*12+MONTH(DATE(2025,12,31))-MONTH(M60)</x:f>
        <x:v>80</x:v>
      </x:c>
      <x:c r="O60" t="str">
        <x:v>ACTIVE</x:v>
      </x:c>
      <x:c r="P60" t="str">
        <x:v>INDEPENDENT_CONTRACTOR</x:v>
      </x:c>
      <x:c r="Q60" t="str">
        <x:v>CAR</x:v>
      </x:c>
      <x:c r="R60" t="str">
        <x:v>LUNCH</x:v>
      </x:c>
      <x:c r="S60" t="n">
        <x:v>24</x:v>
      </x:c>
      <x:c r="T60" t="str">
        <x:v>PENDING</x:v>
      </x:c>
      <x:c r="U60" t="str">
        <x:v>VALID</x:v>
      </x:c>
      <x:c r="V60" s="16" t="n">
        <x:v>0.7804</x:v>
      </x:c>
      <x:c r="W60" t="str">
        <x:v>English</x:v>
      </x:c>
      <x:c r="X60"/>
      <x:c r="Y60" t="n">
        <x:v>6029</x:v>
      </x:c>
      <x:c r="Z60" s="17" t="n">
        <x:v>4.87</x:v>
      </x:c>
      <x:c r="AA60" s="16" t="n">
        <x:v>0.7467</x:v>
      </x:c>
      <x:c r="AB60" s="16" t="n">
        <x:v>0.9303</x:v>
      </x:c>
      <x:c r="AC60" s="16" t="n">
        <x:v>0.9258</x:v>
      </x:c>
      <x:c r="AD60" t="n">
        <x:v>0</x:v>
      </x:c>
      <x:c r="AE60" t="str">
        <x:f>IF(O60&lt;&gt;"ACTIVE","NOT_RATED",IF(AND(Z60&gt;=4.8,AB60&gt;=0.97,AC60&gt;=0.93,AD60=0),"ELITE",IF(AND(Z60&gt;=4.6,AB60&gt;=0.94,AC60&gt;=0.88),"HIGH_PERFORMER",IF(OR(Z60&lt;4.2,AB60&lt;0.85,AD60&gt;=2),"AT_RISK","STANDARD"))))</x:f>
        <x:v>STANDARD</x:v>
      </x:c>
      <x:c r="AF60" s="15" t="n">
        <x:v>46021</x:v>
      </x:c>
      <x:c r="AG60" t="str">
        <x:v>VERIFIED</x:v>
      </x:c>
      <x:c r="AH60" t="str">
        <x:v>COMPLETE</x:v>
      </x:c>
      <x:c r="AI60" t="str">
        <x:v>Lucas Martinez</x:v>
      </x:c>
      <x:c r="AJ60" t="str">
        <x:v>SPOUSE_PARTNER</x:v>
      </x:c>
      <x:c r="AK60" t="str">
        <x:v>+1 (212) 555-0129</x:v>
      </x:c>
    </x:row>
    <x:row r="61" ht="18" customHeight="1">
      <x:c r="A61" t="str">
        <x:v>DHR-00060</x:v>
      </x:c>
      <x:c r="B61" t="str">
        <x:v>Avery Rodriguez</x:v>
      </x:c>
      <x:c r="C61" t="str">
        <x:v>https://api.dicebear.com/9.x/adventurer/png?seed=DHR-00060-Avery%20Rodriguez&amp;size=256&amp;radius=50&amp;backgroundColor=b6e3f4,c0aede,d1d4f9,ffd5dc,ffdfbf</x:v>
      </x:c>
      <x:c r="D61" t="str">
        <x:v>avery.rodriguez.060@example.com</x:v>
      </x:c>
      <x:c r="E61" t="str">
        <x:v>+1 (612) 555-0159</x:v>
      </x:c>
      <x:c r="F61" t="str">
        <x:v>Minneapolis, MN</x:v>
      </x:c>
      <x:c r="G61" t="str">
        <x:v>Minneapolis</x:v>
      </x:c>
      <x:c r="H61" t="str">
        <x:v>MN</x:v>
      </x:c>
      <x:c r="I61" s="18" t="str">
        <x:v>55401</x:v>
      </x:c>
      <x:c r="J61" s="15" t="n">
        <x:v>36530.57885189815</x:v>
      </x:c>
      <x:c r="K61" t="n">
        <x:f>INT((DATE(2025,12,31)-J61)/365.25)</x:f>
        <x:v>25</x:v>
      </x:c>
      <x:c r="L61" t="str">
        <x:f>IF(K61&lt;25,"18-24",IF(K61&lt;35,"25-34",IF(K61&lt;45,"35-44",IF(K61&lt;55,"45-54","55+"))))</x:f>
        <x:v>25-34</x:v>
      </x:c>
      <x:c r="M61" s="15" t="n">
        <x:v>44721.666011064815</x:v>
      </x:c>
      <x:c r="N61" t="n">
        <x:f>(YEAR(DATE(2025,12,31))-YEAR(M61))*12+MONTH(DATE(2025,12,31))-MONTH(M61)</x:f>
        <x:v>42</x:v>
      </x:c>
      <x:c r="O61" t="str">
        <x:v>OFFBOARDED</x:v>
      </x:c>
      <x:c r="P61" t="str">
        <x:v>INDEPENDENT_CONTRACTOR</x:v>
      </x:c>
      <x:c r="Q61" t="str">
        <x:v>CAR</x:v>
      </x:c>
      <x:c r="R61" t="str">
        <x:v>LUNCH</x:v>
      </x:c>
      <x:c r="S61" t="n">
        <x:v>33</x:v>
      </x:c>
      <x:c r="T61" t="str">
        <x:v>CLEARED</x:v>
      </x:c>
      <x:c r="U61" t="str">
        <x:v>VALID</x:v>
      </x:c>
      <x:c r="V61" s="16" t="n">
        <x:v>0.7808</x:v>
      </x:c>
      <x:c r="W61" t="str">
        <x:v>English</x:v>
      </x:c>
      <x:c r="X61"/>
      <x:c r="Y61" t="n">
        <x:v>4581</x:v>
      </x:c>
      <x:c r="Z61" s="17" t="n">
        <x:v>4.4</x:v>
      </x:c>
      <x:c r="AA61" s="16" t="n">
        <x:v>0.8605</x:v>
      </x:c>
      <x:c r="AB61" s="16" t="n">
        <x:v>0.8802</x:v>
      </x:c>
      <x:c r="AC61" s="16" t="n">
        <x:v>0.9078</x:v>
      </x:c>
      <x:c r="AD61" t="n">
        <x:v>0</x:v>
      </x:c>
      <x:c r="AE61" t="str">
        <x:f>IF(O61&lt;&gt;"ACTIVE","NOT_RATED",IF(AND(Z61&gt;=4.8,AB61&gt;=0.97,AC61&gt;=0.93,AD61=0),"ELITE",IF(AND(Z61&gt;=4.6,AB61&gt;=0.94,AC61&gt;=0.88),"HIGH_PERFORMER",IF(OR(Z61&lt;4.2,AB61&lt;0.85,AD61&gt;=2),"AT_RISK","STANDARD"))))</x:f>
        <x:v>NOT_RATED</x:v>
      </x:c>
      <x:c r="AF61" s="15" t="n">
        <x:v>45876</x:v>
      </x:c>
      <x:c r="AG61" t="str">
        <x:v>VERIFIED</x:v>
      </x:c>
      <x:c r="AH61" t="str">
        <x:v>COMPLETE</x:v>
      </x:c>
      <x:c r="AI61" t="str">
        <x:v>Cameron Harris</x:v>
      </x:c>
      <x:c r="AJ61" t="str">
        <x:v>SPOUSE_PARTNER</x:v>
      </x:c>
      <x:c r="AK61" t="str">
        <x:v>+1 (612) 555-0136</x:v>
      </x:c>
    </x:row>
    <x:row r="62" ht="18" customHeight="1">
      <x:c r="A62" t="str">
        <x:v>DHR-00061</x:v>
      </x:c>
      <x:c r="B62" t="str">
        <x:v>Avery Taylor</x:v>
      </x:c>
      <x:c r="C62" t="str">
        <x:v>https://api.dicebear.com/9.x/adventurer/png?seed=DHR-00061-Avery%20Taylor&amp;size=256&amp;radius=50&amp;backgroundColor=b6e3f4,c0aede,d1d4f9,ffd5dc,ffdfbf</x:v>
      </x:c>
      <x:c r="D62" t="str">
        <x:v>avery.taylor.061@example.com</x:v>
      </x:c>
      <x:c r="E62" t="str">
        <x:v>+1 (408) 555-0160</x:v>
      </x:c>
      <x:c r="F62" t="str">
        <x:v>San Jose, CA</x:v>
      </x:c>
      <x:c r="G62" t="str">
        <x:v>San Jose</x:v>
      </x:c>
      <x:c r="H62" t="str">
        <x:v>CA</x:v>
      </x:c>
      <x:c r="I62" s="18" t="str">
        <x:v>95113</x:v>
      </x:c>
      <x:c r="J62" s="15" t="n">
        <x:v>24874.56598109954</x:v>
      </x:c>
      <x:c r="K62" t="n">
        <x:f>INT((DATE(2025,12,31)-J62)/365.25)</x:f>
        <x:v>57</x:v>
      </x:c>
      <x:c r="L62" t="str">
        <x:f>IF(K62&lt;25,"18-24",IF(K62&lt;35,"25-34",IF(K62&lt;45,"35-44",IF(K62&lt;55,"45-54","55+"))))</x:f>
        <x:v>55+</x:v>
      </x:c>
      <x:c r="M62" s="15" t="n">
        <x:v>44700.65897633102</x:v>
      </x:c>
      <x:c r="N62" t="n">
        <x:f>(YEAR(DATE(2025,12,31))-YEAR(M62))*12+MONTH(DATE(2025,12,31))-MONTH(M62)</x:f>
        <x:v>43</x:v>
      </x:c>
      <x:c r="O62" t="str">
        <x:v>OFFBOARDED</x:v>
      </x:c>
      <x:c r="P62" t="str">
        <x:v>INDEPENDENT_CONTRACTOR</x:v>
      </x:c>
      <x:c r="Q62" t="str">
        <x:v>CAR</x:v>
      </x:c>
      <x:c r="R62" t="str">
        <x:v>LUNCH</x:v>
      </x:c>
      <x:c r="S62" t="n">
        <x:v>36</x:v>
      </x:c>
      <x:c r="T62" t="str">
        <x:v>CLEARED</x:v>
      </x:c>
      <x:c r="U62" t="str">
        <x:v>VALID</x:v>
      </x:c>
      <x:c r="V62" s="16" t="n">
        <x:v>0.8529</x:v>
      </x:c>
      <x:c r="W62" t="str">
        <x:v>Vietnamese</x:v>
      </x:c>
      <x:c r="X62"/>
      <x:c r="Y62" t="n">
        <x:v>3820</x:v>
      </x:c>
      <x:c r="Z62" s="17" t="n">
        <x:v>4.66</x:v>
      </x:c>
      <x:c r="AA62" s="16" t="n">
        <x:v>0.6679</x:v>
      </x:c>
      <x:c r="AB62" s="16" t="n">
        <x:v>0.9054</x:v>
      </x:c>
      <x:c r="AC62" s="16" t="n">
        <x:v>0.9211</x:v>
      </x:c>
      <x:c r="AD62" t="n">
        <x:v>0</x:v>
      </x:c>
      <x:c r="AE62" t="str">
        <x:f>IF(O62&lt;&gt;"ACTIVE","NOT_RATED",IF(AND(Z62&gt;=4.8,AB62&gt;=0.97,AC62&gt;=0.93,AD62=0),"ELITE",IF(AND(Z62&gt;=4.6,AB62&gt;=0.94,AC62&gt;=0.88),"HIGH_PERFORMER",IF(OR(Z62&lt;4.2,AB62&lt;0.85,AD62&gt;=2),"AT_RISK","STANDARD"))))</x:f>
        <x:v>NOT_RATED</x:v>
      </x:c>
      <x:c r="AF62" s="15" t="n">
        <x:v>45563</x:v>
      </x:c>
      <x:c r="AG62" t="str">
        <x:v>VERIFIED</x:v>
      </x:c>
      <x:c r="AH62" t="str">
        <x:v>COMPLETE</x:v>
      </x:c>
      <x:c r="AI62" t="str">
        <x:v>Ava Thomas</x:v>
      </x:c>
      <x:c r="AJ62" t="str">
        <x:v>SIBLING</x:v>
      </x:c>
      <x:c r="AK62" t="str">
        <x:v>+1 (408) 555-0143</x:v>
      </x:c>
    </x:row>
    <x:row r="63" ht="18" customHeight="1">
      <x:c r="A63" t="str">
        <x:v>DHR-00062</x:v>
      </x:c>
      <x:c r="B63" t="str">
        <x:v>Avery Thomas</x:v>
      </x:c>
      <x:c r="C63" t="str">
        <x:v>https://api.dicebear.com/9.x/adventurer/png?seed=DHR-00062-Avery%20Thomas&amp;size=256&amp;radius=50&amp;backgroundColor=b6e3f4,c0aede,d1d4f9,ffd5dc,ffdfbf</x:v>
      </x:c>
      <x:c r="D63" t="str">
        <x:v>avery.thomas.062@example.com</x:v>
      </x:c>
      <x:c r="E63" t="str">
        <x:v>+1 (210) 555-0161</x:v>
      </x:c>
      <x:c r="F63" t="str">
        <x:v>San Antonio, TX</x:v>
      </x:c>
      <x:c r="G63" t="str">
        <x:v>San Antonio</x:v>
      </x:c>
      <x:c r="H63" t="str">
        <x:v>TX</x:v>
      </x:c>
      <x:c r="I63" s="18" t="str">
        <x:v>78205</x:v>
      </x:c>
      <x:c r="J63" s="15" t="n">
        <x:v>38456.182873101854</x:v>
      </x:c>
      <x:c r="K63" t="n">
        <x:f>INT((DATE(2025,12,31)-J63)/365.25)</x:f>
        <x:v>20</x:v>
      </x:c>
      <x:c r="L63" t="str">
        <x:f>IF(K63&lt;25,"18-24",IF(K63&lt;35,"25-34",IF(K63&lt;45,"35-44",IF(K63&lt;55,"45-54","55+"))))</x:f>
        <x:v>18-24</x:v>
      </x:c>
      <x:c r="M63" s="15" t="n">
        <x:v>45337.368474375</x:v>
      </x:c>
      <x:c r="N63" t="n">
        <x:f>(YEAR(DATE(2025,12,31))-YEAR(M63))*12+MONTH(DATE(2025,12,31))-MONTH(M63)</x:f>
        <x:v>22</x:v>
      </x:c>
      <x:c r="O63" t="str">
        <x:v>ACTIVE</x:v>
      </x:c>
      <x:c r="P63" t="str">
        <x:v>INDEPENDENT_CONTRACTOR</x:v>
      </x:c>
      <x:c r="Q63" t="str">
        <x:v>BICYCLE</x:v>
      </x:c>
      <x:c r="R63" t="str">
        <x:v>FLEXIBLE</x:v>
      </x:c>
      <x:c r="S63" t="n">
        <x:v>18</x:v>
      </x:c>
      <x:c r="T63" t="str">
        <x:v>CLEARED</x:v>
      </x:c>
      <x:c r="U63" t="str">
        <x:v>NOT_REQUIRED</x:v>
      </x:c>
      <x:c r="V63" s="16" t="n">
        <x:v>0.8053</x:v>
      </x:c>
      <x:c r="W63" t="str">
        <x:v>Spanish</x:v>
      </x:c>
      <x:c r="X63" t="str">
        <x:v>English</x:v>
      </x:c>
      <x:c r="Y63" t="n">
        <x:v>1021</x:v>
      </x:c>
      <x:c r="Z63" s="17" t="n">
        <x:v>4.92</x:v>
      </x:c>
      <x:c r="AA63" s="16" t="n">
        <x:v>0.9457</x:v>
      </x:c>
      <x:c r="AB63" s="16" t="n">
        <x:v>0.9551</x:v>
      </x:c>
      <x:c r="AC63" s="16" t="n">
        <x:v>0.9134</x:v>
      </x:c>
      <x:c r="AD63" t="n">
        <x:v>0</x:v>
      </x:c>
      <x:c r="AE63" t="str">
        <x:f>IF(O63&lt;&gt;"ACTIVE","NOT_RATED",IF(AND(Z63&gt;=4.8,AB63&gt;=0.97,AC63&gt;=0.93,AD63=0),"ELITE",IF(AND(Z63&gt;=4.6,AB63&gt;=0.94,AC63&gt;=0.88),"HIGH_PERFORMER",IF(OR(Z63&lt;4.2,AB63&lt;0.85,AD63&gt;=2),"AT_RISK","STANDARD"))))</x:f>
        <x:v>HIGH_PERFORMER</x:v>
      </x:c>
      <x:c r="AF63" s="15" t="n">
        <x:v>46009</x:v>
      </x:c>
      <x:c r="AG63" t="str">
        <x:v>VERIFIED</x:v>
      </x:c>
      <x:c r="AH63" t="str">
        <x:v>COMPLETE</x:v>
      </x:c>
      <x:c r="AI63" t="str">
        <x:v>Jamie Lewis</x:v>
      </x:c>
      <x:c r="AJ63" t="str">
        <x:v>SIBLING</x:v>
      </x:c>
      <x:c r="AK63" t="str">
        <x:v>+1 (210) 555-0150</x:v>
      </x:c>
    </x:row>
    <x:row r="64" ht="18" customHeight="1">
      <x:c r="A64" t="str">
        <x:v>DHR-00063</x:v>
      </x:c>
      <x:c r="B64" t="str">
        <x:v>Avery Thompson</x:v>
      </x:c>
      <x:c r="C64" t="str">
        <x:v>https://api.dicebear.com/9.x/adventurer/png?seed=DHR-00063-Avery%20Thompson&amp;size=256&amp;radius=50&amp;backgroundColor=b6e3f4,c0aede,d1d4f9,ffd5dc,ffdfbf</x:v>
      </x:c>
      <x:c r="D64" t="str">
        <x:v>avery.thompson.063@example.com</x:v>
      </x:c>
      <x:c r="E64" t="str">
        <x:v>+1 (213) 555-0162</x:v>
      </x:c>
      <x:c r="F64" t="str">
        <x:v>Los Angeles, CA</x:v>
      </x:c>
      <x:c r="G64" t="str">
        <x:v>Los Angeles</x:v>
      </x:c>
      <x:c r="H64" t="str">
        <x:v>CA</x:v>
      </x:c>
      <x:c r="I64" s="18" t="str">
        <x:v>90012</x:v>
      </x:c>
      <x:c r="J64" s="15" t="n">
        <x:v>27549.539540682872</x:v>
      </x:c>
      <x:c r="K64" t="n">
        <x:f>INT((DATE(2025,12,31)-J64)/365.25)</x:f>
        <x:v>50</x:v>
      </x:c>
      <x:c r="L64" t="str">
        <x:f>IF(K64&lt;25,"18-24",IF(K64&lt;35,"25-34",IF(K64&lt;45,"35-44",IF(K64&lt;55,"45-54","55+"))))</x:f>
        <x:v>45-54</x:v>
      </x:c>
      <x:c r="M64" s="15" t="n">
        <x:v>43643.0200390625</x:v>
      </x:c>
      <x:c r="N64" t="n">
        <x:f>(YEAR(DATE(2025,12,31))-YEAR(M64))*12+MONTH(DATE(2025,12,31))-MONTH(M64)</x:f>
        <x:v>78</x:v>
      </x:c>
      <x:c r="O64" t="str">
        <x:v>ACTIVE</x:v>
      </x:c>
      <x:c r="P64" t="str">
        <x:v>INDEPENDENT_CONTRACTOR</x:v>
      </x:c>
      <x:c r="Q64" t="str">
        <x:v>CAR</x:v>
      </x:c>
      <x:c r="R64" t="str">
        <x:v>DINNER</x:v>
      </x:c>
      <x:c r="S64" t="n">
        <x:v>36</x:v>
      </x:c>
      <x:c r="T64" t="str">
        <x:v>CLEARED</x:v>
      </x:c>
      <x:c r="U64" t="str">
        <x:v>VALID</x:v>
      </x:c>
      <x:c r="V64" s="16" t="n">
        <x:v>0.8318</x:v>
      </x:c>
      <x:c r="W64" t="str">
        <x:v>English</x:v>
      </x:c>
      <x:c r="X64"/>
      <x:c r="Y64" t="n">
        <x:v>11449</x:v>
      </x:c>
      <x:c r="Z64" s="17" t="n">
        <x:v>4.37</x:v>
      </x:c>
      <x:c r="AA64" s="16" t="n">
        <x:v>0.8237</x:v>
      </x:c>
      <x:c r="AB64" s="16" t="n">
        <x:v>0.9563</x:v>
      </x:c>
      <x:c r="AC64" s="16" t="n">
        <x:v>0.9263</x:v>
      </x:c>
      <x:c r="AD64" t="n">
        <x:v>0</x:v>
      </x:c>
      <x:c r="AE64" t="str">
        <x:f>IF(O64&lt;&gt;"ACTIVE","NOT_RATED",IF(AND(Z64&gt;=4.8,AB64&gt;=0.97,AC64&gt;=0.93,AD64=0),"ELITE",IF(AND(Z64&gt;=4.6,AB64&gt;=0.94,AC64&gt;=0.88),"HIGH_PERFORMER",IF(OR(Z64&lt;4.2,AB64&lt;0.85,AD64&gt;=2),"AT_RISK","STANDARD"))))</x:f>
        <x:v>STANDARD</x:v>
      </x:c>
      <x:c r="AF64" s="15" t="n">
        <x:v>46016</x:v>
      </x:c>
      <x:c r="AG64" t="str">
        <x:v>VERIFIED</x:v>
      </x:c>
      <x:c r="AH64" t="str">
        <x:v>COMPLETE</x:v>
      </x:c>
      <x:c r="AI64" t="str">
        <x:v>Ethan Martinez</x:v>
      </x:c>
      <x:c r="AJ64" t="str">
        <x:v>SIBLING</x:v>
      </x:c>
      <x:c r="AK64" t="str">
        <x:v>+1 (213) 555-0157</x:v>
      </x:c>
    </x:row>
    <x:row r="65" ht="18" customHeight="1">
      <x:c r="A65" t="str">
        <x:v>DHR-00064</x:v>
      </x:c>
      <x:c r="B65" t="str">
        <x:v>Avery Walker</x:v>
      </x:c>
      <x:c r="C65" t="str">
        <x:v>https://api.dicebear.com/9.x/adventurer/png?seed=DHR-00064-Avery%20Walker&amp;size=256&amp;radius=50&amp;backgroundColor=b6e3f4,c0aede,d1d4f9,ffd5dc,ffdfbf</x:v>
      </x:c>
      <x:c r="D65" t="str">
        <x:v>avery.walker.064@example.com</x:v>
      </x:c>
      <x:c r="E65" t="str">
        <x:v>+1 (614) 555-0163</x:v>
      </x:c>
      <x:c r="F65" t="str">
        <x:v>Columbus, OH</x:v>
      </x:c>
      <x:c r="G65" t="str">
        <x:v>Columbus</x:v>
      </x:c>
      <x:c r="H65" t="str">
        <x:v>OH</x:v>
      </x:c>
      <x:c r="I65" s="18" t="str">
        <x:v>43215</x:v>
      </x:c>
      <x:c r="J65" s="15" t="n">
        <x:v>36597.376892291664</x:v>
      </x:c>
      <x:c r="K65" t="n">
        <x:f>INT((DATE(2025,12,31)-J65)/365.25)</x:f>
        <x:v>25</x:v>
      </x:c>
      <x:c r="L65" t="str">
        <x:f>IF(K65&lt;25,"18-24",IF(K65&lt;35,"25-34",IF(K65&lt;45,"35-44",IF(K65&lt;55,"45-54","55+"))))</x:f>
        <x:v>25-34</x:v>
      </x:c>
      <x:c r="M65" s="15" t="n">
        <x:v>45372.142315219906</x:v>
      </x:c>
      <x:c r="N65" t="n">
        <x:f>(YEAR(DATE(2025,12,31))-YEAR(M65))*12+MONTH(DATE(2025,12,31))-MONTH(M65)</x:f>
        <x:v>21</x:v>
      </x:c>
      <x:c r="O65" t="str">
        <x:v>OFFBOARDED</x:v>
      </x:c>
      <x:c r="P65" t="str">
        <x:v>INDEPENDENT_CONTRACTOR</x:v>
      </x:c>
      <x:c r="Q65" t="str">
        <x:v>CAR</x:v>
      </x:c>
      <x:c r="R65" t="str">
        <x:v>DINNER</x:v>
      </x:c>
      <x:c r="S65" t="n">
        <x:v>40</x:v>
      </x:c>
      <x:c r="T65" t="str">
        <x:v>CLEARED</x:v>
      </x:c>
      <x:c r="U65" t="str">
        <x:v>VALID</x:v>
      </x:c>
      <x:c r="V65" s="16" t="n">
        <x:v>0.9031</x:v>
      </x:c>
      <x:c r="W65" t="str">
        <x:v>English</x:v>
      </x:c>
      <x:c r="X65"/>
      <x:c r="Y65" t="n">
        <x:v>2908</x:v>
      </x:c>
      <x:c r="Z65" s="17" t="n">
        <x:v>4.81</x:v>
      </x:c>
      <x:c r="AA65" s="16" t="n">
        <x:v>0.6918</x:v>
      </x:c>
      <x:c r="AB65" s="16" t="n">
        <x:v>0.9106</x:v>
      </x:c>
      <x:c r="AC65" s="16" t="n">
        <x:v>0.8611</x:v>
      </x:c>
      <x:c r="AD65" t="n">
        <x:v>0</x:v>
      </x:c>
      <x:c r="AE65" t="str">
        <x:f>IF(O65&lt;&gt;"ACTIVE","NOT_RATED",IF(AND(Z65&gt;=4.8,AB65&gt;=0.97,AC65&gt;=0.93,AD65=0),"ELITE",IF(AND(Z65&gt;=4.6,AB65&gt;=0.94,AC65&gt;=0.88),"HIGH_PERFORMER",IF(OR(Z65&lt;4.2,AB65&lt;0.85,AD65&gt;=2),"AT_RISK","STANDARD"))))</x:f>
        <x:v>NOT_RATED</x:v>
      </x:c>
      <x:c r="AF65" s="15" t="n">
        <x:v>45772</x:v>
      </x:c>
      <x:c r="AG65" t="str">
        <x:v>VERIFIED</x:v>
      </x:c>
      <x:c r="AH65" t="str">
        <x:v>COMPLETE</x:v>
      </x:c>
      <x:c r="AI65" t="str">
        <x:v>Robin Jones</x:v>
      </x:c>
      <x:c r="AJ65" t="str">
        <x:v>SIBLING</x:v>
      </x:c>
      <x:c r="AK65" t="str">
        <x:v>+1 (614) 555-0164</x:v>
      </x:c>
    </x:row>
    <x:row r="66" ht="18" customHeight="1">
      <x:c r="A66" t="str">
        <x:v>DHR-00065</x:v>
      </x:c>
      <x:c r="B66" t="str">
        <x:v>Avery Williams</x:v>
      </x:c>
      <x:c r="C66" t="str">
        <x:v>https://api.dicebear.com/9.x/adventurer/png?seed=DHR-00065-Avery%20Williams&amp;size=256&amp;radius=50&amp;backgroundColor=b6e3f4,c0aede,d1d4f9,ffd5dc,ffdfbf</x:v>
      </x:c>
      <x:c r="D66" t="str">
        <x:v>avery.williams.065@example.com</x:v>
      </x:c>
      <x:c r="E66" t="str">
        <x:v>+1 (602) 555-0164</x:v>
      </x:c>
      <x:c r="F66" t="str">
        <x:v>Phoenix, AZ</x:v>
      </x:c>
      <x:c r="G66" t="str">
        <x:v>Phoenix</x:v>
      </x:c>
      <x:c r="H66" t="str">
        <x:v>AZ</x:v>
      </x:c>
      <x:c r="I66" s="18" t="str">
        <x:v>85004</x:v>
      </x:c>
      <x:c r="J66" s="15" t="n">
        <x:v>27608.601579803242</x:v>
      </x:c>
      <x:c r="K66" t="n">
        <x:f>INT((DATE(2025,12,31)-J66)/365.25)</x:f>
        <x:v>50</x:v>
      </x:c>
      <x:c r="L66" t="str">
        <x:f>IF(K66&lt;25,"18-24",IF(K66&lt;35,"25-34",IF(K66&lt;45,"35-44",IF(K66&lt;55,"45-54","55+"))))</x:f>
        <x:v>45-54</x:v>
      </x:c>
      <x:c r="M66" s="15" t="n">
        <x:v>45192.39383150463</x:v>
      </x:c>
      <x:c r="N66" t="n">
        <x:f>(YEAR(DATE(2025,12,31))-YEAR(M66))*12+MONTH(DATE(2025,12,31))-MONTH(M66)</x:f>
        <x:v>27</x:v>
      </x:c>
      <x:c r="O66" t="str">
        <x:v>ACTIVE</x:v>
      </x:c>
      <x:c r="P66" t="str">
        <x:v>INDEPENDENT_CONTRACTOR</x:v>
      </x:c>
      <x:c r="Q66" t="str">
        <x:v>CAR</x:v>
      </x:c>
      <x:c r="R66" t="str">
        <x:v>FLEXIBLE</x:v>
      </x:c>
      <x:c r="S66" t="n">
        <x:v>47</x:v>
      </x:c>
      <x:c r="T66" t="str">
        <x:v>REVIEW_REQUIRED</x:v>
      </x:c>
      <x:c r="U66" t="str">
        <x:v>VALID</x:v>
      </x:c>
      <x:c r="V66" s="16" t="n">
        <x:v>0.9909</x:v>
      </x:c>
      <x:c r="W66" t="str">
        <x:v>English</x:v>
      </x:c>
      <x:c r="X66" t="str">
        <x:v>Spanish</x:v>
      </x:c>
      <x:c r="Y66" t="n">
        <x:v>2971</x:v>
      </x:c>
      <x:c r="Z66" s="17" t="n">
        <x:v>4.33</x:v>
      </x:c>
      <x:c r="AA66" s="16" t="n">
        <x:v>0.8055</x:v>
      </x:c>
      <x:c r="AB66" s="16" t="n">
        <x:v>0.9748</x:v>
      </x:c>
      <x:c r="AC66" s="16" t="n">
        <x:v>0.9</x:v>
      </x:c>
      <x:c r="AD66" t="n">
        <x:v>0</x:v>
      </x:c>
      <x:c r="AE66" t="str">
        <x:f>IF(O66&lt;&gt;"ACTIVE","NOT_RATED",IF(AND(Z66&gt;=4.8,AB66&gt;=0.97,AC66&gt;=0.93,AD66=0),"ELITE",IF(AND(Z66&gt;=4.6,AB66&gt;=0.94,AC66&gt;=0.88),"HIGH_PERFORMER",IF(OR(Z66&lt;4.2,AB66&lt;0.85,AD66&gt;=2),"AT_RISK","STANDARD"))))</x:f>
        <x:v>STANDARD</x:v>
      </x:c>
      <x:c r="AF66" s="15" t="n">
        <x:v>46022</x:v>
      </x:c>
      <x:c r="AG66" t="str">
        <x:v>VERIFIED</x:v>
      </x:c>
      <x:c r="AH66" t="str">
        <x:v>COMPLETE</x:v>
      </x:c>
      <x:c r="AI66" t="str">
        <x:v>Avery Thomas</x:v>
      </x:c>
      <x:c r="AJ66" t="str">
        <x:v>OTHER</x:v>
      </x:c>
      <x:c r="AK66" t="str">
        <x:v>+1 (602) 555-0171</x:v>
      </x:c>
    </x:row>
    <x:row r="67" ht="18" customHeight="1">
      <x:c r="A67" t="str">
        <x:v>DHR-00066</x:v>
      </x:c>
      <x:c r="B67" t="str">
        <x:v>Avery Wilson</x:v>
      </x:c>
      <x:c r="C67" t="str">
        <x:v>https://api.dicebear.com/9.x/adventurer/png?seed=DHR-00066-Avery%20Wilson&amp;size=256&amp;radius=50&amp;backgroundColor=b6e3f4,c0aede,d1d4f9,ffd5dc,ffdfbf</x:v>
      </x:c>
      <x:c r="D67" t="str">
        <x:v>avery.wilson.066@example.com</x:v>
      </x:c>
      <x:c r="E67" t="str">
        <x:v>+1 (212) 555-0165</x:v>
      </x:c>
      <x:c r="F67" t="str">
        <x:v>New York, NY</x:v>
      </x:c>
      <x:c r="G67" t="str">
        <x:v>New York</x:v>
      </x:c>
      <x:c r="H67" t="str">
        <x:v>NY</x:v>
      </x:c>
      <x:c r="I67" s="18" t="str">
        <x:v>10001</x:v>
      </x:c>
      <x:c r="J67" s="15" t="n">
        <x:v>30192.935207314815</x:v>
      </x:c>
      <x:c r="K67" t="n">
        <x:f>INT((DATE(2025,12,31)-J67)/365.25)</x:f>
        <x:v>43</x:v>
      </x:c>
      <x:c r="L67" t="str">
        <x:f>IF(K67&lt;25,"18-24",IF(K67&lt;35,"25-34",IF(K67&lt;45,"35-44",IF(K67&lt;55,"45-54","55+"))))</x:f>
        <x:v>35-44</x:v>
      </x:c>
      <x:c r="M67" s="15" t="n">
        <x:v>44683.03729395833</x:v>
      </x:c>
      <x:c r="N67" t="n">
        <x:f>(YEAR(DATE(2025,12,31))-YEAR(M67))*12+MONTH(DATE(2025,12,31))-MONTH(M67)</x:f>
        <x:v>43</x:v>
      </x:c>
      <x:c r="O67" t="str">
        <x:v>ACTIVE</x:v>
      </x:c>
      <x:c r="P67" t="str">
        <x:v>INDEPENDENT_CONTRACTOR</x:v>
      </x:c>
      <x:c r="Q67" t="str">
        <x:v>CAR</x:v>
      </x:c>
      <x:c r="R67" t="str">
        <x:v>FLEXIBLE</x:v>
      </x:c>
      <x:c r="S67" t="n">
        <x:v>26</x:v>
      </x:c>
      <x:c r="T67" t="str">
        <x:v>CLEARED</x:v>
      </x:c>
      <x:c r="U67" t="str">
        <x:v>VALID</x:v>
      </x:c>
      <x:c r="V67" s="16" t="n">
        <x:v>0.8547</x:v>
      </x:c>
      <x:c r="W67" t="str">
        <x:v>English</x:v>
      </x:c>
      <x:c r="X67"/>
      <x:c r="Y67" t="n">
        <x:v>2713</x:v>
      </x:c>
      <x:c r="Z67" s="17" t="n">
        <x:v>4.53</x:v>
      </x:c>
      <x:c r="AA67" s="16" t="n">
        <x:v>0.9455</x:v>
      </x:c>
      <x:c r="AB67" s="16" t="n">
        <x:v>0.982</x:v>
      </x:c>
      <x:c r="AC67" s="16" t="n">
        <x:v>0.9307</x:v>
      </x:c>
      <x:c r="AD67" t="n">
        <x:v>1</x:v>
      </x:c>
      <x:c r="AE67" t="str">
        <x:f>IF(O67&lt;&gt;"ACTIVE","NOT_RATED",IF(AND(Z67&gt;=4.8,AB67&gt;=0.97,AC67&gt;=0.93,AD67=0),"ELITE",IF(AND(Z67&gt;=4.6,AB67&gt;=0.94,AC67&gt;=0.88),"HIGH_PERFORMER",IF(OR(Z67&lt;4.2,AB67&lt;0.85,AD67&gt;=2),"AT_RISK","STANDARD"))))</x:f>
        <x:v>STANDARD</x:v>
      </x:c>
      <x:c r="AF67" s="15" t="n">
        <x:v>46013</x:v>
      </x:c>
      <x:c r="AG67" t="str">
        <x:v>VERIFIED</x:v>
      </x:c>
      <x:c r="AH67" t="str">
        <x:v>COMPLETE</x:v>
      </x:c>
      <x:c r="AI67" t="str">
        <x:v>Quinn Jackson</x:v>
      </x:c>
      <x:c r="AJ67" t="str">
        <x:v>FRIEND</x:v>
      </x:c>
      <x:c r="AK67" t="str">
        <x:v>+1 (212) 555-0178</x:v>
      </x:c>
    </x:row>
    <x:row r="68" ht="18" customHeight="1">
      <x:c r="A68" t="str">
        <x:v>DHR-00067</x:v>
      </x:c>
      <x:c r="B68" t="str">
        <x:v>Cameron Anderson</x:v>
      </x:c>
      <x:c r="C68" t="str">
        <x:v>https://api.dicebear.com/9.x/adventurer/png?seed=DHR-00067-Cameron%20Anderson&amp;size=256&amp;radius=50&amp;backgroundColor=b6e3f4,c0aede,d1d4f9,ffd5dc,ffdfbf</x:v>
      </x:c>
      <x:c r="D68" t="str">
        <x:v>cameron.anderson.067@example.com</x:v>
      </x:c>
      <x:c r="E68" t="str">
        <x:v>+1 (619) 555-0166</x:v>
      </x:c>
      <x:c r="F68" t="str">
        <x:v>San Diego, CA</x:v>
      </x:c>
      <x:c r="G68" t="str">
        <x:v>San Diego</x:v>
      </x:c>
      <x:c r="H68" t="str">
        <x:v>CA</x:v>
      </x:c>
      <x:c r="I68" s="18" t="str">
        <x:v>92101</x:v>
      </x:c>
      <x:c r="J68" s="15" t="n">
        <x:v>27973.40546189815</x:v>
      </x:c>
      <x:c r="K68" t="n">
        <x:f>INT((DATE(2025,12,31)-J68)/365.25)</x:f>
        <x:v>49</x:v>
      </x:c>
      <x:c r="L68" t="str">
        <x:f>IF(K68&lt;25,"18-24",IF(K68&lt;35,"25-34",IF(K68&lt;45,"35-44",IF(K68&lt;55,"45-54","55+"))))</x:f>
        <x:v>45-54</x:v>
      </x:c>
      <x:c r="M68" s="15" t="n">
        <x:v>45755.85470793981</x:v>
      </x:c>
      <x:c r="N68" t="n">
        <x:f>(YEAR(DATE(2025,12,31))-YEAR(M68))*12+MONTH(DATE(2025,12,31))-MONTH(M68)</x:f>
        <x:v>8</x:v>
      </x:c>
      <x:c r="O68" t="str">
        <x:v>ACTIVE</x:v>
      </x:c>
      <x:c r="P68" t="str">
        <x:v>INDEPENDENT_CONTRACTOR</x:v>
      </x:c>
      <x:c r="Q68" t="str">
        <x:v>CAR</x:v>
      </x:c>
      <x:c r="R68" t="str">
        <x:v>FLEXIBLE</x:v>
      </x:c>
      <x:c r="S68" t="n">
        <x:v>31</x:v>
      </x:c>
      <x:c r="T68" t="str">
        <x:v>CLEARED</x:v>
      </x:c>
      <x:c r="U68" t="str">
        <x:v>VALID</x:v>
      </x:c>
      <x:c r="V68" s="16" t="n">
        <x:v>0.8767</x:v>
      </x:c>
      <x:c r="W68" t="str">
        <x:v>English</x:v>
      </x:c>
      <x:c r="X68"/>
      <x:c r="Y68" t="n">
        <x:v>762</x:v>
      </x:c>
      <x:c r="Z68" s="17" t="n">
        <x:v>4.44</x:v>
      </x:c>
      <x:c r="AA68" s="16" t="n">
        <x:v>0.7044</x:v>
      </x:c>
      <x:c r="AB68" s="16" t="n">
        <x:v>0.8858</x:v>
      </x:c>
      <x:c r="AC68" s="16" t="n">
        <x:v>0.8044</x:v>
      </x:c>
      <x:c r="AD68" t="n">
        <x:v>0</x:v>
      </x:c>
      <x:c r="AE68" t="str">
        <x:f>IF(O68&lt;&gt;"ACTIVE","NOT_RATED",IF(AND(Z68&gt;=4.8,AB68&gt;=0.97,AC68&gt;=0.93,AD68=0),"ELITE",IF(AND(Z68&gt;=4.6,AB68&gt;=0.94,AC68&gt;=0.88),"HIGH_PERFORMER",IF(OR(Z68&lt;4.2,AB68&lt;0.85,AD68&gt;=2),"AT_RISK","STANDARD"))))</x:f>
        <x:v>STANDARD</x:v>
      </x:c>
      <x:c r="AF68" s="15" t="n">
        <x:v>46012</x:v>
      </x:c>
      <x:c r="AG68" t="str">
        <x:v>VERIFIED</x:v>
      </x:c>
      <x:c r="AH68" t="str">
        <x:v>COMPLETE</x:v>
      </x:c>
      <x:c r="AI68" t="str">
        <x:v>Chris Jackson</x:v>
      </x:c>
      <x:c r="AJ68" t="str">
        <x:v>PARENT</x:v>
      </x:c>
      <x:c r="AK68" t="str">
        <x:v>+1 (619) 555-0185</x:v>
      </x:c>
    </x:row>
    <x:row r="69" ht="18" customHeight="1">
      <x:c r="A69" t="str">
        <x:v>DHR-00068</x:v>
      </x:c>
      <x:c r="B69" t="str">
        <x:v>Cameron Brown</x:v>
      </x:c>
      <x:c r="C69" t="str">
        <x:v>https://api.dicebear.com/9.x/adventurer/png?seed=DHR-00068-Cameron%20Brown&amp;size=256&amp;radius=50&amp;backgroundColor=b6e3f4,c0aede,d1d4f9,ffd5dc,ffdfbf</x:v>
      </x:c>
      <x:c r="D69" t="str">
        <x:v>cameron.brown.068@example.com</x:v>
      </x:c>
      <x:c r="E69" t="str">
        <x:v>+1 (312) 555-0167</x:v>
      </x:c>
      <x:c r="F69" t="str">
        <x:v>Chicago, IL</x:v>
      </x:c>
      <x:c r="G69" t="str">
        <x:v>Chicago</x:v>
      </x:c>
      <x:c r="H69" t="str">
        <x:v>IL</x:v>
      </x:c>
      <x:c r="I69" s="18" t="str">
        <x:v>60601</x:v>
      </x:c>
      <x:c r="J69" s="15" t="n">
        <x:v>26227.294375925925</x:v>
      </x:c>
      <x:c r="K69" t="n">
        <x:f>INT((DATE(2025,12,31)-J69)/365.25)</x:f>
        <x:v>54</x:v>
      </x:c>
      <x:c r="L69" t="str">
        <x:f>IF(K69&lt;25,"18-24",IF(K69&lt;35,"25-34",IF(K69&lt;45,"35-44",IF(K69&lt;55,"45-54","55+"))))</x:f>
        <x:v>45-54</x:v>
      </x:c>
      <x:c r="M69" s="15" t="n">
        <x:v>44477.41980131945</x:v>
      </x:c>
      <x:c r="N69" t="n">
        <x:f>(YEAR(DATE(2025,12,31))-YEAR(M69))*12+MONTH(DATE(2025,12,31))-MONTH(M69)</x:f>
        <x:v>50</x:v>
      </x:c>
      <x:c r="O69" t="str">
        <x:v>ACTIVE</x:v>
      </x:c>
      <x:c r="P69" t="str">
        <x:v>INDEPENDENT_CONTRACTOR</x:v>
      </x:c>
      <x:c r="Q69" t="str">
        <x:v>BICYCLE</x:v>
      </x:c>
      <x:c r="R69" t="str">
        <x:v>FLEXIBLE</x:v>
      </x:c>
      <x:c r="S69" t="n">
        <x:v>36</x:v>
      </x:c>
      <x:c r="T69" t="str">
        <x:v>CLEARED</x:v>
      </x:c>
      <x:c r="U69" t="str">
        <x:v>NOT_REQUIRED</x:v>
      </x:c>
      <x:c r="V69" s="16" t="n">
        <x:v>0.8014</x:v>
      </x:c>
      <x:c r="W69" t="str">
        <x:v>English</x:v>
      </x:c>
      <x:c r="X69"/>
      <x:c r="Y69" t="n">
        <x:v>4097</x:v>
      </x:c>
      <x:c r="Z69" s="17" t="n">
        <x:v>4.41</x:v>
      </x:c>
      <x:c r="AA69" s="16" t="n">
        <x:v>0.9163</x:v>
      </x:c>
      <x:c r="AB69" s="16" t="n">
        <x:v>0.9142</x:v>
      </x:c>
      <x:c r="AC69" s="16" t="n">
        <x:v>0.9707</x:v>
      </x:c>
      <x:c r="AD69" t="n">
        <x:v>0</x:v>
      </x:c>
      <x:c r="AE69" t="str">
        <x:f>IF(O69&lt;&gt;"ACTIVE","NOT_RATED",IF(AND(Z69&gt;=4.8,AB69&gt;=0.97,AC69&gt;=0.93,AD69=0),"ELITE",IF(AND(Z69&gt;=4.6,AB69&gt;=0.94,AC69&gt;=0.88),"HIGH_PERFORMER",IF(OR(Z69&lt;4.2,AB69&lt;0.85,AD69&gt;=2),"AT_RISK","STANDARD"))))</x:f>
        <x:v>STANDARD</x:v>
      </x:c>
      <x:c r="AF69" s="15" t="n">
        <x:v>46014</x:v>
      </x:c>
      <x:c r="AG69" t="str">
        <x:v>ON_HOLD</x:v>
      </x:c>
      <x:c r="AH69" t="str">
        <x:v>COMPLETE</x:v>
      </x:c>
      <x:c r="AI69" t="str">
        <x:v>Jesse Taylor</x:v>
      </x:c>
      <x:c r="AJ69" t="str">
        <x:v>FRIEND</x:v>
      </x:c>
      <x:c r="AK69" t="str">
        <x:v>+1 (312) 555-0192</x:v>
      </x:c>
    </x:row>
    <x:row r="70" ht="18" customHeight="1">
      <x:c r="A70" t="str">
        <x:v>DHR-00069</x:v>
      </x:c>
      <x:c r="B70" t="str">
        <x:v>Cameron Clark</x:v>
      </x:c>
      <x:c r="C70" t="str">
        <x:v>https://api.dicebear.com/9.x/adventurer/png?seed=DHR-00069-Cameron%20Clark&amp;size=256&amp;radius=50&amp;backgroundColor=b6e3f4,c0aede,d1d4f9,ffd5dc,ffdfbf</x:v>
      </x:c>
      <x:c r="D70" t="str">
        <x:v>cameron.clark.069@example.com</x:v>
      </x:c>
      <x:c r="E70" t="str">
        <x:v>+1 (212) 555-0168</x:v>
      </x:c>
      <x:c r="F70" t="str">
        <x:v>New York, NY</x:v>
      </x:c>
      <x:c r="G70" t="str">
        <x:v>New York</x:v>
      </x:c>
      <x:c r="H70" t="str">
        <x:v>NY</x:v>
      </x:c>
      <x:c r="I70" s="18" t="str">
        <x:v>10001</x:v>
      </x:c>
      <x:c r="J70" s="15" t="n">
        <x:v>38397.55218233796</x:v>
      </x:c>
      <x:c r="K70" t="n">
        <x:f>INT((DATE(2025,12,31)-J70)/365.25)</x:f>
        <x:v>20</x:v>
      </x:c>
      <x:c r="L70" t="str">
        <x:f>IF(K70&lt;25,"18-24",IF(K70&lt;35,"25-34",IF(K70&lt;45,"35-44",IF(K70&lt;55,"45-54","55+"))))</x:f>
        <x:v>18-24</x:v>
      </x:c>
      <x:c r="M70" s="15" t="n">
        <x:v>45225.08841988426</x:v>
      </x:c>
      <x:c r="N70" t="n">
        <x:f>(YEAR(DATE(2025,12,31))-YEAR(M70))*12+MONTH(DATE(2025,12,31))-MONTH(M70)</x:f>
        <x:v>26</x:v>
      </x:c>
      <x:c r="O70" t="str">
        <x:v>ACTIVE</x:v>
      </x:c>
      <x:c r="P70" t="str">
        <x:v>INDEPENDENT_CONTRACTOR</x:v>
      </x:c>
      <x:c r="Q70" t="str">
        <x:v>CAR</x:v>
      </x:c>
      <x:c r="R70" t="str">
        <x:v>WEEKENDS</x:v>
      </x:c>
      <x:c r="S70" t="n">
        <x:v>48</x:v>
      </x:c>
      <x:c r="T70" t="str">
        <x:v>REVIEW_REQUIRED</x:v>
      </x:c>
      <x:c r="U70" t="str">
        <x:v>EXPIRING_SOON</x:v>
      </x:c>
      <x:c r="V70" s="16" t="n">
        <x:v>0.9215</x:v>
      </x:c>
      <x:c r="W70" t="str">
        <x:v>French</x:v>
      </x:c>
      <x:c r="X70"/>
      <x:c r="Y70" t="n">
        <x:v>4254</x:v>
      </x:c>
      <x:c r="Z70" s="17" t="n">
        <x:v>4.75</x:v>
      </x:c>
      <x:c r="AA70" s="16" t="n">
        <x:v>0.6092</x:v>
      </x:c>
      <x:c r="AB70" s="16" t="n">
        <x:v>0.9405</x:v>
      </x:c>
      <x:c r="AC70" s="16" t="n">
        <x:v>0.8688</x:v>
      </x:c>
      <x:c r="AD70" t="n">
        <x:v>0</x:v>
      </x:c>
      <x:c r="AE70" t="str">
        <x:f>IF(O70&lt;&gt;"ACTIVE","NOT_RATED",IF(AND(Z70&gt;=4.8,AB70&gt;=0.97,AC70&gt;=0.93,AD70=0),"ELITE",IF(AND(Z70&gt;=4.6,AB70&gt;=0.94,AC70&gt;=0.88),"HIGH_PERFORMER",IF(OR(Z70&lt;4.2,AB70&lt;0.85,AD70&gt;=2),"AT_RISK","STANDARD"))))</x:f>
        <x:v>STANDARD</x:v>
      </x:c>
      <x:c r="AF70" s="15" t="n">
        <x:v>46009</x:v>
      </x:c>
      <x:c r="AG70" t="str">
        <x:v>VERIFIED</x:v>
      </x:c>
      <x:c r="AH70" t="str">
        <x:v>COMPLETE</x:v>
      </x:c>
      <x:c r="AI70" t="str">
        <x:v>Alex Rodriguez</x:v>
      </x:c>
      <x:c r="AJ70" t="str">
        <x:v>SPOUSE_PARTNER</x:v>
      </x:c>
      <x:c r="AK70" t="str">
        <x:v>+1 (212) 555-0199</x:v>
      </x:c>
    </x:row>
    <x:row r="71" ht="18" customHeight="1">
      <x:c r="A71" t="str">
        <x:v>DHR-00070</x:v>
      </x:c>
      <x:c r="B71" t="str">
        <x:v>Cameron Garcia</x:v>
      </x:c>
      <x:c r="C71" t="str">
        <x:v>https://api.dicebear.com/9.x/adventurer/png?seed=DHR-00070-Cameron%20Garcia&amp;size=256&amp;radius=50&amp;backgroundColor=b6e3f4,c0aede,d1d4f9,ffd5dc,ffdfbf</x:v>
      </x:c>
      <x:c r="D71" t="str">
        <x:v>cameron.garcia.070@example.com</x:v>
      </x:c>
      <x:c r="E71" t="str">
        <x:v>+1 (206) 555-0169</x:v>
      </x:c>
      <x:c r="F71" t="str">
        <x:v>Seattle, WA</x:v>
      </x:c>
      <x:c r="G71" t="str">
        <x:v>Seattle</x:v>
      </x:c>
      <x:c r="H71" t="str">
        <x:v>WA</x:v>
      </x:c>
      <x:c r="I71" s="18" t="str">
        <x:v>98101</x:v>
      </x:c>
      <x:c r="J71" s="15" t="n">
        <x:v>36657.89997486111</x:v>
      </x:c>
      <x:c r="K71" t="n">
        <x:f>INT((DATE(2025,12,31)-J71)/365.25)</x:f>
        <x:v>25</x:v>
      </x:c>
      <x:c r="L71" t="str">
        <x:f>IF(K71&lt;25,"18-24",IF(K71&lt;35,"25-34",IF(K71&lt;45,"35-44",IF(K71&lt;55,"45-54","55+"))))</x:f>
        <x:v>25-34</x:v>
      </x:c>
      <x:c r="M71" s="15" t="n">
        <x:v>45707.4083075</x:v>
      </x:c>
      <x:c r="N71" t="n">
        <x:f>(YEAR(DATE(2025,12,31))-YEAR(M71))*12+MONTH(DATE(2025,12,31))-MONTH(M71)</x:f>
        <x:v>10</x:v>
      </x:c>
      <x:c r="O71" t="str">
        <x:v>ACTIVE</x:v>
      </x:c>
      <x:c r="P71" t="str">
        <x:v>INDEPENDENT_CONTRACTOR</x:v>
      </x:c>
      <x:c r="Q71" t="str">
        <x:v>CAR</x:v>
      </x:c>
      <x:c r="R71" t="str">
        <x:v>FLEXIBLE</x:v>
      </x:c>
      <x:c r="S71" t="n">
        <x:v>11</x:v>
      </x:c>
      <x:c r="T71" t="str">
        <x:v>CLEARED</x:v>
      </x:c>
      <x:c r="U71" t="str">
        <x:v>VALID</x:v>
      </x:c>
      <x:c r="V71" s="16" t="n">
        <x:v>0.8713</x:v>
      </x:c>
      <x:c r="W71" t="str">
        <x:v>English</x:v>
      </x:c>
      <x:c r="X71"/>
      <x:c r="Y71" t="n">
        <x:v>364</x:v>
      </x:c>
      <x:c r="Z71" s="17" t="n">
        <x:v>4.19</x:v>
      </x:c>
      <x:c r="AA71" s="16" t="n">
        <x:v>0.7858</x:v>
      </x:c>
      <x:c r="AB71" s="16" t="n">
        <x:v>0.9395</x:v>
      </x:c>
      <x:c r="AC71" s="16" t="n">
        <x:v>0.9356</x:v>
      </x:c>
      <x:c r="AD71" t="n">
        <x:v>0</x:v>
      </x:c>
      <x:c r="AE71" t="str">
        <x:f>IF(O71&lt;&gt;"ACTIVE","NOT_RATED",IF(AND(Z71&gt;=4.8,AB71&gt;=0.97,AC71&gt;=0.93,AD71=0),"ELITE",IF(AND(Z71&gt;=4.6,AB71&gt;=0.94,AC71&gt;=0.88),"HIGH_PERFORMER",IF(OR(Z71&lt;4.2,AB71&lt;0.85,AD71&gt;=2),"AT_RISK","STANDARD"))))</x:f>
        <x:v>AT_RISK</x:v>
      </x:c>
      <x:c r="AF71" s="15" t="n">
        <x:v>46015</x:v>
      </x:c>
      <x:c r="AG71" t="str">
        <x:v>VERIFIED</x:v>
      </x:c>
      <x:c r="AH71" t="str">
        <x:v>PENDING</x:v>
      </x:c>
      <x:c r="AI71" t="str">
        <x:v>Cameron Thomas</x:v>
      </x:c>
      <x:c r="AJ71" t="str">
        <x:v>SPOUSE_PARTNER</x:v>
      </x:c>
      <x:c r="AK71" t="str">
        <x:v>+1 (206) 555-0106</x:v>
      </x:c>
    </x:row>
    <x:row r="72" ht="18" customHeight="1">
      <x:c r="A72" t="str">
        <x:v>DHR-00071</x:v>
      </x:c>
      <x:c r="B72" t="str">
        <x:v>Cameron Jackson</x:v>
      </x:c>
      <x:c r="C72" t="str">
        <x:v>https://api.dicebear.com/9.x/adventurer/png?seed=DHR-00071-Cameron%20Jackson&amp;size=256&amp;radius=50&amp;backgroundColor=b6e3f4,c0aede,d1d4f9,ffd5dc,ffdfbf</x:v>
      </x:c>
      <x:c r="D72" t="str">
        <x:v>cameron.jackson.071@example.com</x:v>
      </x:c>
      <x:c r="E72" t="str">
        <x:v>+1 (512) 555-0170</x:v>
      </x:c>
      <x:c r="F72" t="str">
        <x:v>Austin, TX</x:v>
      </x:c>
      <x:c r="G72" t="str">
        <x:v>Austin</x:v>
      </x:c>
      <x:c r="H72" t="str">
        <x:v>TX</x:v>
      </x:c>
      <x:c r="I72" s="18" t="str">
        <x:v>78701</x:v>
      </x:c>
      <x:c r="J72" s="15" t="n">
        <x:v>33549.093914791665</x:v>
      </x:c>
      <x:c r="K72" t="n">
        <x:f>INT((DATE(2025,12,31)-J72)/365.25)</x:f>
        <x:v>34</x:v>
      </x:c>
      <x:c r="L72" t="str">
        <x:f>IF(K72&lt;25,"18-24",IF(K72&lt;35,"25-34",IF(K72&lt;45,"35-44",IF(K72&lt;55,"45-54","55+"))))</x:f>
        <x:v>25-34</x:v>
      </x:c>
      <x:c r="M72" s="15" t="n">
        <x:v>44777.423974756945</x:v>
      </x:c>
      <x:c r="N72" t="n">
        <x:f>(YEAR(DATE(2025,12,31))-YEAR(M72))*12+MONTH(DATE(2025,12,31))-MONTH(M72)</x:f>
        <x:v>40</x:v>
      </x:c>
      <x:c r="O72" t="str">
        <x:v>ACTIVE</x:v>
      </x:c>
      <x:c r="P72" t="str">
        <x:v>INDEPENDENT_CONTRACTOR</x:v>
      </x:c>
      <x:c r="Q72" t="str">
        <x:v>CAR</x:v>
      </x:c>
      <x:c r="R72" t="str">
        <x:v>DINNER</x:v>
      </x:c>
      <x:c r="S72" t="n">
        <x:v>10</x:v>
      </x:c>
      <x:c r="T72" t="str">
        <x:v>CLEARED</x:v>
      </x:c>
      <x:c r="U72" t="str">
        <x:v>EXPIRING_SOON</x:v>
      </x:c>
      <x:c r="V72" s="16" t="n">
        <x:v>0.8823</x:v>
      </x:c>
      <x:c r="W72" t="str">
        <x:v>English</x:v>
      </x:c>
      <x:c r="X72"/>
      <x:c r="Y72" t="n">
        <x:v>1180</x:v>
      </x:c>
      <x:c r="Z72" s="17" t="n">
        <x:v>4.69</x:v>
      </x:c>
      <x:c r="AA72" s="16" t="n">
        <x:v>0.6677</x:v>
      </x:c>
      <x:c r="AB72" s="16" t="n">
        <x:v>0.8972</x:v>
      </x:c>
      <x:c r="AC72" s="16" t="n">
        <x:v>0.9691</x:v>
      </x:c>
      <x:c r="AD72" t="n">
        <x:v>0</x:v>
      </x:c>
      <x:c r="AE72" t="str">
        <x:f>IF(O72&lt;&gt;"ACTIVE","NOT_RATED",IF(AND(Z72&gt;=4.8,AB72&gt;=0.97,AC72&gt;=0.93,AD72=0),"ELITE",IF(AND(Z72&gt;=4.6,AB72&gt;=0.94,AC72&gt;=0.88),"HIGH_PERFORMER",IF(OR(Z72&lt;4.2,AB72&lt;0.85,AD72&gt;=2),"AT_RISK","STANDARD"))))</x:f>
        <x:v>STANDARD</x:v>
      </x:c>
      <x:c r="AF72" s="15" t="n">
        <x:v>46020</x:v>
      </x:c>
      <x:c r="AG72" t="str">
        <x:v>VERIFIED</x:v>
      </x:c>
      <x:c r="AH72" t="str">
        <x:v>COMPLETE</x:v>
      </x:c>
      <x:c r="AI72" t="str">
        <x:v>Jesse Perez</x:v>
      </x:c>
      <x:c r="AJ72" t="str">
        <x:v>SPOUSE_PARTNER</x:v>
      </x:c>
      <x:c r="AK72" t="str">
        <x:v>+1 (512) 555-0113</x:v>
      </x:c>
    </x:row>
    <x:row r="73" ht="18" customHeight="1">
      <x:c r="A73" t="str">
        <x:v>DHR-00072</x:v>
      </x:c>
      <x:c r="B73" t="str">
        <x:v>Cameron Johnson</x:v>
      </x:c>
      <x:c r="C73" t="str">
        <x:v>https://api.dicebear.com/9.x/adventurer/png?seed=DHR-00072-Cameron%20Johnson&amp;size=256&amp;radius=50&amp;backgroundColor=b6e3f4,c0aede,d1d4f9,ffd5dc,ffdfbf</x:v>
      </x:c>
      <x:c r="D73" t="str">
        <x:v>cameron.johnson.072@example.com</x:v>
      </x:c>
      <x:c r="E73" t="str">
        <x:v>+1 (713) 555-0171</x:v>
      </x:c>
      <x:c r="F73" t="str">
        <x:v>Houston, TX</x:v>
      </x:c>
      <x:c r="G73" t="str">
        <x:v>Houston</x:v>
      </x:c>
      <x:c r="H73" t="str">
        <x:v>TX</x:v>
      </x:c>
      <x:c r="I73" s="18" t="str">
        <x:v>77002</x:v>
      </x:c>
      <x:c r="J73" s="15" t="n">
        <x:v>29359.790833761574</x:v>
      </x:c>
      <x:c r="K73" t="n">
        <x:f>INT((DATE(2025,12,31)-J73)/365.25)</x:f>
        <x:v>45</x:v>
      </x:c>
      <x:c r="L73" t="str">
        <x:f>IF(K73&lt;25,"18-24",IF(K73&lt;35,"25-34",IF(K73&lt;45,"35-44",IF(K73&lt;55,"45-54","55+"))))</x:f>
        <x:v>45-54</x:v>
      </x:c>
      <x:c r="M73" s="15" t="n">
        <x:v>45052.29943726852</x:v>
      </x:c>
      <x:c r="N73" t="n">
        <x:f>(YEAR(DATE(2025,12,31))-YEAR(M73))*12+MONTH(DATE(2025,12,31))-MONTH(M73)</x:f>
        <x:v>31</x:v>
      </x:c>
      <x:c r="O73" t="str">
        <x:v>ACTIVE</x:v>
      </x:c>
      <x:c r="P73" t="str">
        <x:v>INDEPENDENT_CONTRACTOR</x:v>
      </x:c>
      <x:c r="Q73" t="str">
        <x:v>CAR</x:v>
      </x:c>
      <x:c r="R73" t="str">
        <x:v>DINNER</x:v>
      </x:c>
      <x:c r="S73" t="n">
        <x:v>27</x:v>
      </x:c>
      <x:c r="T73" t="str">
        <x:v>CLEARED</x:v>
      </x:c>
      <x:c r="U73" t="str">
        <x:v>VALID</x:v>
      </x:c>
      <x:c r="V73" s="16" t="n">
        <x:v>0.9366</x:v>
      </x:c>
      <x:c r="W73" t="str">
        <x:v>Spanish</x:v>
      </x:c>
      <x:c r="X73"/>
      <x:c r="Y73" t="n">
        <x:v>3379</x:v>
      </x:c>
      <x:c r="Z73" s="17" t="n">
        <x:v>4.55</x:v>
      </x:c>
      <x:c r="AA73" s="16" t="n">
        <x:v>0.7613</x:v>
      </x:c>
      <x:c r="AB73" s="16" t="n">
        <x:v>0.9849</x:v>
      </x:c>
      <x:c r="AC73" s="16" t="n">
        <x:v>0.8197</x:v>
      </x:c>
      <x:c r="AD73" t="n">
        <x:v>0</x:v>
      </x:c>
      <x:c r="AE73" t="str">
        <x:f>IF(O73&lt;&gt;"ACTIVE","NOT_RATED",IF(AND(Z73&gt;=4.8,AB73&gt;=0.97,AC73&gt;=0.93,AD73=0),"ELITE",IF(AND(Z73&gt;=4.6,AB73&gt;=0.94,AC73&gt;=0.88),"HIGH_PERFORMER",IF(OR(Z73&lt;4.2,AB73&lt;0.85,AD73&gt;=2),"AT_RISK","STANDARD"))))</x:f>
        <x:v>STANDARD</x:v>
      </x:c>
      <x:c r="AF73" s="15" t="n">
        <x:v>46018</x:v>
      </x:c>
      <x:c r="AG73" t="str">
        <x:v>VERIFIED</x:v>
      </x:c>
      <x:c r="AH73" t="str">
        <x:v>COMPLETE</x:v>
      </x:c>
      <x:c r="AI73" t="str">
        <x:v>Emma Garcia</x:v>
      </x:c>
      <x:c r="AJ73" t="str">
        <x:v>SPOUSE_PARTNER</x:v>
      </x:c>
      <x:c r="AK73" t="str">
        <x:v>+1 (713) 555-0120</x:v>
      </x:c>
    </x:row>
    <x:row r="74" ht="18" customHeight="1">
      <x:c r="A74" t="str">
        <x:v>DHR-00073</x:v>
      </x:c>
      <x:c r="B74" t="str">
        <x:v>Cameron Jones</x:v>
      </x:c>
      <x:c r="C74" t="str">
        <x:v>https://api.dicebear.com/9.x/adventurer/png?seed=DHR-00073-Cameron%20Jones&amp;size=256&amp;radius=50&amp;backgroundColor=b6e3f4,c0aede,d1d4f9,ffd5dc,ffdfbf</x:v>
      </x:c>
      <x:c r="D74" t="str">
        <x:v>cameron.jones.073@example.com</x:v>
      </x:c>
      <x:c r="E74" t="str">
        <x:v>+1 (213) 555-0172</x:v>
      </x:c>
      <x:c r="F74" t="str">
        <x:v>Los Angeles, CA</x:v>
      </x:c>
      <x:c r="G74" t="str">
        <x:v>Los Angeles</x:v>
      </x:c>
      <x:c r="H74" t="str">
        <x:v>CA</x:v>
      </x:c>
      <x:c r="I74" s="18" t="str">
        <x:v>90012</x:v>
      </x:c>
      <x:c r="J74" s="15" t="n">
        <x:v>31004.020817905093</x:v>
      </x:c>
      <x:c r="K74" t="n">
        <x:f>INT((DATE(2025,12,31)-J74)/365.25)</x:f>
        <x:v>41</x:v>
      </x:c>
      <x:c r="L74" t="str">
        <x:f>IF(K74&lt;25,"18-24",IF(K74&lt;35,"25-34",IF(K74&lt;45,"35-44",IF(K74&lt;55,"45-54","55+"))))</x:f>
        <x:v>35-44</x:v>
      </x:c>
      <x:c r="M74" s="15" t="n">
        <x:v>44656.95555730324</x:v>
      </x:c>
      <x:c r="N74" t="n">
        <x:f>(YEAR(DATE(2025,12,31))-YEAR(M74))*12+MONTH(DATE(2025,12,31))-MONTH(M74)</x:f>
        <x:v>44</x:v>
      </x:c>
      <x:c r="O74" t="str">
        <x:v>ACTIVE</x:v>
      </x:c>
      <x:c r="P74" t="str">
        <x:v>INDEPENDENT_CONTRACTOR</x:v>
      </x:c>
      <x:c r="Q74" t="str">
        <x:v>CAR</x:v>
      </x:c>
      <x:c r="R74" t="str">
        <x:v>WEEKENDS</x:v>
      </x:c>
      <x:c r="S74" t="n">
        <x:v>31</x:v>
      </x:c>
      <x:c r="T74" t="str">
        <x:v>CLEARED</x:v>
      </x:c>
      <x:c r="U74" t="str">
        <x:v>VALID</x:v>
      </x:c>
      <x:c r="V74" s="16" t="n">
        <x:v>0.9326</x:v>
      </x:c>
      <x:c r="W74" t="str">
        <x:v>English</x:v>
      </x:c>
      <x:c r="X74"/>
      <x:c r="Y74" t="n">
        <x:v>2751</x:v>
      </x:c>
      <x:c r="Z74" s="17" t="n">
        <x:v>4.74</x:v>
      </x:c>
      <x:c r="AA74" s="16" t="n">
        <x:v>0.7957</x:v>
      </x:c>
      <x:c r="AB74" s="16" t="n">
        <x:v>0.9512</x:v>
      </x:c>
      <x:c r="AC74" s="16" t="n">
        <x:v>0.9683</x:v>
      </x:c>
      <x:c r="AD74" t="n">
        <x:v>0</x:v>
      </x:c>
      <x:c r="AE74" t="str">
        <x:f>IF(O74&lt;&gt;"ACTIVE","NOT_RATED",IF(AND(Z74&gt;=4.8,AB74&gt;=0.97,AC74&gt;=0.93,AD74=0),"ELITE",IF(AND(Z74&gt;=4.6,AB74&gt;=0.94,AC74&gt;=0.88),"HIGH_PERFORMER",IF(OR(Z74&lt;4.2,AB74&lt;0.85,AD74&gt;=2),"AT_RISK","STANDARD"))))</x:f>
        <x:v>HIGH_PERFORMER</x:v>
      </x:c>
      <x:c r="AF74" s="15" t="n">
        <x:v>46019</x:v>
      </x:c>
      <x:c r="AG74" t="str">
        <x:v>VERIFIED</x:v>
      </x:c>
      <x:c r="AH74" t="str">
        <x:v>COMPLETE</x:v>
      </x:c>
      <x:c r="AI74" t="str">
        <x:v>Ethan Brown</x:v>
      </x:c>
      <x:c r="AJ74" t="str">
        <x:v>SPOUSE_PARTNER</x:v>
      </x:c>
      <x:c r="AK74" t="str">
        <x:v>+1 (213) 555-0127</x:v>
      </x:c>
    </x:row>
    <x:row r="75" ht="18" customHeight="1">
      <x:c r="A75" t="str">
        <x:v>DHR-00074</x:v>
      </x:c>
      <x:c r="B75" t="str">
        <x:v>Cameron Lee</x:v>
      </x:c>
      <x:c r="C75" t="str">
        <x:v>https://api.dicebear.com/9.x/adventurer/png?seed=DHR-00074-Cameron%20Lee&amp;size=256&amp;radius=50&amp;backgroundColor=b6e3f4,c0aede,d1d4f9,ffd5dc,ffdfbf</x:v>
      </x:c>
      <x:c r="D75" t="str">
        <x:v>cameron.lee.074@example.com</x:v>
      </x:c>
      <x:c r="E75" t="str">
        <x:v>+1 (312) 555-0173</x:v>
      </x:c>
      <x:c r="F75" t="str">
        <x:v>Chicago, IL</x:v>
      </x:c>
      <x:c r="G75" t="str">
        <x:v>Chicago</x:v>
      </x:c>
      <x:c r="H75" t="str">
        <x:v>IL</x:v>
      </x:c>
      <x:c r="I75" s="18" t="str">
        <x:v>60601</x:v>
      </x:c>
      <x:c r="J75" s="15" t="n">
        <x:v>29805.45243224537</x:v>
      </x:c>
      <x:c r="K75" t="n">
        <x:f>INT((DATE(2025,12,31)-J75)/365.25)</x:f>
        <x:v>44</x:v>
      </x:c>
      <x:c r="L75" t="str">
        <x:f>IF(K75&lt;25,"18-24",IF(K75&lt;35,"25-34",IF(K75&lt;45,"35-44",IF(K75&lt;55,"45-54","55+"))))</x:f>
        <x:v>35-44</x:v>
      </x:c>
      <x:c r="M75" s="15" t="n">
        <x:v>45057.1103984375</x:v>
      </x:c>
      <x:c r="N75" t="n">
        <x:f>(YEAR(DATE(2025,12,31))-YEAR(M75))*12+MONTH(DATE(2025,12,31))-MONTH(M75)</x:f>
        <x:v>31</x:v>
      </x:c>
      <x:c r="O75" t="str">
        <x:v>ACTIVE</x:v>
      </x:c>
      <x:c r="P75" t="str">
        <x:v>INDEPENDENT_CONTRACTOR</x:v>
      </x:c>
      <x:c r="Q75" t="str">
        <x:v>CAR</x:v>
      </x:c>
      <x:c r="R75" t="str">
        <x:v>FLEXIBLE</x:v>
      </x:c>
      <x:c r="S75" t="n">
        <x:v>44</x:v>
      </x:c>
      <x:c r="T75" t="str">
        <x:v>CLEARED</x:v>
      </x:c>
      <x:c r="U75" t="str">
        <x:v>VALID</x:v>
      </x:c>
      <x:c r="V75" s="16" t="n">
        <x:v>0.8373</x:v>
      </x:c>
      <x:c r="W75" t="str">
        <x:v>Spanish</x:v>
      </x:c>
      <x:c r="X75" t="str">
        <x:v>English</x:v>
      </x:c>
      <x:c r="Y75" t="n">
        <x:v>5478</x:v>
      </x:c>
      <x:c r="Z75" s="17" t="n">
        <x:v>4.54</x:v>
      </x:c>
      <x:c r="AA75" s="16" t="n">
        <x:v>0.6892</x:v>
      </x:c>
      <x:c r="AB75" s="16" t="n">
        <x:v>0.9655</x:v>
      </x:c>
      <x:c r="AC75" s="16" t="n">
        <x:v>0.974</x:v>
      </x:c>
      <x:c r="AD75" t="n">
        <x:v>0</x:v>
      </x:c>
      <x:c r="AE75" t="str">
        <x:f>IF(O75&lt;&gt;"ACTIVE","NOT_RATED",IF(AND(Z75&gt;=4.8,AB75&gt;=0.97,AC75&gt;=0.93,AD75=0),"ELITE",IF(AND(Z75&gt;=4.6,AB75&gt;=0.94,AC75&gt;=0.88),"HIGH_PERFORMER",IF(OR(Z75&lt;4.2,AB75&lt;0.85,AD75&gt;=2),"AT_RISK","STANDARD"))))</x:f>
        <x:v>STANDARD</x:v>
      </x:c>
      <x:c r="AF75" s="15" t="n">
        <x:v>46018</x:v>
      </x:c>
      <x:c r="AG75" t="str">
        <x:v>VERIFIED</x:v>
      </x:c>
      <x:c r="AH75" t="str">
        <x:v>COMPLETE</x:v>
      </x:c>
      <x:c r="AI75" t="str">
        <x:v>Chris White</x:v>
      </x:c>
      <x:c r="AJ75" t="str">
        <x:v>FRIEND</x:v>
      </x:c>
      <x:c r="AK75" t="str">
        <x:v>+1 (312) 555-0134</x:v>
      </x:c>
    </x:row>
    <x:row r="76" ht="18" customHeight="1">
      <x:c r="A76" t="str">
        <x:v>DHR-00075</x:v>
      </x:c>
      <x:c r="B76" t="str">
        <x:v>Cameron Lewis</x:v>
      </x:c>
      <x:c r="C76" t="str">
        <x:v>https://api.dicebear.com/9.x/adventurer/png?seed=DHR-00075-Cameron%20Lewis&amp;size=256&amp;radius=50&amp;backgroundColor=b6e3f4,c0aede,d1d4f9,ffd5dc,ffdfbf</x:v>
      </x:c>
      <x:c r="D76" t="str">
        <x:v>cameron.lewis.075@example.com</x:v>
      </x:c>
      <x:c r="E76" t="str">
        <x:v>+1 (213) 555-0174</x:v>
      </x:c>
      <x:c r="F76" t="str">
        <x:v>Los Angeles, CA</x:v>
      </x:c>
      <x:c r="G76" t="str">
        <x:v>Los Angeles</x:v>
      </x:c>
      <x:c r="H76" t="str">
        <x:v>CA</x:v>
      </x:c>
      <x:c r="I76" s="18" t="str">
        <x:v>90012</x:v>
      </x:c>
      <x:c r="J76" s="15" t="n">
        <x:v>31161.36219230324</x:v>
      </x:c>
      <x:c r="K76" t="n">
        <x:f>INT((DATE(2025,12,31)-J76)/365.25)</x:f>
        <x:v>40</x:v>
      </x:c>
      <x:c r="L76" t="str">
        <x:f>IF(K76&lt;25,"18-24",IF(K76&lt;35,"25-34",IF(K76&lt;45,"35-44",IF(K76&lt;55,"45-54","55+"))))</x:f>
        <x:v>35-44</x:v>
      </x:c>
      <x:c r="M76" s="15" t="n">
        <x:v>45912.818551620374</x:v>
      </x:c>
      <x:c r="N76" t="n">
        <x:f>(YEAR(DATE(2025,12,31))-YEAR(M76))*12+MONTH(DATE(2025,12,31))-MONTH(M76)</x:f>
        <x:v>3</x:v>
      </x:c>
      <x:c r="O76" t="str">
        <x:v>PAUSED</x:v>
      </x:c>
      <x:c r="P76" t="str">
        <x:v>INDEPENDENT_CONTRACTOR</x:v>
      </x:c>
      <x:c r="Q76" t="str">
        <x:v>CAR</x:v>
      </x:c>
      <x:c r="R76" t="str">
        <x:v>DINNER</x:v>
      </x:c>
      <x:c r="S76" t="n">
        <x:v>41</x:v>
      </x:c>
      <x:c r="T76" t="str">
        <x:v>CLEARED</x:v>
      </x:c>
      <x:c r="U76" t="str">
        <x:v>VALID</x:v>
      </x:c>
      <x:c r="V76" s="16" t="n">
        <x:v>0.8847</x:v>
      </x:c>
      <x:c r="W76" t="str">
        <x:v>English</x:v>
      </x:c>
      <x:c r="X76"/>
      <x:c r="Y76" t="n">
        <x:v>461</x:v>
      </x:c>
      <x:c r="Z76" s="17" t="n">
        <x:v>4.82</x:v>
      </x:c>
      <x:c r="AA76" s="16" t="n">
        <x:v>0.9298</x:v>
      </x:c>
      <x:c r="AB76" s="16" t="n">
        <x:v>0.8892</x:v>
      </x:c>
      <x:c r="AC76" s="16" t="n">
        <x:v>0.9557</x:v>
      </x:c>
      <x:c r="AD76" t="n">
        <x:v>0</x:v>
      </x:c>
      <x:c r="AE76" t="str">
        <x:f>IF(O76&lt;&gt;"ACTIVE","NOT_RATED",IF(AND(Z76&gt;=4.8,AB76&gt;=0.97,AC76&gt;=0.93,AD76=0),"ELITE",IF(AND(Z76&gt;=4.6,AB76&gt;=0.94,AC76&gt;=0.88),"HIGH_PERFORMER",IF(OR(Z76&lt;4.2,AB76&lt;0.85,AD76&gt;=2),"AT_RISK","STANDARD"))))</x:f>
        <x:v>NOT_RATED</x:v>
      </x:c>
      <x:c r="AF76" s="15" t="n">
        <x:v>45916</x:v>
      </x:c>
      <x:c r="AG76" t="str">
        <x:v>VERIFIED</x:v>
      </x:c>
      <x:c r="AH76" t="str">
        <x:v>COMPLETE</x:v>
      </x:c>
      <x:c r="AI76" t="str">
        <x:v>Ethan Young</x:v>
      </x:c>
      <x:c r="AJ76" t="str">
        <x:v>SPOUSE_PARTNER</x:v>
      </x:c>
      <x:c r="AK76" t="str">
        <x:v>+1 (213) 555-0141</x:v>
      </x:c>
    </x:row>
    <x:row r="77" ht="18" customHeight="1">
      <x:c r="A77" t="str">
        <x:v>DHR-00076</x:v>
      </x:c>
      <x:c r="B77" t="str">
        <x:v>Cameron Martin</x:v>
      </x:c>
      <x:c r="C77" t="str">
        <x:v>https://api.dicebear.com/9.x/adventurer/png?seed=DHR-00076-Cameron%20Martin&amp;size=256&amp;radius=50&amp;backgroundColor=b6e3f4,c0aede,d1d4f9,ffd5dc,ffdfbf</x:v>
      </x:c>
      <x:c r="D77" t="str">
        <x:v>cameron.martin.076@example.com</x:v>
      </x:c>
      <x:c r="E77" t="str">
        <x:v>+1 (312) 555-0175</x:v>
      </x:c>
      <x:c r="F77" t="str">
        <x:v>Chicago, IL</x:v>
      </x:c>
      <x:c r="G77" t="str">
        <x:v>Chicago</x:v>
      </x:c>
      <x:c r="H77" t="str">
        <x:v>IL</x:v>
      </x:c>
      <x:c r="I77" s="18" t="str">
        <x:v>60601</x:v>
      </x:c>
      <x:c r="J77" s="15" t="n">
        <x:v>28236.740382337965</x:v>
      </x:c>
      <x:c r="K77" t="n">
        <x:f>INT((DATE(2025,12,31)-J77)/365.25)</x:f>
        <x:v>48</x:v>
      </x:c>
      <x:c r="L77" t="str">
        <x:f>IF(K77&lt;25,"18-24",IF(K77&lt;35,"25-34",IF(K77&lt;45,"35-44",IF(K77&lt;55,"45-54","55+"))))</x:f>
        <x:v>45-54</x:v>
      </x:c>
      <x:c r="M77" s="15" t="n">
        <x:v>43961.48066739583</x:v>
      </x:c>
      <x:c r="N77" t="n">
        <x:f>(YEAR(DATE(2025,12,31))-YEAR(M77))*12+MONTH(DATE(2025,12,31))-MONTH(M77)</x:f>
        <x:v>67</x:v>
      </x:c>
      <x:c r="O77" t="str">
        <x:v>ACTIVE</x:v>
      </x:c>
      <x:c r="P77" t="str">
        <x:v>INDEPENDENT_CONTRACTOR</x:v>
      </x:c>
      <x:c r="Q77" t="str">
        <x:v>CAR</x:v>
      </x:c>
      <x:c r="R77" t="str">
        <x:v>WEEKENDS</x:v>
      </x:c>
      <x:c r="S77" t="n">
        <x:v>35</x:v>
      </x:c>
      <x:c r="T77" t="str">
        <x:v>CLEARED</x:v>
      </x:c>
      <x:c r="U77" t="str">
        <x:v>EXPIRING_SOON</x:v>
      </x:c>
      <x:c r="V77" s="16" t="n">
        <x:v>0.9207</x:v>
      </x:c>
      <x:c r="W77" t="str">
        <x:v>English</x:v>
      </x:c>
      <x:c r="X77" t="str">
        <x:v>Spanish</x:v>
      </x:c>
      <x:c r="Y77" t="n">
        <x:v>7208</x:v>
      </x:c>
      <x:c r="Z77" s="17" t="n">
        <x:v>4.57</x:v>
      </x:c>
      <x:c r="AA77" s="16" t="n">
        <x:v>0.6356</x:v>
      </x:c>
      <x:c r="AB77" s="16" t="n">
        <x:v>0.9275</x:v>
      </x:c>
      <x:c r="AC77" s="16" t="n">
        <x:v>0.9893</x:v>
      </x:c>
      <x:c r="AD77" t="n">
        <x:v>0</x:v>
      </x:c>
      <x:c r="AE77" t="str">
        <x:f>IF(O77&lt;&gt;"ACTIVE","NOT_RATED",IF(AND(Z77&gt;=4.8,AB77&gt;=0.97,AC77&gt;=0.93,AD77=0),"ELITE",IF(AND(Z77&gt;=4.6,AB77&gt;=0.94,AC77&gt;=0.88),"HIGH_PERFORMER",IF(OR(Z77&lt;4.2,AB77&lt;0.85,AD77&gt;=2),"AT_RISK","STANDARD"))))</x:f>
        <x:v>STANDARD</x:v>
      </x:c>
      <x:c r="AF77" s="15" t="n">
        <x:v>46012</x:v>
      </x:c>
      <x:c r="AG77" t="str">
        <x:v>VERIFIED</x:v>
      </x:c>
      <x:c r="AH77" t="str">
        <x:v>COMPLETE</x:v>
      </x:c>
      <x:c r="AI77" t="str">
        <x:v>Lucas Walker</x:v>
      </x:c>
      <x:c r="AJ77" t="str">
        <x:v>SPOUSE_PARTNER</x:v>
      </x:c>
      <x:c r="AK77" t="str">
        <x:v>+1 (312) 555-0148</x:v>
      </x:c>
    </x:row>
    <x:row r="78" ht="18" customHeight="1">
      <x:c r="A78" t="str">
        <x:v>DHR-00077</x:v>
      </x:c>
      <x:c r="B78" t="str">
        <x:v>Cameron Martinez</x:v>
      </x:c>
      <x:c r="C78" t="str">
        <x:v>https://api.dicebear.com/9.x/adventurer/png?seed=DHR-00077-Cameron%20Martinez&amp;size=256&amp;radius=50&amp;backgroundColor=b6e3f4,c0aede,d1d4f9,ffd5dc,ffdfbf</x:v>
      </x:c>
      <x:c r="D78" t="str">
        <x:v>cameron.martinez.077@example.com</x:v>
      </x:c>
      <x:c r="E78" t="str">
        <x:v>+1 (404) 555-0176</x:v>
      </x:c>
      <x:c r="F78" t="str">
        <x:v>Atlanta, GA</x:v>
      </x:c>
      <x:c r="G78" t="str">
        <x:v>Atlanta</x:v>
      </x:c>
      <x:c r="H78" t="str">
        <x:v>GA</x:v>
      </x:c>
      <x:c r="I78" s="18" t="str">
        <x:v>30303</x:v>
      </x:c>
      <x:c r="J78" s="15" t="n">
        <x:v>37183.78832699074</x:v>
      </x:c>
      <x:c r="K78" t="n">
        <x:f>INT((DATE(2025,12,31)-J78)/365.25)</x:f>
        <x:v>24</x:v>
      </x:c>
      <x:c r="L78" t="str">
        <x:f>IF(K78&lt;25,"18-24",IF(K78&lt;35,"25-34",IF(K78&lt;45,"35-44",IF(K78&lt;55,"45-54","55+"))))</x:f>
        <x:v>18-24</x:v>
      </x:c>
      <x:c r="M78" s="15" t="n">
        <x:v>44241.6684690625</x:v>
      </x:c>
      <x:c r="N78" t="n">
        <x:f>(YEAR(DATE(2025,12,31))-YEAR(M78))*12+MONTH(DATE(2025,12,31))-MONTH(M78)</x:f>
        <x:v>58</x:v>
      </x:c>
      <x:c r="O78" t="str">
        <x:v>ACTIVE</x:v>
      </x:c>
      <x:c r="P78" t="str">
        <x:v>INDEPENDENT_CONTRACTOR</x:v>
      </x:c>
      <x:c r="Q78" t="str">
        <x:v>CAR</x:v>
      </x:c>
      <x:c r="R78" t="str">
        <x:v>LUNCH</x:v>
      </x:c>
      <x:c r="S78" t="n">
        <x:v>38</x:v>
      </x:c>
      <x:c r="T78" t="str">
        <x:v>CLEARED</x:v>
      </x:c>
      <x:c r="U78" t="str">
        <x:v>VALID</x:v>
      </x:c>
      <x:c r="V78" s="16" t="n">
        <x:v>0.8416</x:v>
      </x:c>
      <x:c r="W78" t="str">
        <x:v>Spanish</x:v>
      </x:c>
      <x:c r="X78"/>
      <x:c r="Y78" t="n">
        <x:v>7160</x:v>
      </x:c>
      <x:c r="Z78" s="17" t="n">
        <x:v>4.78</x:v>
      </x:c>
      <x:c r="AA78" s="16" t="n">
        <x:v>0.7754</x:v>
      </x:c>
      <x:c r="AB78" s="16" t="n">
        <x:v>0.9891</x:v>
      </x:c>
      <x:c r="AC78" s="16" t="n">
        <x:v>0.8708</x:v>
      </x:c>
      <x:c r="AD78" t="n">
        <x:v>0</x:v>
      </x:c>
      <x:c r="AE78" t="str">
        <x:f>IF(O78&lt;&gt;"ACTIVE","NOT_RATED",IF(AND(Z78&gt;=4.8,AB78&gt;=0.97,AC78&gt;=0.93,AD78=0),"ELITE",IF(AND(Z78&gt;=4.6,AB78&gt;=0.94,AC78&gt;=0.88),"HIGH_PERFORMER",IF(OR(Z78&lt;4.2,AB78&lt;0.85,AD78&gt;=2),"AT_RISK","STANDARD"))))</x:f>
        <x:v>STANDARD</x:v>
      </x:c>
      <x:c r="AF78" s="15" t="n">
        <x:v>46010</x:v>
      </x:c>
      <x:c r="AG78" t="str">
        <x:v>VERIFIED</x:v>
      </x:c>
      <x:c r="AH78" t="str">
        <x:v>COMPLETE</x:v>
      </x:c>
      <x:c r="AI78" t="str">
        <x:v>Casey Thomas</x:v>
      </x:c>
      <x:c r="AJ78" t="str">
        <x:v>SPOUSE_PARTNER</x:v>
      </x:c>
      <x:c r="AK78" t="str">
        <x:v>+1 (404) 555-0155</x:v>
      </x:c>
    </x:row>
    <x:row r="79" ht="18" customHeight="1">
      <x:c r="A79" t="str">
        <x:v>DHR-00078</x:v>
      </x:c>
      <x:c r="B79" t="str">
        <x:v>Cameron Miller</x:v>
      </x:c>
      <x:c r="C79" t="str">
        <x:v>https://api.dicebear.com/9.x/adventurer/png?seed=DHR-00078-Cameron%20Miller&amp;size=256&amp;radius=50&amp;backgroundColor=b6e3f4,c0aede,d1d4f9,ffd5dc,ffdfbf</x:v>
      </x:c>
      <x:c r="D79" t="str">
        <x:v>cameron.miller.078@example.com</x:v>
      </x:c>
      <x:c r="E79" t="str">
        <x:v>+1 (404) 555-0177</x:v>
      </x:c>
      <x:c r="F79" t="str">
        <x:v>Atlanta, GA</x:v>
      </x:c>
      <x:c r="G79" t="str">
        <x:v>Atlanta</x:v>
      </x:c>
      <x:c r="H79" t="str">
        <x:v>GA</x:v>
      </x:c>
      <x:c r="I79" s="18" t="str">
        <x:v>30303</x:v>
      </x:c>
      <x:c r="J79" s="15" t="n">
        <x:v>26437.99534478009</x:v>
      </x:c>
      <x:c r="K79" t="n">
        <x:f>INT((DATE(2025,12,31)-J79)/365.25)</x:f>
        <x:v>53</x:v>
      </x:c>
      <x:c r="L79" t="str">
        <x:f>IF(K79&lt;25,"18-24",IF(K79&lt;35,"25-34",IF(K79&lt;45,"35-44",IF(K79&lt;55,"45-54","55+"))))</x:f>
        <x:v>45-54</x:v>
      </x:c>
      <x:c r="M79" s="15" t="n">
        <x:v>45222.33327959491</x:v>
      </x:c>
      <x:c r="N79" t="n">
        <x:f>(YEAR(DATE(2025,12,31))-YEAR(M79))*12+MONTH(DATE(2025,12,31))-MONTH(M79)</x:f>
        <x:v>26</x:v>
      </x:c>
      <x:c r="O79" t="str">
        <x:v>ACTIVE</x:v>
      </x:c>
      <x:c r="P79" t="str">
        <x:v>INDEPENDENT_CONTRACTOR</x:v>
      </x:c>
      <x:c r="Q79" t="str">
        <x:v>CAR</x:v>
      </x:c>
      <x:c r="R79" t="str">
        <x:v>FLEXIBLE</x:v>
      </x:c>
      <x:c r="S79" t="n">
        <x:v>27</x:v>
      </x:c>
      <x:c r="T79" t="str">
        <x:v>CLEARED</x:v>
      </x:c>
      <x:c r="U79" t="str">
        <x:v>VALID</x:v>
      </x:c>
      <x:c r="V79" s="16" t="n">
        <x:v>0.9158</x:v>
      </x:c>
      <x:c r="W79" t="str">
        <x:v>English</x:v>
      </x:c>
      <x:c r="X79"/>
      <x:c r="Y79" t="n">
        <x:v>1670</x:v>
      </x:c>
      <x:c r="Z79" s="17" t="n">
        <x:v>4.88</x:v>
      </x:c>
      <x:c r="AA79" s="16" t="n">
        <x:v>0.948</x:v>
      </x:c>
      <x:c r="AB79" s="16" t="n">
        <x:v>0.9602</x:v>
      </x:c>
      <x:c r="AC79" s="16" t="n">
        <x:v>0.9086</x:v>
      </x:c>
      <x:c r="AD79" t="n">
        <x:v>0</x:v>
      </x:c>
      <x:c r="AE79" t="str">
        <x:f>IF(O79&lt;&gt;"ACTIVE","NOT_RATED",IF(AND(Z79&gt;=4.8,AB79&gt;=0.97,AC79&gt;=0.93,AD79=0),"ELITE",IF(AND(Z79&gt;=4.6,AB79&gt;=0.94,AC79&gt;=0.88),"HIGH_PERFORMER",IF(OR(Z79&lt;4.2,AB79&lt;0.85,AD79&gt;=2),"AT_RISK","STANDARD"))))</x:f>
        <x:v>HIGH_PERFORMER</x:v>
      </x:c>
      <x:c r="AF79" s="15" t="n">
        <x:v>46014</x:v>
      </x:c>
      <x:c r="AG79" t="str">
        <x:v>VERIFIED</x:v>
      </x:c>
      <x:c r="AH79" t="str">
        <x:v>COMPLETE</x:v>
      </x:c>
      <x:c r="AI79" t="str">
        <x:v>Emma White</x:v>
      </x:c>
      <x:c r="AJ79" t="str">
        <x:v>FRIEND</x:v>
      </x:c>
      <x:c r="AK79" t="str">
        <x:v>+1 (404) 555-0162</x:v>
      </x:c>
    </x:row>
    <x:row r="80" ht="18" customHeight="1">
      <x:c r="A80" t="str">
        <x:v>DHR-00079</x:v>
      </x:c>
      <x:c r="B80" t="str">
        <x:v>Cameron Moore</x:v>
      </x:c>
      <x:c r="C80" t="str">
        <x:v>https://api.dicebear.com/9.x/adventurer/png?seed=DHR-00079-Cameron%20Moore&amp;size=256&amp;radius=50&amp;backgroundColor=b6e3f4,c0aede,d1d4f9,ffd5dc,ffdfbf</x:v>
      </x:c>
      <x:c r="D80" t="str">
        <x:v>cameron.moore.079@example.com</x:v>
      </x:c>
      <x:c r="E80" t="str">
        <x:v>+1 (415) 555-0178</x:v>
      </x:c>
      <x:c r="F80" t="str">
        <x:v>San Francisco, CA</x:v>
      </x:c>
      <x:c r="G80" t="str">
        <x:v>San Francisco</x:v>
      </x:c>
      <x:c r="H80" t="str">
        <x:v>CA</x:v>
      </x:c>
      <x:c r="I80" s="18" t="str">
        <x:v>94103</x:v>
      </x:c>
      <x:c r="J80" s="15" t="n">
        <x:v>38691.30118983796</x:v>
      </x:c>
      <x:c r="K80" t="n">
        <x:f>INT((DATE(2025,12,31)-J80)/365.25)</x:f>
        <x:v>20</x:v>
      </x:c>
      <x:c r="L80" t="str">
        <x:f>IF(K80&lt;25,"18-24",IF(K80&lt;35,"25-34",IF(K80&lt;45,"35-44",IF(K80&lt;55,"45-54","55+"))))</x:f>
        <x:v>18-24</x:v>
      </x:c>
      <x:c r="M80" s="15" t="n">
        <x:v>45649.51662954861</x:v>
      </x:c>
      <x:c r="N80" t="n">
        <x:f>(YEAR(DATE(2025,12,31))-YEAR(M80))*12+MONTH(DATE(2025,12,31))-MONTH(M80)</x:f>
        <x:v>12</x:v>
      </x:c>
      <x:c r="O80" t="str">
        <x:v>OFFBOARDED</x:v>
      </x:c>
      <x:c r="P80" t="str">
        <x:v>INDEPENDENT_CONTRACTOR</x:v>
      </x:c>
      <x:c r="Q80" t="str">
        <x:v>CAR</x:v>
      </x:c>
      <x:c r="R80" t="str">
        <x:v>FLEXIBLE</x:v>
      </x:c>
      <x:c r="S80" t="n">
        <x:v>38</x:v>
      </x:c>
      <x:c r="T80" t="str">
        <x:v>CLEARED</x:v>
      </x:c>
      <x:c r="U80" t="str">
        <x:v>VALID</x:v>
      </x:c>
      <x:c r="V80" s="16" t="n">
        <x:v>0.7015</x:v>
      </x:c>
      <x:c r="W80" t="str">
        <x:v>English</x:v>
      </x:c>
      <x:c r="X80" t="str">
        <x:v>Spanish</x:v>
      </x:c>
      <x:c r="Y80" t="n">
        <x:v>1760</x:v>
      </x:c>
      <x:c r="Z80" s="17" t="n">
        <x:v>4.61</x:v>
      </x:c>
      <x:c r="AA80" s="16" t="n">
        <x:v>0.6927</x:v>
      </x:c>
      <x:c r="AB80" s="16" t="n">
        <x:v>0.959</x:v>
      </x:c>
      <x:c r="AC80" s="16" t="n">
        <x:v>0.9564</x:v>
      </x:c>
      <x:c r="AD80" t="n">
        <x:v>0</x:v>
      </x:c>
      <x:c r="AE80" t="str">
        <x:f>IF(O80&lt;&gt;"ACTIVE","NOT_RATED",IF(AND(Z80&gt;=4.8,AB80&gt;=0.97,AC80&gt;=0.93,AD80=0),"ELITE",IF(AND(Z80&gt;=4.6,AB80&gt;=0.94,AC80&gt;=0.88),"HIGH_PERFORMER",IF(OR(Z80&lt;4.2,AB80&lt;0.85,AD80&gt;=2),"AT_RISK","STANDARD"))))</x:f>
        <x:v>NOT_RATED</x:v>
      </x:c>
      <x:c r="AF80" s="15" t="n">
        <x:v>45864</x:v>
      </x:c>
      <x:c r="AG80" t="str">
        <x:v>VERIFIED</x:v>
      </x:c>
      <x:c r="AH80" t="str">
        <x:v>COMPLETE</x:v>
      </x:c>
      <x:c r="AI80" t="str">
        <x:v>Morgan Martinez</x:v>
      </x:c>
      <x:c r="AJ80" t="str">
        <x:v>SPOUSE_PARTNER</x:v>
      </x:c>
      <x:c r="AK80" t="str">
        <x:v>+1 (415) 555-0169</x:v>
      </x:c>
    </x:row>
    <x:row r="81" ht="18" customHeight="1">
      <x:c r="A81" t="str">
        <x:v>DHR-00080</x:v>
      </x:c>
      <x:c r="B81" t="str">
        <x:v>Cameron Perez</x:v>
      </x:c>
      <x:c r="C81" t="str">
        <x:v>https://api.dicebear.com/9.x/adventurer/png?seed=DHR-00080-Cameron%20Perez&amp;size=256&amp;radius=50&amp;backgroundColor=b6e3f4,c0aede,d1d4f9,ffd5dc,ffdfbf</x:v>
      </x:c>
      <x:c r="D81" t="str">
        <x:v>cameron.perez.080@example.com</x:v>
      </x:c>
      <x:c r="E81" t="str">
        <x:v>+1 (503) 555-0179</x:v>
      </x:c>
      <x:c r="F81" t="str">
        <x:v>Portland, OR</x:v>
      </x:c>
      <x:c r="G81" t="str">
        <x:v>Portland</x:v>
      </x:c>
      <x:c r="H81" t="str">
        <x:v>OR</x:v>
      </x:c>
      <x:c r="I81" s="18" t="str">
        <x:v>97205</x:v>
      </x:c>
      <x:c r="J81" s="15" t="n">
        <x:v>33525.54521398148</x:v>
      </x:c>
      <x:c r="K81" t="n">
        <x:f>INT((DATE(2025,12,31)-J81)/365.25)</x:f>
        <x:v>34</x:v>
      </x:c>
      <x:c r="L81" t="str">
        <x:f>IF(K81&lt;25,"18-24",IF(K81&lt;35,"25-34",IF(K81&lt;45,"35-44",IF(K81&lt;55,"45-54","55+"))))</x:f>
        <x:v>25-34</x:v>
      </x:c>
      <x:c r="M81" s="15" t="n">
        <x:v>44941.63090163194</x:v>
      </x:c>
      <x:c r="N81" t="n">
        <x:f>(YEAR(DATE(2025,12,31))-YEAR(M81))*12+MONTH(DATE(2025,12,31))-MONTH(M81)</x:f>
        <x:v>35</x:v>
      </x:c>
      <x:c r="O81" t="str">
        <x:v>PAUSED</x:v>
      </x:c>
      <x:c r="P81" t="str">
        <x:v>INDEPENDENT_CONTRACTOR</x:v>
      </x:c>
      <x:c r="Q81" t="str">
        <x:v>CAR</x:v>
      </x:c>
      <x:c r="R81" t="str">
        <x:v>LUNCH</x:v>
      </x:c>
      <x:c r="S81" t="n">
        <x:v>46</x:v>
      </x:c>
      <x:c r="T81" t="str">
        <x:v>CLEARED</x:v>
      </x:c>
      <x:c r="U81" t="str">
        <x:v>VALID</x:v>
      </x:c>
      <x:c r="V81" s="16" t="n">
        <x:v>0.9892</x:v>
      </x:c>
      <x:c r="W81" t="str">
        <x:v>English</x:v>
      </x:c>
      <x:c r="X81"/>
      <x:c r="Y81" t="n">
        <x:v>5831</x:v>
      </x:c>
      <x:c r="Z81" s="17" t="n">
        <x:v>4.54</x:v>
      </x:c>
      <x:c r="AA81" s="16" t="n">
        <x:v>0.9647</x:v>
      </x:c>
      <x:c r="AB81" s="16" t="n">
        <x:v>0.9547</x:v>
      </x:c>
      <x:c r="AC81" s="16" t="n">
        <x:v>0.8506</x:v>
      </x:c>
      <x:c r="AD81" t="n">
        <x:v>0</x:v>
      </x:c>
      <x:c r="AE81" t="str">
        <x:f>IF(O81&lt;&gt;"ACTIVE","NOT_RATED",IF(AND(Z81&gt;=4.8,AB81&gt;=0.97,AC81&gt;=0.93,AD81=0),"ELITE",IF(AND(Z81&gt;=4.6,AB81&gt;=0.94,AC81&gt;=0.88),"HIGH_PERFORMER",IF(OR(Z81&lt;4.2,AB81&lt;0.85,AD81&gt;=2),"AT_RISK","STANDARD"))))</x:f>
        <x:v>NOT_RATED</x:v>
      </x:c>
      <x:c r="AF81" s="15" t="n">
        <x:v>45928</x:v>
      </x:c>
      <x:c r="AG81" t="str">
        <x:v>VERIFIED</x:v>
      </x:c>
      <x:c r="AH81" t="str">
        <x:v>COMPLETE</x:v>
      </x:c>
      <x:c r="AI81" t="str">
        <x:v>Jesse Brown</x:v>
      </x:c>
      <x:c r="AJ81" t="str">
        <x:v>SIBLING</x:v>
      </x:c>
      <x:c r="AK81" t="str">
        <x:v>+1 (503) 555-0176</x:v>
      </x:c>
    </x:row>
    <x:row r="82" ht="18" customHeight="1">
      <x:c r="A82" t="str">
        <x:v>DHR-00081</x:v>
      </x:c>
      <x:c r="B82" t="str">
        <x:v>Cameron Taylor</x:v>
      </x:c>
      <x:c r="C82" t="str">
        <x:v>https://api.dicebear.com/9.x/adventurer/png?seed=DHR-00081-Cameron%20Taylor&amp;size=256&amp;radius=50&amp;backgroundColor=b6e3f4,c0aede,d1d4f9,ffd5dc,ffdfbf</x:v>
      </x:c>
      <x:c r="D82" t="str">
        <x:v>cameron.taylor.081@example.com</x:v>
      </x:c>
      <x:c r="E82" t="str">
        <x:v>+1 (212) 555-0180</x:v>
      </x:c>
      <x:c r="F82" t="str">
        <x:v>New York, NY</x:v>
      </x:c>
      <x:c r="G82" t="str">
        <x:v>New York</x:v>
      </x:c>
      <x:c r="H82" t="str">
        <x:v>NY</x:v>
      </x:c>
      <x:c r="I82" s="18" t="str">
        <x:v>10001</x:v>
      </x:c>
      <x:c r="J82" s="15" t="n">
        <x:v>29847.64666822917</x:v>
      </x:c>
      <x:c r="K82" t="n">
        <x:f>INT((DATE(2025,12,31)-J82)/365.25)</x:f>
        <x:v>44</x:v>
      </x:c>
      <x:c r="L82" t="str">
        <x:f>IF(K82&lt;25,"18-24",IF(K82&lt;35,"25-34",IF(K82&lt;45,"35-44",IF(K82&lt;55,"45-54","55+"))))</x:f>
        <x:v>35-44</x:v>
      </x:c>
      <x:c r="M82" s="15" t="n">
        <x:v>44443.74926076389</x:v>
      </x:c>
      <x:c r="N82" t="n">
        <x:f>(YEAR(DATE(2025,12,31))-YEAR(M82))*12+MONTH(DATE(2025,12,31))-MONTH(M82)</x:f>
        <x:v>51</x:v>
      </x:c>
      <x:c r="O82" t="str">
        <x:v>ACTIVE</x:v>
      </x:c>
      <x:c r="P82" t="str">
        <x:v>INDEPENDENT_CONTRACTOR</x:v>
      </x:c>
      <x:c r="Q82" t="str">
        <x:v>CAR</x:v>
      </x:c>
      <x:c r="R82" t="str">
        <x:v>DINNER</x:v>
      </x:c>
      <x:c r="S82" t="n">
        <x:v>34</x:v>
      </x:c>
      <x:c r="T82" t="str">
        <x:v>CLEARED</x:v>
      </x:c>
      <x:c r="U82" t="str">
        <x:v>VALID</x:v>
      </x:c>
      <x:c r="V82" s="16" t="n">
        <x:v>0.9921</x:v>
      </x:c>
      <x:c r="W82" t="str">
        <x:v>Spanish</x:v>
      </x:c>
      <x:c r="X82"/>
      <x:c r="Y82" t="n">
        <x:v>3218</x:v>
      </x:c>
      <x:c r="Z82" s="17" t="n">
        <x:v>4.56</x:v>
      </x:c>
      <x:c r="AA82" s="16" t="n">
        <x:v>0.653</x:v>
      </x:c>
      <x:c r="AB82" s="16" t="n">
        <x:v>0.9919</x:v>
      </x:c>
      <x:c r="AC82" s="16" t="n">
        <x:v>0.9304</x:v>
      </x:c>
      <x:c r="AD82" t="n">
        <x:v>0</x:v>
      </x:c>
      <x:c r="AE82" t="str">
        <x:f>IF(O82&lt;&gt;"ACTIVE","NOT_RATED",IF(AND(Z82&gt;=4.8,AB82&gt;=0.97,AC82&gt;=0.93,AD82=0),"ELITE",IF(AND(Z82&gt;=4.6,AB82&gt;=0.94,AC82&gt;=0.88),"HIGH_PERFORMER",IF(OR(Z82&lt;4.2,AB82&lt;0.85,AD82&gt;=2),"AT_RISK","STANDARD"))))</x:f>
        <x:v>STANDARD</x:v>
      </x:c>
      <x:c r="AF82" s="15" t="n">
        <x:v>46010</x:v>
      </x:c>
      <x:c r="AG82" t="str">
        <x:v>VERIFIED</x:v>
      </x:c>
      <x:c r="AH82" t="str">
        <x:v>COMPLETE</x:v>
      </x:c>
      <x:c r="AI82" t="str">
        <x:v>Casey Moore</x:v>
      </x:c>
      <x:c r="AJ82" t="str">
        <x:v>PARENT</x:v>
      </x:c>
      <x:c r="AK82" t="str">
        <x:v>+1 (212) 555-0183</x:v>
      </x:c>
    </x:row>
    <x:row r="83" ht="18" customHeight="1">
      <x:c r="A83" t="str">
        <x:v>DHR-00082</x:v>
      </x:c>
      <x:c r="B83" t="str">
        <x:v>Cameron Thomas</x:v>
      </x:c>
      <x:c r="C83" t="str">
        <x:v>https://api.dicebear.com/9.x/adventurer/png?seed=DHR-00082-Cameron%20Thomas&amp;size=256&amp;radius=50&amp;backgroundColor=b6e3f4,c0aede,d1d4f9,ffd5dc,ffdfbf</x:v>
      </x:c>
      <x:c r="D83" t="str">
        <x:v>cameron.thomas.082@example.com</x:v>
      </x:c>
      <x:c r="E83" t="str">
        <x:v>+1 (713) 555-0181</x:v>
      </x:c>
      <x:c r="F83" t="str">
        <x:v>Houston, TX</x:v>
      </x:c>
      <x:c r="G83" t="str">
        <x:v>Houston</x:v>
      </x:c>
      <x:c r="H83" t="str">
        <x:v>TX</x:v>
      </x:c>
      <x:c r="I83" s="18" t="str">
        <x:v>77002</x:v>
      </x:c>
      <x:c r="J83" s="15" t="n">
        <x:v>26665.383967743055</x:v>
      </x:c>
      <x:c r="K83" t="n">
        <x:f>INT((DATE(2025,12,31)-J83)/365.25)</x:f>
        <x:v>52</x:v>
      </x:c>
      <x:c r="L83" t="str">
        <x:f>IF(K83&lt;25,"18-24",IF(K83&lt;35,"25-34",IF(K83&lt;45,"35-44",IF(K83&lt;55,"45-54","55+"))))</x:f>
        <x:v>45-54</x:v>
      </x:c>
      <x:c r="M83" s="15" t="n">
        <x:v>44062.892523703704</x:v>
      </x:c>
      <x:c r="N83" t="n">
        <x:f>(YEAR(DATE(2025,12,31))-YEAR(M83))*12+MONTH(DATE(2025,12,31))-MONTH(M83)</x:f>
        <x:v>64</x:v>
      </x:c>
      <x:c r="O83" t="str">
        <x:v>ACTIVE</x:v>
      </x:c>
      <x:c r="P83" t="str">
        <x:v>INDEPENDENT_CONTRACTOR</x:v>
      </x:c>
      <x:c r="Q83" t="str">
        <x:v>BICYCLE</x:v>
      </x:c>
      <x:c r="R83" t="str">
        <x:v>DINNER</x:v>
      </x:c>
      <x:c r="S83" t="n">
        <x:v>18</x:v>
      </x:c>
      <x:c r="T83" t="str">
        <x:v>CLEARED</x:v>
      </x:c>
      <x:c r="U83" t="str">
        <x:v>NOT_REQUIRED</x:v>
      </x:c>
      <x:c r="V83" s="16" t="n">
        <x:v>0.8945</x:v>
      </x:c>
      <x:c r="W83" t="str">
        <x:v>Portuguese</x:v>
      </x:c>
      <x:c r="X83" t="str">
        <x:v>English</x:v>
      </x:c>
      <x:c r="Y83" t="n">
        <x:v>4091</x:v>
      </x:c>
      <x:c r="Z83" s="17" t="n">
        <x:v>4.77</x:v>
      </x:c>
      <x:c r="AA83" s="16" t="n">
        <x:v>0.99</x:v>
      </x:c>
      <x:c r="AB83" s="16" t="n">
        <x:v>0.8995</x:v>
      </x:c>
      <x:c r="AC83" s="16" t="n">
        <x:v>0.8544</x:v>
      </x:c>
      <x:c r="AD83" t="n">
        <x:v>0</x:v>
      </x:c>
      <x:c r="AE83" t="str">
        <x:f>IF(O83&lt;&gt;"ACTIVE","NOT_RATED",IF(AND(Z83&gt;=4.8,AB83&gt;=0.97,AC83&gt;=0.93,AD83=0),"ELITE",IF(AND(Z83&gt;=4.6,AB83&gt;=0.94,AC83&gt;=0.88),"HIGH_PERFORMER",IF(OR(Z83&lt;4.2,AB83&lt;0.85,AD83&gt;=2),"AT_RISK","STANDARD"))))</x:f>
        <x:v>STANDARD</x:v>
      </x:c>
      <x:c r="AF83" s="15" t="n">
        <x:v>46020</x:v>
      </x:c>
      <x:c r="AG83" t="str">
        <x:v>VERIFIED</x:v>
      </x:c>
      <x:c r="AH83" t="str">
        <x:v>COMPLETE</x:v>
      </x:c>
      <x:c r="AI83" t="str">
        <x:v>Mateo Johnson</x:v>
      </x:c>
      <x:c r="AJ83" t="str">
        <x:v>SPOUSE_PARTNER</x:v>
      </x:c>
      <x:c r="AK83" t="str">
        <x:v>+1 (713) 555-0190</x:v>
      </x:c>
    </x:row>
    <x:row r="84" ht="18" customHeight="1">
      <x:c r="A84" t="str">
        <x:v>DHR-00083</x:v>
      </x:c>
      <x:c r="B84" t="str">
        <x:v>Cameron Thompson</x:v>
      </x:c>
      <x:c r="C84" t="str">
        <x:v>https://api.dicebear.com/9.x/adventurer/png?seed=DHR-00083-Cameron%20Thompson&amp;size=256&amp;radius=50&amp;backgroundColor=b6e3f4,c0aede,d1d4f9,ffd5dc,ffdfbf</x:v>
      </x:c>
      <x:c r="D84" t="str">
        <x:v>cameron.thompson.083@example.com</x:v>
      </x:c>
      <x:c r="E84" t="str">
        <x:v>+1 (408) 555-0182</x:v>
      </x:c>
      <x:c r="F84" t="str">
        <x:v>San Jose, CA</x:v>
      </x:c>
      <x:c r="G84" t="str">
        <x:v>San Jose</x:v>
      </x:c>
      <x:c r="H84" t="str">
        <x:v>CA</x:v>
      </x:c>
      <x:c r="I84" s="18" t="str">
        <x:v>95113</x:v>
      </x:c>
      <x:c r="J84" s="15" t="n">
        <x:v>30384.209973703702</x:v>
      </x:c>
      <x:c r="K84" t="n">
        <x:f>INT((DATE(2025,12,31)-J84)/365.25)</x:f>
        <x:v>42</x:v>
      </x:c>
      <x:c r="L84" t="str">
        <x:f>IF(K84&lt;25,"18-24",IF(K84&lt;35,"25-34",IF(K84&lt;45,"35-44",IF(K84&lt;55,"45-54","55+"))))</x:f>
        <x:v>35-44</x:v>
      </x:c>
      <x:c r="M84" s="15" t="n">
        <x:v>44178.88184863426</x:v>
      </x:c>
      <x:c r="N84" t="n">
        <x:f>(YEAR(DATE(2025,12,31))-YEAR(M84))*12+MONTH(DATE(2025,12,31))-MONTH(M84)</x:f>
        <x:v>60</x:v>
      </x:c>
      <x:c r="O84" t="str">
        <x:v>OFFBOARDED</x:v>
      </x:c>
      <x:c r="P84" t="str">
        <x:v>INDEPENDENT_CONTRACTOR</x:v>
      </x:c>
      <x:c r="Q84" t="str">
        <x:v>SCOOTER</x:v>
      </x:c>
      <x:c r="R84" t="str">
        <x:v>FLEXIBLE</x:v>
      </x:c>
      <x:c r="S84" t="n">
        <x:v>21</x:v>
      </x:c>
      <x:c r="T84" t="str">
        <x:v>CLEARED</x:v>
      </x:c>
      <x:c r="U84" t="str">
        <x:v>VALID</x:v>
      </x:c>
      <x:c r="V84" s="16" t="n">
        <x:v>0.719</x:v>
      </x:c>
      <x:c r="W84" t="str">
        <x:v>English</x:v>
      </x:c>
      <x:c r="X84"/>
      <x:c r="Y84" t="n">
        <x:v>4207</x:v>
      </x:c>
      <x:c r="Z84" s="17" t="n">
        <x:v>4.53</x:v>
      </x:c>
      <x:c r="AA84" s="16" t="n">
        <x:v>0.8855</x:v>
      </x:c>
      <x:c r="AB84" s="16" t="n">
        <x:v>0.998</x:v>
      </x:c>
      <x:c r="AC84" s="16" t="n">
        <x:v>0.8789</x:v>
      </x:c>
      <x:c r="AD84" t="n">
        <x:v>3</x:v>
      </x:c>
      <x:c r="AE84" t="str">
        <x:f>IF(O84&lt;&gt;"ACTIVE","NOT_RATED",IF(AND(Z84&gt;=4.8,AB84&gt;=0.97,AC84&gt;=0.93,AD84=0),"ELITE",IF(AND(Z84&gt;=4.6,AB84&gt;=0.94,AC84&gt;=0.88),"HIGH_PERFORMER",IF(OR(Z84&lt;4.2,AB84&lt;0.85,AD84&gt;=2),"AT_RISK","STANDARD"))))</x:f>
        <x:v>NOT_RATED</x:v>
      </x:c>
      <x:c r="AF84" s="15" t="n">
        <x:v>45889</x:v>
      </x:c>
      <x:c r="AG84" t="str">
        <x:v>VERIFIED</x:v>
      </x:c>
      <x:c r="AH84" t="str">
        <x:v>COMPLETE</x:v>
      </x:c>
      <x:c r="AI84" t="str">
        <x:v>Robin Perez</x:v>
      </x:c>
      <x:c r="AJ84" t="str">
        <x:v>SIBLING</x:v>
      </x:c>
      <x:c r="AK84" t="str">
        <x:v>+1 (408) 555-0197</x:v>
      </x:c>
    </x:row>
    <x:row r="85" ht="18" customHeight="1">
      <x:c r="A85" t="str">
        <x:v>DHR-00084</x:v>
      </x:c>
      <x:c r="B85" t="str">
        <x:v>Cameron Walker</x:v>
      </x:c>
      <x:c r="C85" t="str">
        <x:v>https://api.dicebear.com/9.x/adventurer/png?seed=DHR-00084-Cameron%20Walker&amp;size=256&amp;radius=50&amp;backgroundColor=b6e3f4,c0aede,d1d4f9,ffd5dc,ffdfbf</x:v>
      </x:c>
      <x:c r="D85" t="str">
        <x:v>cameron.walker.084@example.com</x:v>
      </x:c>
      <x:c r="E85" t="str">
        <x:v>+1 (206) 555-0183</x:v>
      </x:c>
      <x:c r="F85" t="str">
        <x:v>Seattle, WA</x:v>
      </x:c>
      <x:c r="G85" t="str">
        <x:v>Seattle</x:v>
      </x:c>
      <x:c r="H85" t="str">
        <x:v>WA</x:v>
      </x:c>
      <x:c r="I85" s="18" t="str">
        <x:v>98101</x:v>
      </x:c>
      <x:c r="J85" s="15" t="n">
        <x:v>33623.07924100695</x:v>
      </x:c>
      <x:c r="K85" t="n">
        <x:f>INT((DATE(2025,12,31)-J85)/365.25)</x:f>
        <x:v>33</x:v>
      </x:c>
      <x:c r="L85" t="str">
        <x:f>IF(K85&lt;25,"18-24",IF(K85&lt;35,"25-34",IF(K85&lt;45,"35-44",IF(K85&lt;55,"45-54","55+"))))</x:f>
        <x:v>25-34</x:v>
      </x:c>
      <x:c r="M85" s="15" t="n">
        <x:v>45612.73907851852</x:v>
      </x:c>
      <x:c r="N85" t="n">
        <x:f>(YEAR(DATE(2025,12,31))-YEAR(M85))*12+MONTH(DATE(2025,12,31))-MONTH(M85)</x:f>
        <x:v>13</x:v>
      </x:c>
      <x:c r="O85" t="str">
        <x:v>ACTIVE</x:v>
      </x:c>
      <x:c r="P85" t="str">
        <x:v>INDEPENDENT_CONTRACTOR</x:v>
      </x:c>
      <x:c r="Q85" t="str">
        <x:v>CAR</x:v>
      </x:c>
      <x:c r="R85" t="str">
        <x:v>FLEXIBLE</x:v>
      </x:c>
      <x:c r="S85" t="n">
        <x:v>32</x:v>
      </x:c>
      <x:c r="T85" t="str">
        <x:v>CLEARED</x:v>
      </x:c>
      <x:c r="U85" t="str">
        <x:v>VALID</x:v>
      </x:c>
      <x:c r="V85" s="16" t="n">
        <x:v>0.9867</x:v>
      </x:c>
      <x:c r="W85" t="str">
        <x:v>Spanish</x:v>
      </x:c>
      <x:c r="X85"/>
      <x:c r="Y85" t="n">
        <x:v>1152</x:v>
      </x:c>
      <x:c r="Z85" s="17" t="n">
        <x:v>4.28</x:v>
      </x:c>
      <x:c r="AA85" s="16" t="n">
        <x:v>0.8698</x:v>
      </x:c>
      <x:c r="AB85" s="16" t="n">
        <x:v>0.9105</x:v>
      </x:c>
      <x:c r="AC85" s="16" t="n">
        <x:v>0.9184</x:v>
      </x:c>
      <x:c r="AD85" t="n">
        <x:v>0</x:v>
      </x:c>
      <x:c r="AE85" t="str">
        <x:f>IF(O85&lt;&gt;"ACTIVE","NOT_RATED",IF(AND(Z85&gt;=4.8,AB85&gt;=0.97,AC85&gt;=0.93,AD85=0),"ELITE",IF(AND(Z85&gt;=4.6,AB85&gt;=0.94,AC85&gt;=0.88),"HIGH_PERFORMER",IF(OR(Z85&lt;4.2,AB85&lt;0.85,AD85&gt;=2),"AT_RISK","STANDARD"))))</x:f>
        <x:v>STANDARD</x:v>
      </x:c>
      <x:c r="AF85" s="15" t="n">
        <x:v>46009</x:v>
      </x:c>
      <x:c r="AG85" t="str">
        <x:v>VERIFIED</x:v>
      </x:c>
      <x:c r="AH85" t="str">
        <x:v>COMPLETE</x:v>
      </x:c>
      <x:c r="AI85" t="str">
        <x:v>Sofia Jackson</x:v>
      </x:c>
      <x:c r="AJ85" t="str">
        <x:v>SPOUSE_PARTNER</x:v>
      </x:c>
      <x:c r="AK85" t="str">
        <x:v>+1 (206) 555-0104</x:v>
      </x:c>
    </x:row>
    <x:row r="86" ht="18" customHeight="1">
      <x:c r="A86" t="str">
        <x:v>DHR-00085</x:v>
      </x:c>
      <x:c r="B86" t="str">
        <x:v>Cameron White</x:v>
      </x:c>
      <x:c r="C86" t="str">
        <x:v>https://api.dicebear.com/9.x/adventurer/png?seed=DHR-00085-Cameron%20White&amp;size=256&amp;radius=50&amp;backgroundColor=b6e3f4,c0aede,d1d4f9,ffd5dc,ffdfbf</x:v>
      </x:c>
      <x:c r="D86" t="str">
        <x:v>cameron.white.085@example.com</x:v>
      </x:c>
      <x:c r="E86" t="str">
        <x:v>+1 (704) 555-0184</x:v>
      </x:c>
      <x:c r="F86" t="str">
        <x:v>Charlotte, NC</x:v>
      </x:c>
      <x:c r="G86" t="str">
        <x:v>Charlotte</x:v>
      </x:c>
      <x:c r="H86" t="str">
        <x:v>NC</x:v>
      </x:c>
      <x:c r="I86" s="18" t="str">
        <x:v>28202</x:v>
      </x:c>
      <x:c r="J86" s="15" t="n">
        <x:v>32728.046421631945</x:v>
      </x:c>
      <x:c r="K86" t="n">
        <x:f>INT((DATE(2025,12,31)-J86)/365.25)</x:f>
        <x:v>36</x:v>
      </x:c>
      <x:c r="L86" t="str">
        <x:f>IF(K86&lt;25,"18-24",IF(K86&lt;35,"25-34",IF(K86&lt;45,"35-44",IF(K86&lt;55,"45-54","55+"))))</x:f>
        <x:v>35-44</x:v>
      </x:c>
      <x:c r="M86" s="15" t="n">
        <x:v>45810.66329967593</x:v>
      </x:c>
      <x:c r="N86" t="n">
        <x:f>(YEAR(DATE(2025,12,31))-YEAR(M86))*12+MONTH(DATE(2025,12,31))-MONTH(M86)</x:f>
        <x:v>6</x:v>
      </x:c>
      <x:c r="O86" t="str">
        <x:v>ACTIVE</x:v>
      </x:c>
      <x:c r="P86" t="str">
        <x:v>INDEPENDENT_CONTRACTOR</x:v>
      </x:c>
      <x:c r="Q86" t="str">
        <x:v>CAR</x:v>
      </x:c>
      <x:c r="R86" t="str">
        <x:v>LUNCH</x:v>
      </x:c>
      <x:c r="S86" t="n">
        <x:v>15</x:v>
      </x:c>
      <x:c r="T86" t="str">
        <x:v>CLEARED</x:v>
      </x:c>
      <x:c r="U86" t="str">
        <x:v>VALID</x:v>
      </x:c>
      <x:c r="V86" s="16" t="n">
        <x:v>0.8779</x:v>
      </x:c>
      <x:c r="W86" t="str">
        <x:v>English</x:v>
      </x:c>
      <x:c r="X86" t="str">
        <x:v>Arabic</x:v>
      </x:c>
      <x:c r="Y86" t="n">
        <x:v>204</x:v>
      </x:c>
      <x:c r="Z86" s="17" t="n">
        <x:v>4.24</x:v>
      </x:c>
      <x:c r="AA86" s="16" t="n">
        <x:v>0.6634</x:v>
      </x:c>
      <x:c r="AB86" s="16" t="n">
        <x:v>0.9258</x:v>
      </x:c>
      <x:c r="AC86" s="16" t="n">
        <x:v>0.8585</x:v>
      </x:c>
      <x:c r="AD86" t="n">
        <x:v>0</x:v>
      </x:c>
      <x:c r="AE86" t="str">
        <x:f>IF(O86&lt;&gt;"ACTIVE","NOT_RATED",IF(AND(Z86&gt;=4.8,AB86&gt;=0.97,AC86&gt;=0.93,AD86=0),"ELITE",IF(AND(Z86&gt;=4.6,AB86&gt;=0.94,AC86&gt;=0.88),"HIGH_PERFORMER",IF(OR(Z86&lt;4.2,AB86&lt;0.85,AD86&gt;=2),"AT_RISK","STANDARD"))))</x:f>
        <x:v>STANDARD</x:v>
      </x:c>
      <x:c r="AF86" s="15" t="n">
        <x:v>46010</x:v>
      </x:c>
      <x:c r="AG86" t="str">
        <x:v>VERIFIED</x:v>
      </x:c>
      <x:c r="AH86" t="str">
        <x:v>COMPLETE</x:v>
      </x:c>
      <x:c r="AI86" t="str">
        <x:v>Ava Harris</x:v>
      </x:c>
      <x:c r="AJ86" t="str">
        <x:v>SPOUSE_PARTNER</x:v>
      </x:c>
      <x:c r="AK86" t="str">
        <x:v>+1 (704) 555-0111</x:v>
      </x:c>
    </x:row>
    <x:row r="87" ht="18" customHeight="1">
      <x:c r="A87" t="str">
        <x:v>DHR-00086</x:v>
      </x:c>
      <x:c r="B87" t="str">
        <x:v>Cameron Wilson</x:v>
      </x:c>
      <x:c r="C87" t="str">
        <x:v>https://api.dicebear.com/9.x/adventurer/png?seed=DHR-00086-Cameron%20Wilson&amp;size=256&amp;radius=50&amp;backgroundColor=b6e3f4,c0aede,d1d4f9,ffd5dc,ffdfbf</x:v>
      </x:c>
      <x:c r="D87" t="str">
        <x:v>cameron.wilson.086@example.com</x:v>
      </x:c>
      <x:c r="E87" t="str">
        <x:v>+1 (206) 555-0185</x:v>
      </x:c>
      <x:c r="F87" t="str">
        <x:v>Seattle, WA</x:v>
      </x:c>
      <x:c r="G87" t="str">
        <x:v>Seattle</x:v>
      </x:c>
      <x:c r="H87" t="str">
        <x:v>WA</x:v>
      </x:c>
      <x:c r="I87" s="18" t="str">
        <x:v>98101</x:v>
      </x:c>
      <x:c r="J87" s="15" t="n">
        <x:v>38269.54112913195</x:v>
      </x:c>
      <x:c r="K87" t="n">
        <x:f>INT((DATE(2025,12,31)-J87)/365.25)</x:f>
        <x:v>21</x:v>
      </x:c>
      <x:c r="L87" t="str">
        <x:f>IF(K87&lt;25,"18-24",IF(K87&lt;35,"25-34",IF(K87&lt;45,"35-44",IF(K87&lt;55,"45-54","55+"))))</x:f>
        <x:v>18-24</x:v>
      </x:c>
      <x:c r="M87" s="15" t="n">
        <x:v>45934.0181621875</x:v>
      </x:c>
      <x:c r="N87" t="n">
        <x:f>(YEAR(DATE(2025,12,31))-YEAR(M87))*12+MONTH(DATE(2025,12,31))-MONTH(M87)</x:f>
        <x:v>2</x:v>
      </x:c>
      <x:c r="O87" t="str">
        <x:v>PAUSED</x:v>
      </x:c>
      <x:c r="P87" t="str">
        <x:v>INDEPENDENT_CONTRACTOR</x:v>
      </x:c>
      <x:c r="Q87" t="str">
        <x:v>BICYCLE</x:v>
      </x:c>
      <x:c r="R87" t="str">
        <x:v>LUNCH</x:v>
      </x:c>
      <x:c r="S87" t="n">
        <x:v>8</x:v>
      </x:c>
      <x:c r="T87" t="str">
        <x:v>CLEARED</x:v>
      </x:c>
      <x:c r="U87" t="str">
        <x:v>NOT_REQUIRED</x:v>
      </x:c>
      <x:c r="V87" s="16" t="n">
        <x:v>0.8188</x:v>
      </x:c>
      <x:c r="W87" t="str">
        <x:v>English</x:v>
      </x:c>
      <x:c r="X87"/>
      <x:c r="Y87" t="n">
        <x:v>84</x:v>
      </x:c>
      <x:c r="Z87" s="17" t="n">
        <x:v>4.59</x:v>
      </x:c>
      <x:c r="AA87" s="16" t="n">
        <x:v>0.8077</x:v>
      </x:c>
      <x:c r="AB87" s="16" t="n">
        <x:v>0.9797</x:v>
      </x:c>
      <x:c r="AC87" s="16" t="n">
        <x:v>0.9611</x:v>
      </x:c>
      <x:c r="AD87" t="n">
        <x:v>1</x:v>
      </x:c>
      <x:c r="AE87" t="str">
        <x:f>IF(O87&lt;&gt;"ACTIVE","NOT_RATED",IF(AND(Z87&gt;=4.8,AB87&gt;=0.97,AC87&gt;=0.93,AD87=0),"ELITE",IF(AND(Z87&gt;=4.6,AB87&gt;=0.94,AC87&gt;=0.88),"HIGH_PERFORMER",IF(OR(Z87&lt;4.2,AB87&lt;0.85,AD87&gt;=2),"AT_RISK","STANDARD"))))</x:f>
        <x:v>NOT_RATED</x:v>
      </x:c>
      <x:c r="AF87" s="15" t="n">
        <x:v>45934.0181621875</x:v>
      </x:c>
      <x:c r="AG87" t="str">
        <x:v>VERIFIED</x:v>
      </x:c>
      <x:c r="AH87" t="str">
        <x:v>COMPLETE</x:v>
      </x:c>
      <x:c r="AI87" t="str">
        <x:v>Riley Thomas</x:v>
      </x:c>
      <x:c r="AJ87" t="str">
        <x:v>SPOUSE_PARTNER</x:v>
      </x:c>
      <x:c r="AK87" t="str">
        <x:v>+1 (206) 555-0118</x:v>
      </x:c>
    </x:row>
    <x:row r="88" ht="18" customHeight="1">
      <x:c r="A88" t="str">
        <x:v>DHR-00087</x:v>
      </x:c>
      <x:c r="B88" t="str">
        <x:v>Casey Anderson</x:v>
      </x:c>
      <x:c r="C88" t="str">
        <x:v>https://api.dicebear.com/9.x/adventurer/png?seed=DHR-00087-Casey%20Anderson&amp;size=256&amp;radius=50&amp;backgroundColor=b6e3f4,c0aede,d1d4f9,ffd5dc,ffdfbf</x:v>
      </x:c>
      <x:c r="D88" t="str">
        <x:v>casey.anderson.087@example.com</x:v>
      </x:c>
      <x:c r="E88" t="str">
        <x:v>+1 (213) 555-0186</x:v>
      </x:c>
      <x:c r="F88" t="str">
        <x:v>Los Angeles, CA</x:v>
      </x:c>
      <x:c r="G88" t="str">
        <x:v>Los Angeles</x:v>
      </x:c>
      <x:c r="H88" t="str">
        <x:v>CA</x:v>
      </x:c>
      <x:c r="I88" s="18" t="str">
        <x:v>90012</x:v>
      </x:c>
      <x:c r="J88" s="15" t="n">
        <x:v>34969.71959172453</x:v>
      </x:c>
      <x:c r="K88" t="n">
        <x:f>INT((DATE(2025,12,31)-J88)/365.25)</x:f>
        <x:v>30</x:v>
      </x:c>
      <x:c r="L88" t="str">
        <x:f>IF(K88&lt;25,"18-24",IF(K88&lt;35,"25-34",IF(K88&lt;45,"35-44",IF(K88&lt;55,"45-54","55+"))))</x:f>
        <x:v>25-34</x:v>
      </x:c>
      <x:c r="M88" s="15" t="n">
        <x:v>45451.23382931713</x:v>
      </x:c>
      <x:c r="N88" t="n">
        <x:f>(YEAR(DATE(2025,12,31))-YEAR(M88))*12+MONTH(DATE(2025,12,31))-MONTH(M88)</x:f>
        <x:v>18</x:v>
      </x:c>
      <x:c r="O88" t="str">
        <x:v>PAUSED</x:v>
      </x:c>
      <x:c r="P88" t="str">
        <x:v>INDEPENDENT_CONTRACTOR</x:v>
      </x:c>
      <x:c r="Q88" t="str">
        <x:v>CAR</x:v>
      </x:c>
      <x:c r="R88" t="str">
        <x:v>LUNCH</x:v>
      </x:c>
      <x:c r="S88" t="n">
        <x:v>34</x:v>
      </x:c>
      <x:c r="T88" t="str">
        <x:v>CLEARED</x:v>
      </x:c>
      <x:c r="U88" t="str">
        <x:v>VALID</x:v>
      </x:c>
      <x:c r="V88" s="16" t="n">
        <x:v>0.9088</x:v>
      </x:c>
      <x:c r="W88" t="str">
        <x:v>Portuguese</x:v>
      </x:c>
      <x:c r="X88"/>
      <x:c r="Y88" t="n">
        <x:v>2615</x:v>
      </x:c>
      <x:c r="Z88" s="17" t="n">
        <x:v>4.26</x:v>
      </x:c>
      <x:c r="AA88" s="16" t="n">
        <x:v>0.7564</x:v>
      </x:c>
      <x:c r="AB88" s="16" t="n">
        <x:v>0.9868</x:v>
      </x:c>
      <x:c r="AC88" s="16" t="n">
        <x:v>0.9328</x:v>
      </x:c>
      <x:c r="AD88" t="n">
        <x:v>0</x:v>
      </x:c>
      <x:c r="AE88" t="str">
        <x:f>IF(O88&lt;&gt;"ACTIVE","NOT_RATED",IF(AND(Z88&gt;=4.8,AB88&gt;=0.97,AC88&gt;=0.93,AD88=0),"ELITE",IF(AND(Z88&gt;=4.6,AB88&gt;=0.94,AC88&gt;=0.88),"HIGH_PERFORMER",IF(OR(Z88&lt;4.2,AB88&lt;0.85,AD88&gt;=2),"AT_RISK","STANDARD"))))</x:f>
        <x:v>NOT_RATED</x:v>
      </x:c>
      <x:c r="AF88" s="15" t="n">
        <x:v>45965</x:v>
      </x:c>
      <x:c r="AG88" t="str">
        <x:v>VERIFIED</x:v>
      </x:c>
      <x:c r="AH88" t="str">
        <x:v>COMPLETE</x:v>
      </x:c>
      <x:c r="AI88" t="str">
        <x:v>Jordan Walker</x:v>
      </x:c>
      <x:c r="AJ88" t="str">
        <x:v>SPOUSE_PARTNER</x:v>
      </x:c>
      <x:c r="AK88" t="str">
        <x:v>+1 (213) 555-0125</x:v>
      </x:c>
    </x:row>
    <x:row r="89" ht="18" customHeight="1">
      <x:c r="A89" t="str">
        <x:v>DHR-00088</x:v>
      </x:c>
      <x:c r="B89" t="str">
        <x:v>Casey Brown</x:v>
      </x:c>
      <x:c r="C89" t="str">
        <x:v>https://api.dicebear.com/9.x/adventurer/png?seed=DHR-00088-Casey%20Brown&amp;size=256&amp;radius=50&amp;backgroundColor=b6e3f4,c0aede,d1d4f9,ffd5dc,ffdfbf</x:v>
      </x:c>
      <x:c r="D89" t="str">
        <x:v>casey.brown.088@example.com</x:v>
      </x:c>
      <x:c r="E89" t="str">
        <x:v>+1 (214) 555-0187</x:v>
      </x:c>
      <x:c r="F89" t="str">
        <x:v>Dallas, TX</x:v>
      </x:c>
      <x:c r="G89" t="str">
        <x:v>Dallas</x:v>
      </x:c>
      <x:c r="H89" t="str">
        <x:v>TX</x:v>
      </x:c>
      <x:c r="I89" s="18" t="str">
        <x:v>75201</x:v>
      </x:c>
      <x:c r="J89" s="15" t="n">
        <x:v>25233.561777083334</x:v>
      </x:c>
      <x:c r="K89" t="n">
        <x:f>INT((DATE(2025,12,31)-J89)/365.25)</x:f>
        <x:v>56</x:v>
      </x:c>
      <x:c r="L89" t="str">
        <x:f>IF(K89&lt;25,"18-24",IF(K89&lt;35,"25-34",IF(K89&lt;45,"35-44",IF(K89&lt;55,"45-54","55+"))))</x:f>
        <x:v>55+</x:v>
      </x:c>
      <x:c r="M89" s="15" t="n">
        <x:v>45920.267371863425</x:v>
      </x:c>
      <x:c r="N89" t="n">
        <x:f>(YEAR(DATE(2025,12,31))-YEAR(M89))*12+MONTH(DATE(2025,12,31))-MONTH(M89)</x:f>
        <x:v>3</x:v>
      </x:c>
      <x:c r="O89" t="str">
        <x:v>ACTIVE</x:v>
      </x:c>
      <x:c r="P89" t="str">
        <x:v>INDEPENDENT_CONTRACTOR</x:v>
      </x:c>
      <x:c r="Q89" t="str">
        <x:v>CAR</x:v>
      </x:c>
      <x:c r="R89" t="str">
        <x:v>DINNER</x:v>
      </x:c>
      <x:c r="S89" t="n">
        <x:v>42</x:v>
      </x:c>
      <x:c r="T89" t="str">
        <x:v>CLEARED</x:v>
      </x:c>
      <x:c r="U89" t="str">
        <x:v>EXPIRING_SOON</x:v>
      </x:c>
      <x:c r="V89" s="16" t="n">
        <x:v>0.8795</x:v>
      </x:c>
      <x:c r="W89" t="str">
        <x:v>English</x:v>
      </x:c>
      <x:c r="X89"/>
      <x:c r="Y89" t="n">
        <x:v>429</x:v>
      </x:c>
      <x:c r="Z89" s="17" t="n">
        <x:v>4.2</x:v>
      </x:c>
      <x:c r="AA89" s="16" t="n">
        <x:v>0.8564</x:v>
      </x:c>
      <x:c r="AB89" s="16" t="n">
        <x:v>0.9628</x:v>
      </x:c>
      <x:c r="AC89" s="16" t="n">
        <x:v>0.9577</x:v>
      </x:c>
      <x:c r="AD89" t="n">
        <x:v>0</x:v>
      </x:c>
      <x:c r="AE89" t="str">
        <x:f>IF(O89&lt;&gt;"ACTIVE","NOT_RATED",IF(AND(Z89&gt;=4.8,AB89&gt;=0.97,AC89&gt;=0.93,AD89=0),"ELITE",IF(AND(Z89&gt;=4.6,AB89&gt;=0.94,AC89&gt;=0.88),"HIGH_PERFORMER",IF(OR(Z89&lt;4.2,AB89&lt;0.85,AD89&gt;=2),"AT_RISK","STANDARD"))))</x:f>
        <x:v>STANDARD</x:v>
      </x:c>
      <x:c r="AF89" s="15" t="n">
        <x:v>46010</x:v>
      </x:c>
      <x:c r="AG89" t="str">
        <x:v>VERIFIED</x:v>
      </x:c>
      <x:c r="AH89" t="str">
        <x:v>COMPLETE</x:v>
      </x:c>
      <x:c r="AI89" t="str">
        <x:v>Reese Rodriguez</x:v>
      </x:c>
      <x:c r="AJ89" t="str">
        <x:v>SPOUSE_PARTNER</x:v>
      </x:c>
      <x:c r="AK89" t="str">
        <x:v>+1 (214) 555-0132</x:v>
      </x:c>
    </x:row>
    <x:row r="90" ht="18" customHeight="1">
      <x:c r="A90" t="str">
        <x:v>DHR-00089</x:v>
      </x:c>
      <x:c r="B90" t="str">
        <x:v>Casey Davis</x:v>
      </x:c>
      <x:c r="C90" t="str">
        <x:v>https://api.dicebear.com/9.x/adventurer/png?seed=DHR-00089-Casey%20Davis&amp;size=256&amp;radius=50&amp;backgroundColor=b6e3f4,c0aede,d1d4f9,ffd5dc,ffdfbf</x:v>
      </x:c>
      <x:c r="D90" t="str">
        <x:v>casey.davis.089@example.com</x:v>
      </x:c>
      <x:c r="E90" t="str">
        <x:v>+1 (305) 555-0188</x:v>
      </x:c>
      <x:c r="F90" t="str">
        <x:v>Miami, FL</x:v>
      </x:c>
      <x:c r="G90" t="str">
        <x:v>Miami</x:v>
      </x:c>
      <x:c r="H90" t="str">
        <x:v>FL</x:v>
      </x:c>
      <x:c r="I90" s="18" t="str">
        <x:v>33130</x:v>
      </x:c>
      <x:c r="J90" s="15" t="n">
        <x:v>25149.993728136575</x:v>
      </x:c>
      <x:c r="K90" t="n">
        <x:f>INT((DATE(2025,12,31)-J90)/365.25)</x:f>
        <x:v>57</x:v>
      </x:c>
      <x:c r="L90" t="str">
        <x:f>IF(K90&lt;25,"18-24",IF(K90&lt;35,"25-34",IF(K90&lt;45,"35-44",IF(K90&lt;55,"45-54","55+"))))</x:f>
        <x:v>55+</x:v>
      </x:c>
      <x:c r="M90" s="15" t="n">
        <x:v>44084.93832018519</x:v>
      </x:c>
      <x:c r="N90" t="n">
        <x:f>(YEAR(DATE(2025,12,31))-YEAR(M90))*12+MONTH(DATE(2025,12,31))-MONTH(M90)</x:f>
        <x:v>63</x:v>
      </x:c>
      <x:c r="O90" t="str">
        <x:v>ACTIVE</x:v>
      </x:c>
      <x:c r="P90" t="str">
        <x:v>INDEPENDENT_CONTRACTOR</x:v>
      </x:c>
      <x:c r="Q90" t="str">
        <x:v>CAR</x:v>
      </x:c>
      <x:c r="R90" t="str">
        <x:v>FLEXIBLE</x:v>
      </x:c>
      <x:c r="S90" t="n">
        <x:v>33</x:v>
      </x:c>
      <x:c r="T90" t="str">
        <x:v>CLEARED</x:v>
      </x:c>
      <x:c r="U90" t="str">
        <x:v>VALID</x:v>
      </x:c>
      <x:c r="V90" s="16" t="n">
        <x:v>0.8615</x:v>
      </x:c>
      <x:c r="W90" t="str">
        <x:v>English</x:v>
      </x:c>
      <x:c r="X90" t="str">
        <x:v>French</x:v>
      </x:c>
      <x:c r="Y90" t="n">
        <x:v>7999</x:v>
      </x:c>
      <x:c r="Z90" s="17" t="n">
        <x:v>4.58</x:v>
      </x:c>
      <x:c r="AA90" s="16" t="n">
        <x:v>0.6941</x:v>
      </x:c>
      <x:c r="AB90" s="16" t="n">
        <x:v>0.8971</x:v>
      </x:c>
      <x:c r="AC90" s="16" t="n">
        <x:v>0.9088</x:v>
      </x:c>
      <x:c r="AD90" t="n">
        <x:v>0</x:v>
      </x:c>
      <x:c r="AE90" t="str">
        <x:f>IF(O90&lt;&gt;"ACTIVE","NOT_RATED",IF(AND(Z90&gt;=4.8,AB90&gt;=0.97,AC90&gt;=0.93,AD90=0),"ELITE",IF(AND(Z90&gt;=4.6,AB90&gt;=0.94,AC90&gt;=0.88),"HIGH_PERFORMER",IF(OR(Z90&lt;4.2,AB90&lt;0.85,AD90&gt;=2),"AT_RISK","STANDARD"))))</x:f>
        <x:v>STANDARD</x:v>
      </x:c>
      <x:c r="AF90" s="15" t="n">
        <x:v>46012</x:v>
      </x:c>
      <x:c r="AG90" t="str">
        <x:v>VERIFIED</x:v>
      </x:c>
      <x:c r="AH90" t="str">
        <x:v>COMPLETE</x:v>
      </x:c>
      <x:c r="AI90" t="str">
        <x:v>Noah Lee</x:v>
      </x:c>
      <x:c r="AJ90" t="str">
        <x:v>PARENT</x:v>
      </x:c>
      <x:c r="AK90" t="str">
        <x:v>+1 (305) 555-0139</x:v>
      </x:c>
    </x:row>
    <x:row r="91" ht="18" customHeight="1">
      <x:c r="A91" t="str">
        <x:v>DHR-00090</x:v>
      </x:c>
      <x:c r="B91" t="str">
        <x:v>Casey Garcia</x:v>
      </x:c>
      <x:c r="C91" t="str">
        <x:v>https://api.dicebear.com/9.x/adventurer/png?seed=DHR-00090-Casey%20Garcia&amp;size=256&amp;radius=50&amp;backgroundColor=b6e3f4,c0aede,d1d4f9,ffd5dc,ffdfbf</x:v>
      </x:c>
      <x:c r="D91" t="str">
        <x:v>casey.garcia.090@example.com</x:v>
      </x:c>
      <x:c r="E91" t="str">
        <x:v>+1 (213) 555-0189</x:v>
      </x:c>
      <x:c r="F91" t="str">
        <x:v>Los Angeles, CA</x:v>
      </x:c>
      <x:c r="G91" t="str">
        <x:v>Los Angeles</x:v>
      </x:c>
      <x:c r="H91" t="str">
        <x:v>CA</x:v>
      </x:c>
      <x:c r="I91" s="18" t="str">
        <x:v>90012</x:v>
      </x:c>
      <x:c r="J91" s="15" t="n">
        <x:v>33959.033913680556</x:v>
      </x:c>
      <x:c r="K91" t="n">
        <x:f>INT((DATE(2025,12,31)-J91)/365.25)</x:f>
        <x:v>33</x:v>
      </x:c>
      <x:c r="L91" t="str">
        <x:f>IF(K91&lt;25,"18-24",IF(K91&lt;35,"25-34",IF(K91&lt;45,"35-44",IF(K91&lt;55,"45-54","55+"))))</x:f>
        <x:v>25-34</x:v>
      </x:c>
      <x:c r="M91" s="15" t="n">
        <x:v>45235.193034375</x:v>
      </x:c>
      <x:c r="N91" t="n">
        <x:f>(YEAR(DATE(2025,12,31))-YEAR(M91))*12+MONTH(DATE(2025,12,31))-MONTH(M91)</x:f>
        <x:v>25</x:v>
      </x:c>
      <x:c r="O91" t="str">
        <x:v>ACTIVE</x:v>
      </x:c>
      <x:c r="P91" t="str">
        <x:v>INDEPENDENT_CONTRACTOR</x:v>
      </x:c>
      <x:c r="Q91" t="str">
        <x:v>CAR</x:v>
      </x:c>
      <x:c r="R91" t="str">
        <x:v>WEEKENDS</x:v>
      </x:c>
      <x:c r="S91" t="n">
        <x:v>15</x:v>
      </x:c>
      <x:c r="T91" t="str">
        <x:v>PENDING</x:v>
      </x:c>
      <x:c r="U91" t="str">
        <x:v>VALID</x:v>
      </x:c>
      <x:c r="V91" s="16" t="n">
        <x:v>0.9238</x:v>
      </x:c>
      <x:c r="W91" t="str">
        <x:v>English</x:v>
      </x:c>
      <x:c r="X91" t="str">
        <x:v>French</x:v>
      </x:c>
      <x:c r="Y91" t="n">
        <x:v>1186</x:v>
      </x:c>
      <x:c r="Z91" s="17" t="n">
        <x:v>4.89</x:v>
      </x:c>
      <x:c r="AA91" s="16" t="n">
        <x:v>0.7686</x:v>
      </x:c>
      <x:c r="AB91" s="16" t="n">
        <x:v>0.9533</x:v>
      </x:c>
      <x:c r="AC91" s="16" t="n">
        <x:v>0.842</x:v>
      </x:c>
      <x:c r="AD91" t="n">
        <x:v>0</x:v>
      </x:c>
      <x:c r="AE91" t="str">
        <x:f>IF(O91&lt;&gt;"ACTIVE","NOT_RATED",IF(AND(Z91&gt;=4.8,AB91&gt;=0.97,AC91&gt;=0.93,AD91=0),"ELITE",IF(AND(Z91&gt;=4.6,AB91&gt;=0.94,AC91&gt;=0.88),"HIGH_PERFORMER",IF(OR(Z91&lt;4.2,AB91&lt;0.85,AD91&gt;=2),"AT_RISK","STANDARD"))))</x:f>
        <x:v>STANDARD</x:v>
      </x:c>
      <x:c r="AF91" s="15" t="n">
        <x:v>46020</x:v>
      </x:c>
      <x:c r="AG91" t="str">
        <x:v>VERIFIED</x:v>
      </x:c>
      <x:c r="AH91" t="str">
        <x:v>COMPLETE</x:v>
      </x:c>
      <x:c r="AI91" t="str">
        <x:v>Sofia Martin</x:v>
      </x:c>
      <x:c r="AJ91" t="str">
        <x:v>SIBLING</x:v>
      </x:c>
      <x:c r="AK91" t="str">
        <x:v>+1 (213) 555-0146</x:v>
      </x:c>
    </x:row>
    <x:row r="92" ht="18" customHeight="1">
      <x:c r="A92" t="str">
        <x:v>DHR-00091</x:v>
      </x:c>
      <x:c r="B92" t="str">
        <x:v>Casey Harris</x:v>
      </x:c>
      <x:c r="C92" t="str">
        <x:v>https://api.dicebear.com/9.x/adventurer/png?seed=DHR-00091-Casey%20Harris&amp;size=256&amp;radius=50&amp;backgroundColor=b6e3f4,c0aede,d1d4f9,ffd5dc,ffdfbf</x:v>
      </x:c>
      <x:c r="D92" t="str">
        <x:v>casey.harris.091@example.com</x:v>
      </x:c>
      <x:c r="E92" t="str">
        <x:v>+1 (210) 555-0190</x:v>
      </x:c>
      <x:c r="F92" t="str">
        <x:v>San Antonio, TX</x:v>
      </x:c>
      <x:c r="G92" t="str">
        <x:v>San Antonio</x:v>
      </x:c>
      <x:c r="H92" t="str">
        <x:v>TX</x:v>
      </x:c>
      <x:c r="I92" s="18" t="str">
        <x:v>78205</x:v>
      </x:c>
      <x:c r="J92" s="15" t="n">
        <x:v>28574.599779641205</x:v>
      </x:c>
      <x:c r="K92" t="n">
        <x:f>INT((DATE(2025,12,31)-J92)/365.25)</x:f>
        <x:v>47</x:v>
      </x:c>
      <x:c r="L92" t="str">
        <x:f>IF(K92&lt;25,"18-24",IF(K92&lt;35,"25-34",IF(K92&lt;45,"35-44",IF(K92&lt;55,"45-54","55+"))))</x:f>
        <x:v>45-54</x:v>
      </x:c>
      <x:c r="M92" s="15" t="n">
        <x:v>44597.45559625</x:v>
      </x:c>
      <x:c r="N92" t="n">
        <x:f>(YEAR(DATE(2025,12,31))-YEAR(M92))*12+MONTH(DATE(2025,12,31))-MONTH(M92)</x:f>
        <x:v>46</x:v>
      </x:c>
      <x:c r="O92" t="str">
        <x:v>ACTIVE</x:v>
      </x:c>
      <x:c r="P92" t="str">
        <x:v>INDEPENDENT_CONTRACTOR</x:v>
      </x:c>
      <x:c r="Q92" t="str">
        <x:v>E_BIKE</x:v>
      </x:c>
      <x:c r="R92" t="str">
        <x:v>LUNCH</x:v>
      </x:c>
      <x:c r="S92" t="n">
        <x:v>45</x:v>
      </x:c>
      <x:c r="T92" t="str">
        <x:v>CLEARED</x:v>
      </x:c>
      <x:c r="U92" t="str">
        <x:v>NOT_REQUIRED</x:v>
      </x:c>
      <x:c r="V92" s="16" t="n">
        <x:v>0.9102</x:v>
      </x:c>
      <x:c r="W92" t="str">
        <x:v>Vietnamese</x:v>
      </x:c>
      <x:c r="X92"/>
      <x:c r="Y92" t="n">
        <x:v>7412</x:v>
      </x:c>
      <x:c r="Z92" s="17" t="n">
        <x:v>4.37</x:v>
      </x:c>
      <x:c r="AA92" s="16" t="n">
        <x:v>0.9675</x:v>
      </x:c>
      <x:c r="AB92" s="16" t="n">
        <x:v>0.9351</x:v>
      </x:c>
      <x:c r="AC92" s="16" t="n">
        <x:v>0.8209</x:v>
      </x:c>
      <x:c r="AD92" t="n">
        <x:v>0</x:v>
      </x:c>
      <x:c r="AE92" t="str">
        <x:f>IF(O92&lt;&gt;"ACTIVE","NOT_RATED",IF(AND(Z92&gt;=4.8,AB92&gt;=0.97,AC92&gt;=0.93,AD92=0),"ELITE",IF(AND(Z92&gt;=4.6,AB92&gt;=0.94,AC92&gt;=0.88),"HIGH_PERFORMER",IF(OR(Z92&lt;4.2,AB92&lt;0.85,AD92&gt;=2),"AT_RISK","STANDARD"))))</x:f>
        <x:v>STANDARD</x:v>
      </x:c>
      <x:c r="AF92" s="15" t="n">
        <x:v>46013</x:v>
      </x:c>
      <x:c r="AG92" t="str">
        <x:v>VERIFIED</x:v>
      </x:c>
      <x:c r="AH92" t="str">
        <x:v>COMPLETE</x:v>
      </x:c>
      <x:c r="AI92" t="str">
        <x:v>Hayden Young</x:v>
      </x:c>
      <x:c r="AJ92" t="str">
        <x:v>SIBLING</x:v>
      </x:c>
      <x:c r="AK92" t="str">
        <x:v>+1 (210) 555-0153</x:v>
      </x:c>
    </x:row>
    <x:row r="93" ht="18" customHeight="1">
      <x:c r="A93" t="str">
        <x:v>DHR-00092</x:v>
      </x:c>
      <x:c r="B93" t="str">
        <x:v>Casey Jackson</x:v>
      </x:c>
      <x:c r="C93" t="str">
        <x:v>https://api.dicebear.com/9.x/adventurer/png?seed=DHR-00092-Casey%20Jackson&amp;size=256&amp;radius=50&amp;backgroundColor=b6e3f4,c0aede,d1d4f9,ffd5dc,ffdfbf</x:v>
      </x:c>
      <x:c r="D93" t="str">
        <x:v>casey.jackson.092@example.com</x:v>
      </x:c>
      <x:c r="E93" t="str">
        <x:v>+1 (503) 555-0191</x:v>
      </x:c>
      <x:c r="F93" t="str">
        <x:v>Portland, OR</x:v>
      </x:c>
      <x:c r="G93" t="str">
        <x:v>Portland</x:v>
      </x:c>
      <x:c r="H93" t="str">
        <x:v>OR</x:v>
      </x:c>
      <x:c r="I93" s="18" t="str">
        <x:v>97205</x:v>
      </x:c>
      <x:c r="J93" s="15" t="n">
        <x:v>25653.809162962963</x:v>
      </x:c>
      <x:c r="K93" t="n">
        <x:f>INT((DATE(2025,12,31)-J93)/365.25)</x:f>
        <x:v>55</x:v>
      </x:c>
      <x:c r="L93" t="str">
        <x:f>IF(K93&lt;25,"18-24",IF(K93&lt;35,"25-34",IF(K93&lt;45,"35-44",IF(K93&lt;55,"45-54","55+"))))</x:f>
        <x:v>55+</x:v>
      </x:c>
      <x:c r="M93" s="15" t="n">
        <x:v>45797.2445297338</x:v>
      </x:c>
      <x:c r="N93" t="n">
        <x:f>(YEAR(DATE(2025,12,31))-YEAR(M93))*12+MONTH(DATE(2025,12,31))-MONTH(M93)</x:f>
        <x:v>7</x:v>
      </x:c>
      <x:c r="O93" t="str">
        <x:v>ACTIVE</x:v>
      </x:c>
      <x:c r="P93" t="str">
        <x:v>INDEPENDENT_CONTRACTOR</x:v>
      </x:c>
      <x:c r="Q93" t="str">
        <x:v>CAR</x:v>
      </x:c>
      <x:c r="R93" t="str">
        <x:v>LUNCH</x:v>
      </x:c>
      <x:c r="S93" t="n">
        <x:v>8</x:v>
      </x:c>
      <x:c r="T93" t="str">
        <x:v>CLEARED</x:v>
      </x:c>
      <x:c r="U93" t="str">
        <x:v>VALID</x:v>
      </x:c>
      <x:c r="V93" s="16" t="n">
        <x:v>0.8787</x:v>
      </x:c>
      <x:c r="W93" t="str">
        <x:v>English</x:v>
      </x:c>
      <x:c r="X93"/>
      <x:c r="Y93" t="n">
        <x:v>226</x:v>
      </x:c>
      <x:c r="Z93" s="17" t="n">
        <x:v>4.48</x:v>
      </x:c>
      <x:c r="AA93" s="16" t="n">
        <x:v>0.8507</x:v>
      </x:c>
      <x:c r="AB93" s="16" t="n">
        <x:v>0.9235</x:v>
      </x:c>
      <x:c r="AC93" s="16" t="n">
        <x:v>0.8424</x:v>
      </x:c>
      <x:c r="AD93" t="n">
        <x:v>0</x:v>
      </x:c>
      <x:c r="AE93" t="str">
        <x:f>IF(O93&lt;&gt;"ACTIVE","NOT_RATED",IF(AND(Z93&gt;=4.8,AB93&gt;=0.97,AC93&gt;=0.93,AD93=0),"ELITE",IF(AND(Z93&gt;=4.6,AB93&gt;=0.94,AC93&gt;=0.88),"HIGH_PERFORMER",IF(OR(Z93&lt;4.2,AB93&lt;0.85,AD93&gt;=2),"AT_RISK","STANDARD"))))</x:f>
        <x:v>STANDARD</x:v>
      </x:c>
      <x:c r="AF93" s="15" t="n">
        <x:v>46020</x:v>
      </x:c>
      <x:c r="AG93" t="str">
        <x:v>VERIFIED</x:v>
      </x:c>
      <x:c r="AH93" t="str">
        <x:v>COMPLETE</x:v>
      </x:c>
      <x:c r="AI93" t="str">
        <x:v>Taylor Walker</x:v>
      </x:c>
      <x:c r="AJ93" t="str">
        <x:v>FRIEND</x:v>
      </x:c>
      <x:c r="AK93" t="str">
        <x:v>+1 (503) 555-0160</x:v>
      </x:c>
    </x:row>
    <x:row r="94" ht="18" customHeight="1">
      <x:c r="A94" t="str">
        <x:v>DHR-00093</x:v>
      </x:c>
      <x:c r="B94" t="str">
        <x:v>Casey Johnson</x:v>
      </x:c>
      <x:c r="C94" t="str">
        <x:v>https://api.dicebear.com/9.x/adventurer/png?seed=DHR-00093-Casey%20Johnson&amp;size=256&amp;radius=50&amp;backgroundColor=b6e3f4,c0aede,d1d4f9,ffd5dc,ffdfbf</x:v>
      </x:c>
      <x:c r="D94" t="str">
        <x:v>casey.johnson.093@example.com</x:v>
      </x:c>
      <x:c r="E94" t="str">
        <x:v>+1 (702) 555-0192</x:v>
      </x:c>
      <x:c r="F94" t="str">
        <x:v>Las Vegas, NV</x:v>
      </x:c>
      <x:c r="G94" t="str">
        <x:v>Las Vegas</x:v>
      </x:c>
      <x:c r="H94" t="str">
        <x:v>NV</x:v>
      </x:c>
      <x:c r="I94" s="18" t="str">
        <x:v>89101</x:v>
      </x:c>
      <x:c r="J94" s="15" t="n">
        <x:v>36938.503080856484</x:v>
      </x:c>
      <x:c r="K94" t="n">
        <x:f>INT((DATE(2025,12,31)-J94)/365.25)</x:f>
        <x:v>24</x:v>
      </x:c>
      <x:c r="L94" t="str">
        <x:f>IF(K94&lt;25,"18-24",IF(K94&lt;35,"25-34",IF(K94&lt;45,"35-44",IF(K94&lt;55,"45-54","55+"))))</x:f>
        <x:v>18-24</x:v>
      </x:c>
      <x:c r="M94" s="15" t="n">
        <x:v>44204.10991170139</x:v>
      </x:c>
      <x:c r="N94" t="n">
        <x:f>(YEAR(DATE(2025,12,31))-YEAR(M94))*12+MONTH(DATE(2025,12,31))-MONTH(M94)</x:f>
        <x:v>59</x:v>
      </x:c>
      <x:c r="O94" t="str">
        <x:v>ACTIVE</x:v>
      </x:c>
      <x:c r="P94" t="str">
        <x:v>INDEPENDENT_CONTRACTOR</x:v>
      </x:c>
      <x:c r="Q94" t="str">
        <x:v>E_BIKE</x:v>
      </x:c>
      <x:c r="R94" t="str">
        <x:v>LUNCH</x:v>
      </x:c>
      <x:c r="S94" t="n">
        <x:v>40</x:v>
      </x:c>
      <x:c r="T94" t="str">
        <x:v>CLEARED</x:v>
      </x:c>
      <x:c r="U94" t="str">
        <x:v>NOT_REQUIRED</x:v>
      </x:c>
      <x:c r="V94" s="16" t="n">
        <x:v>0.9443</x:v>
      </x:c>
      <x:c r="W94" t="str">
        <x:v>English</x:v>
      </x:c>
      <x:c r="X94"/>
      <x:c r="Y94" t="n">
        <x:v>6092</x:v>
      </x:c>
      <x:c r="Z94" s="17" t="n">
        <x:v>4.85</x:v>
      </x:c>
      <x:c r="AA94" s="16" t="n">
        <x:v>0.9478</x:v>
      </x:c>
      <x:c r="AB94" s="16" t="n">
        <x:v>0.9128</x:v>
      </x:c>
      <x:c r="AC94" s="16" t="n">
        <x:v>0.9083</x:v>
      </x:c>
      <x:c r="AD94" t="n">
        <x:v>0</x:v>
      </x:c>
      <x:c r="AE94" t="str">
        <x:f>IF(O94&lt;&gt;"ACTIVE","NOT_RATED",IF(AND(Z94&gt;=4.8,AB94&gt;=0.97,AC94&gt;=0.93,AD94=0),"ELITE",IF(AND(Z94&gt;=4.6,AB94&gt;=0.94,AC94&gt;=0.88),"HIGH_PERFORMER",IF(OR(Z94&lt;4.2,AB94&lt;0.85,AD94&gt;=2),"AT_RISK","STANDARD"))))</x:f>
        <x:v>STANDARD</x:v>
      </x:c>
      <x:c r="AF94" s="15" t="n">
        <x:v>46016</x:v>
      </x:c>
      <x:c r="AG94" t="str">
        <x:v>VERIFIED</x:v>
      </x:c>
      <x:c r="AH94" t="str">
        <x:v>COMPLETE</x:v>
      </x:c>
      <x:c r="AI94" t="str">
        <x:v>Reese Harris</x:v>
      </x:c>
      <x:c r="AJ94" t="str">
        <x:v>FRIEND</x:v>
      </x:c>
      <x:c r="AK94" t="str">
        <x:v>+1 (702) 555-0167</x:v>
      </x:c>
    </x:row>
    <x:row r="95" ht="18" customHeight="1">
      <x:c r="A95" t="str">
        <x:v>DHR-00094</x:v>
      </x:c>
      <x:c r="B95" t="str">
        <x:v>Casey Jones</x:v>
      </x:c>
      <x:c r="C95" t="str">
        <x:v>https://api.dicebear.com/9.x/adventurer/png?seed=DHR-00094-Casey%20Jones&amp;size=256&amp;radius=50&amp;backgroundColor=b6e3f4,c0aede,d1d4f9,ffd5dc,ffdfbf</x:v>
      </x:c>
      <x:c r="D95" t="str">
        <x:v>casey.jones.094@example.com</x:v>
      </x:c>
      <x:c r="E95" t="str">
        <x:v>+1 (713) 555-0193</x:v>
      </x:c>
      <x:c r="F95" t="str">
        <x:v>Houston, TX</x:v>
      </x:c>
      <x:c r="G95" t="str">
        <x:v>Houston</x:v>
      </x:c>
      <x:c r="H95" t="str">
        <x:v>TX</x:v>
      </x:c>
      <x:c r="I95" s="18" t="str">
        <x:v>77002</x:v>
      </x:c>
      <x:c r="J95" s="15" t="n">
        <x:v>28663.718279305554</x:v>
      </x:c>
      <x:c r="K95" t="n">
        <x:f>INT((DATE(2025,12,31)-J95)/365.25)</x:f>
        <x:v>47</x:v>
      </x:c>
      <x:c r="L95" t="str">
        <x:f>IF(K95&lt;25,"18-24",IF(K95&lt;35,"25-34",IF(K95&lt;45,"35-44",IF(K95&lt;55,"45-54","55+"))))</x:f>
        <x:v>45-54</x:v>
      </x:c>
      <x:c r="M95" s="15" t="n">
        <x:v>43741.171922118054</x:v>
      </x:c>
      <x:c r="N95" t="n">
        <x:f>(YEAR(DATE(2025,12,31))-YEAR(M95))*12+MONTH(DATE(2025,12,31))-MONTH(M95)</x:f>
        <x:v>74</x:v>
      </x:c>
      <x:c r="O95" t="str">
        <x:v>ACTIVE</x:v>
      </x:c>
      <x:c r="P95" t="str">
        <x:v>INDEPENDENT_CONTRACTOR</x:v>
      </x:c>
      <x:c r="Q95" t="str">
        <x:v>E_BIKE</x:v>
      </x:c>
      <x:c r="R95" t="str">
        <x:v>DINNER</x:v>
      </x:c>
      <x:c r="S95" t="n">
        <x:v>37</x:v>
      </x:c>
      <x:c r="T95" t="str">
        <x:v>CLEARED</x:v>
      </x:c>
      <x:c r="U95" t="str">
        <x:v>NOT_REQUIRED</x:v>
      </x:c>
      <x:c r="V95" s="16" t="n">
        <x:v>0.9478</x:v>
      </x:c>
      <x:c r="W95" t="str">
        <x:v>English</x:v>
      </x:c>
      <x:c r="X95" t="str">
        <x:v>Vietnamese</x:v>
      </x:c>
      <x:c r="Y95" t="n">
        <x:v>9363</x:v>
      </x:c>
      <x:c r="Z95" s="17" t="n">
        <x:v>4.24</x:v>
      </x:c>
      <x:c r="AA95" s="16" t="n">
        <x:v>0.7554</x:v>
      </x:c>
      <x:c r="AB95" s="16" t="n">
        <x:v>0.9371</x:v>
      </x:c>
      <x:c r="AC95" s="16" t="n">
        <x:v>0.9037</x:v>
      </x:c>
      <x:c r="AD95" t="n">
        <x:v>0</x:v>
      </x:c>
      <x:c r="AE95" t="str">
        <x:f>IF(O95&lt;&gt;"ACTIVE","NOT_RATED",IF(AND(Z95&gt;=4.8,AB95&gt;=0.97,AC95&gt;=0.93,AD95=0),"ELITE",IF(AND(Z95&gt;=4.6,AB95&gt;=0.94,AC95&gt;=0.88),"HIGH_PERFORMER",IF(OR(Z95&lt;4.2,AB95&lt;0.85,AD95&gt;=2),"AT_RISK","STANDARD"))))</x:f>
        <x:v>STANDARD</x:v>
      </x:c>
      <x:c r="AF95" s="15" t="n">
        <x:v>46020</x:v>
      </x:c>
      <x:c r="AG95" t="str">
        <x:v>VERIFIED</x:v>
      </x:c>
      <x:c r="AH95" t="str">
        <x:v>COMPLETE</x:v>
      </x:c>
      <x:c r="AI95" t="str">
        <x:v>Olivia Brown</x:v>
      </x:c>
      <x:c r="AJ95" t="str">
        <x:v>PARENT</x:v>
      </x:c>
      <x:c r="AK95" t="str">
        <x:v>+1 (713) 555-0174</x:v>
      </x:c>
    </x:row>
    <x:row r="96" ht="18" customHeight="1">
      <x:c r="A96" t="str">
        <x:v>DHR-00095</x:v>
      </x:c>
      <x:c r="B96" t="str">
        <x:v>Casey Lee</x:v>
      </x:c>
      <x:c r="C96" t="str">
        <x:v>https://api.dicebear.com/9.x/adventurer/png?seed=DHR-00095-Casey%20Lee&amp;size=256&amp;radius=50&amp;backgroundColor=b6e3f4,c0aede,d1d4f9,ffd5dc,ffdfbf</x:v>
      </x:c>
      <x:c r="D96" t="str">
        <x:v>casey.lee.095@example.com</x:v>
      </x:c>
      <x:c r="E96" t="str">
        <x:v>+1 (210) 555-0194</x:v>
      </x:c>
      <x:c r="F96" t="str">
        <x:v>San Antonio, TX</x:v>
      </x:c>
      <x:c r="G96" t="str">
        <x:v>San Antonio</x:v>
      </x:c>
      <x:c r="H96" t="str">
        <x:v>TX</x:v>
      </x:c>
      <x:c r="I96" s="18" t="str">
        <x:v>78205</x:v>
      </x:c>
      <x:c r="J96" s="15" t="n">
        <x:v>38069.52222828704</x:v>
      </x:c>
      <x:c r="K96" t="n">
        <x:f>INT((DATE(2025,12,31)-J96)/365.25)</x:f>
        <x:v>21</x:v>
      </x:c>
      <x:c r="L96" t="str">
        <x:f>IF(K96&lt;25,"18-24",IF(K96&lt;35,"25-34",IF(K96&lt;45,"35-44",IF(K96&lt;55,"45-54","55+"))))</x:f>
        <x:v>18-24</x:v>
      </x:c>
      <x:c r="M96" s="15" t="n">
        <x:v>45616.23511487269</x:v>
      </x:c>
      <x:c r="N96" t="n">
        <x:f>(YEAR(DATE(2025,12,31))-YEAR(M96))*12+MONTH(DATE(2025,12,31))-MONTH(M96)</x:f>
        <x:v>13</x:v>
      </x:c>
      <x:c r="O96" t="str">
        <x:v>ACTIVE</x:v>
      </x:c>
      <x:c r="P96" t="str">
        <x:v>INDEPENDENT_CONTRACTOR</x:v>
      </x:c>
      <x:c r="Q96" t="str">
        <x:v>CAR</x:v>
      </x:c>
      <x:c r="R96" t="str">
        <x:v>FLEXIBLE</x:v>
      </x:c>
      <x:c r="S96" t="n">
        <x:v>41</x:v>
      </x:c>
      <x:c r="T96" t="str">
        <x:v>CLEARED</x:v>
      </x:c>
      <x:c r="U96" t="str">
        <x:v>VALID</x:v>
      </x:c>
      <x:c r="V96" s="16" t="n">
        <x:v>0.8544</x:v>
      </x:c>
      <x:c r="W96" t="str">
        <x:v>English</x:v>
      </x:c>
      <x:c r="X96"/>
      <x:c r="Y96" t="n">
        <x:v>1813</x:v>
      </x:c>
      <x:c r="Z96" s="17" t="n">
        <x:v>4.43</x:v>
      </x:c>
      <x:c r="AA96" s="16" t="n">
        <x:v>0.6674</x:v>
      </x:c>
      <x:c r="AB96" s="16" t="n">
        <x:v>0.8897</x:v>
      </x:c>
      <x:c r="AC96" s="16" t="n">
        <x:v>0.9616</x:v>
      </x:c>
      <x:c r="AD96" t="n">
        <x:v>0</x:v>
      </x:c>
      <x:c r="AE96" t="str">
        <x:f>IF(O96&lt;&gt;"ACTIVE","NOT_RATED",IF(AND(Z96&gt;=4.8,AB96&gt;=0.97,AC96&gt;=0.93,AD96=0),"ELITE",IF(AND(Z96&gt;=4.6,AB96&gt;=0.94,AC96&gt;=0.88),"HIGH_PERFORMER",IF(OR(Z96&lt;4.2,AB96&lt;0.85,AD96&gt;=2),"AT_RISK","STANDARD"))))</x:f>
        <x:v>STANDARD</x:v>
      </x:c>
      <x:c r="AF96" s="15" t="n">
        <x:v>46013</x:v>
      </x:c>
      <x:c r="AG96" t="str">
        <x:v>VERIFIED</x:v>
      </x:c>
      <x:c r="AH96" t="str">
        <x:v>COMPLETE</x:v>
      </x:c>
      <x:c r="AI96" t="str">
        <x:v>Taylor Williams</x:v>
      </x:c>
      <x:c r="AJ96" t="str">
        <x:v>SIBLING</x:v>
      </x:c>
      <x:c r="AK96" t="str">
        <x:v>+1 (210) 555-0181</x:v>
      </x:c>
    </x:row>
    <x:row r="97" ht="18" customHeight="1">
      <x:c r="A97" t="str">
        <x:v>DHR-00096</x:v>
      </x:c>
      <x:c r="B97" t="str">
        <x:v>Casey Lewis</x:v>
      </x:c>
      <x:c r="C97" t="str">
        <x:v>https://api.dicebear.com/9.x/adventurer/png?seed=DHR-00096-Casey%20Lewis&amp;size=256&amp;radius=50&amp;backgroundColor=b6e3f4,c0aede,d1d4f9,ffd5dc,ffdfbf</x:v>
      </x:c>
      <x:c r="D97" t="str">
        <x:v>casey.lewis.096@example.com</x:v>
      </x:c>
      <x:c r="E97" t="str">
        <x:v>+1 (213) 555-0195</x:v>
      </x:c>
      <x:c r="F97" t="str">
        <x:v>Los Angeles, CA</x:v>
      </x:c>
      <x:c r="G97" t="str">
        <x:v>Los Angeles</x:v>
      </x:c>
      <x:c r="H97" t="str">
        <x:v>CA</x:v>
      </x:c>
      <x:c r="I97" s="18" t="str">
        <x:v>90012</x:v>
      </x:c>
      <x:c r="J97" s="15" t="n">
        <x:v>30617.702909525462</x:v>
      </x:c>
      <x:c r="K97" t="n">
        <x:f>INT((DATE(2025,12,31)-J97)/365.25)</x:f>
        <x:v>42</x:v>
      </x:c>
      <x:c r="L97" t="str">
        <x:f>IF(K97&lt;25,"18-24",IF(K97&lt;35,"25-34",IF(K97&lt;45,"35-44",IF(K97&lt;55,"45-54","55+"))))</x:f>
        <x:v>35-44</x:v>
      </x:c>
      <x:c r="M97" s="15" t="n">
        <x:v>44033.48743199074</x:v>
      </x:c>
      <x:c r="N97" t="n">
        <x:f>(YEAR(DATE(2025,12,31))-YEAR(M97))*12+MONTH(DATE(2025,12,31))-MONTH(M97)</x:f>
        <x:v>65</x:v>
      </x:c>
      <x:c r="O97" t="str">
        <x:v>PAUSED</x:v>
      </x:c>
      <x:c r="P97" t="str">
        <x:v>INDEPENDENT_CONTRACTOR</x:v>
      </x:c>
      <x:c r="Q97" t="str">
        <x:v>CAR</x:v>
      </x:c>
      <x:c r="R97" t="str">
        <x:v>WEEKENDS</x:v>
      </x:c>
      <x:c r="S97" t="n">
        <x:v>16</x:v>
      </x:c>
      <x:c r="T97" t="str">
        <x:v>CLEARED</x:v>
      </x:c>
      <x:c r="U97" t="str">
        <x:v>VALID</x:v>
      </x:c>
      <x:c r="V97" s="16" t="n">
        <x:v>0.8581</x:v>
      </x:c>
      <x:c r="W97" t="str">
        <x:v>English</x:v>
      </x:c>
      <x:c r="X97"/>
      <x:c r="Y97" t="n">
        <x:v>2742</x:v>
      </x:c>
      <x:c r="Z97" s="17" t="n">
        <x:v>4.24</x:v>
      </x:c>
      <x:c r="AA97" s="16" t="n">
        <x:v>0.7061</x:v>
      </x:c>
      <x:c r="AB97" s="16" t="n">
        <x:v>0.9257</x:v>
      </x:c>
      <x:c r="AC97" s="16" t="n">
        <x:v>0.9069</x:v>
      </x:c>
      <x:c r="AD97" t="n">
        <x:v>0</x:v>
      </x:c>
      <x:c r="AE97" t="str">
        <x:f>IF(O97&lt;&gt;"ACTIVE","NOT_RATED",IF(AND(Z97&gt;=4.8,AB97&gt;=0.97,AC97&gt;=0.93,AD97=0),"ELITE",IF(AND(Z97&gt;=4.6,AB97&gt;=0.94,AC97&gt;=0.88),"HIGH_PERFORMER",IF(OR(Z97&lt;4.2,AB97&lt;0.85,AD97&gt;=2),"AT_RISK","STANDARD"))))</x:f>
        <x:v>NOT_RATED</x:v>
      </x:c>
      <x:c r="AF97" s="15" t="n">
        <x:v>45945</x:v>
      </x:c>
      <x:c r="AG97" t="str">
        <x:v>VERIFIED</x:v>
      </x:c>
      <x:c r="AH97" t="str">
        <x:v>COMPLETE</x:v>
      </x:c>
      <x:c r="AI97" t="str">
        <x:v>Ava Lewis</x:v>
      </x:c>
      <x:c r="AJ97" t="str">
        <x:v>PARENT</x:v>
      </x:c>
      <x:c r="AK97" t="str">
        <x:v>+1 (213) 555-0188</x:v>
      </x:c>
    </x:row>
    <x:row r="98" ht="18" customHeight="1">
      <x:c r="A98" t="str">
        <x:v>DHR-00097</x:v>
      </x:c>
      <x:c r="B98" t="str">
        <x:v>Casey Martin</x:v>
      </x:c>
      <x:c r="C98" t="str">
        <x:v>https://api.dicebear.com/9.x/adventurer/png?seed=DHR-00097-Casey%20Martin&amp;size=256&amp;radius=50&amp;backgroundColor=b6e3f4,c0aede,d1d4f9,ffd5dc,ffdfbf</x:v>
      </x:c>
      <x:c r="D98" t="str">
        <x:v>casey.martin.097@example.com</x:v>
      </x:c>
      <x:c r="E98" t="str">
        <x:v>+1 (312) 555-0196</x:v>
      </x:c>
      <x:c r="F98" t="str">
        <x:v>Chicago, IL</x:v>
      </x:c>
      <x:c r="G98" t="str">
        <x:v>Chicago</x:v>
      </x:c>
      <x:c r="H98" t="str">
        <x:v>IL</x:v>
      </x:c>
      <x:c r="I98" s="18" t="str">
        <x:v>60601</x:v>
      </x:c>
      <x:c r="J98" s="15" t="n">
        <x:v>32196.68980181713</x:v>
      </x:c>
      <x:c r="K98" t="n">
        <x:f>INT((DATE(2025,12,31)-J98)/365.25)</x:f>
        <x:v>37</x:v>
      </x:c>
      <x:c r="L98" t="str">
        <x:f>IF(K98&lt;25,"18-24",IF(K98&lt;35,"25-34",IF(K98&lt;45,"35-44",IF(K98&lt;55,"45-54","55+"))))</x:f>
        <x:v>35-44</x:v>
      </x:c>
      <x:c r="M98" s="15" t="n">
        <x:v>45982.466683113424</x:v>
      </x:c>
      <x:c r="N98" t="n">
        <x:f>(YEAR(DATE(2025,12,31))-YEAR(M98))*12+MONTH(DATE(2025,12,31))-MONTH(M98)</x:f>
        <x:v>1</x:v>
      </x:c>
      <x:c r="O98" t="str">
        <x:v>OFFBOARDED</x:v>
      </x:c>
      <x:c r="P98" t="str">
        <x:v>INDEPENDENT_CONTRACTOR</x:v>
      </x:c>
      <x:c r="Q98" t="str">
        <x:v>CAR</x:v>
      </x:c>
      <x:c r="R98" t="str">
        <x:v>DINNER</x:v>
      </x:c>
      <x:c r="S98" t="n">
        <x:v>44</x:v>
      </x:c>
      <x:c r="T98" t="str">
        <x:v>EXPIRED</x:v>
      </x:c>
      <x:c r="U98" t="str">
        <x:v>VALID</x:v>
      </x:c>
      <x:c r="V98" s="16" t="n">
        <x:v>0.8994</x:v>
      </x:c>
      <x:c r="W98" t="str">
        <x:v>English</x:v>
      </x:c>
      <x:c r="X98"/>
      <x:c r="Y98" t="n">
        <x:v>87</x:v>
      </x:c>
      <x:c r="Z98" s="17" t="n">
        <x:v>4.73</x:v>
      </x:c>
      <x:c r="AA98" s="16" t="n">
        <x:v>0.9031</x:v>
      </x:c>
      <x:c r="AB98" s="16" t="n">
        <x:v>0.8689</x:v>
      </x:c>
      <x:c r="AC98" s="16" t="n">
        <x:v>0.845</x:v>
      </x:c>
      <x:c r="AD98" t="n">
        <x:v>0</x:v>
      </x:c>
      <x:c r="AE98" t="str">
        <x:f>IF(O98&lt;&gt;"ACTIVE","NOT_RATED",IF(AND(Z98&gt;=4.8,AB98&gt;=0.97,AC98&gt;=0.93,AD98=0),"ELITE",IF(AND(Z98&gt;=4.6,AB98&gt;=0.94,AC98&gt;=0.88),"HIGH_PERFORMER",IF(OR(Z98&lt;4.2,AB98&lt;0.85,AD98&gt;=2),"AT_RISK","STANDARD"))))</x:f>
        <x:v>NOT_RATED</x:v>
      </x:c>
      <x:c r="AF98" s="15" t="n">
        <x:v>45982.466683113424</x:v>
      </x:c>
      <x:c r="AG98" t="str">
        <x:v>VERIFIED</x:v>
      </x:c>
      <x:c r="AH98" t="str">
        <x:v>COMPLETE</x:v>
      </x:c>
      <x:c r="AI98" t="str">
        <x:v>Jesse Lewis</x:v>
      </x:c>
      <x:c r="AJ98" t="str">
        <x:v>PARENT</x:v>
      </x:c>
      <x:c r="AK98" t="str">
        <x:v>+1 (312) 555-0195</x:v>
      </x:c>
    </x:row>
    <x:row r="99" ht="18" customHeight="1">
      <x:c r="A99" t="str">
        <x:v>DHR-00098</x:v>
      </x:c>
      <x:c r="B99" t="str">
        <x:v>Casey Martinez</x:v>
      </x:c>
      <x:c r="C99" t="str">
        <x:v>https://api.dicebear.com/9.x/adventurer/png?seed=DHR-00098-Casey%20Martinez&amp;size=256&amp;radius=50&amp;backgroundColor=b6e3f4,c0aede,d1d4f9,ffd5dc,ffdfbf</x:v>
      </x:c>
      <x:c r="D99" t="str">
        <x:v>casey.martinez.098@example.com</x:v>
      </x:c>
      <x:c r="E99" t="str">
        <x:v>+1 (312) 555-0197</x:v>
      </x:c>
      <x:c r="F99" t="str">
        <x:v>Chicago, IL</x:v>
      </x:c>
      <x:c r="G99" t="str">
        <x:v>Chicago</x:v>
      </x:c>
      <x:c r="H99" t="str">
        <x:v>IL</x:v>
      </x:c>
      <x:c r="I99" s="18" t="str">
        <x:v>60601</x:v>
      </x:c>
      <x:c r="J99" s="15" t="n">
        <x:v>34211.9158499537</x:v>
      </x:c>
      <x:c r="K99" t="n">
        <x:f>INT((DATE(2025,12,31)-J99)/365.25)</x:f>
        <x:v>32</x:v>
      </x:c>
      <x:c r="L99" t="str">
        <x:f>IF(K99&lt;25,"18-24",IF(K99&lt;35,"25-34",IF(K99&lt;45,"35-44",IF(K99&lt;55,"45-54","55+"))))</x:f>
        <x:v>25-34</x:v>
      </x:c>
      <x:c r="M99" s="15" t="n">
        <x:v>45613.71481826389</x:v>
      </x:c>
      <x:c r="N99" t="n">
        <x:f>(YEAR(DATE(2025,12,31))-YEAR(M99))*12+MONTH(DATE(2025,12,31))-MONTH(M99)</x:f>
        <x:v>13</x:v>
      </x:c>
      <x:c r="O99" t="str">
        <x:v>PAUSED</x:v>
      </x:c>
      <x:c r="P99" t="str">
        <x:v>INDEPENDENT_CONTRACTOR</x:v>
      </x:c>
      <x:c r="Q99" t="str">
        <x:v>E_BIKE</x:v>
      </x:c>
      <x:c r="R99" t="str">
        <x:v>WEEKENDS</x:v>
      </x:c>
      <x:c r="S99" t="n">
        <x:v>42</x:v>
      </x:c>
      <x:c r="T99" t="str">
        <x:v>CLEARED</x:v>
      </x:c>
      <x:c r="U99" t="str">
        <x:v>NOT_REQUIRED</x:v>
      </x:c>
      <x:c r="V99" s="16" t="n">
        <x:v>0.9899</x:v>
      </x:c>
      <x:c r="W99" t="str">
        <x:v>English</x:v>
      </x:c>
      <x:c r="X99"/>
      <x:c r="Y99" t="n">
        <x:v>937</x:v>
      </x:c>
      <x:c r="Z99" s="17" t="n">
        <x:v>4.37</x:v>
      </x:c>
      <x:c r="AA99" s="16" t="n">
        <x:v>0.7728</x:v>
      </x:c>
      <x:c r="AB99" s="16" t="n">
        <x:v>0.9828</x:v>
      </x:c>
      <x:c r="AC99" s="16" t="n">
        <x:v>0.9507</x:v>
      </x:c>
      <x:c r="AD99" t="n">
        <x:v>0</x:v>
      </x:c>
      <x:c r="AE99" t="str">
        <x:f>IF(O99&lt;&gt;"ACTIVE","NOT_RATED",IF(AND(Z99&gt;=4.8,AB99&gt;=0.97,AC99&gt;=0.93,AD99=0),"ELITE",IF(AND(Z99&gt;=4.6,AB99&gt;=0.94,AC99&gt;=0.88),"HIGH_PERFORMER",IF(OR(Z99&lt;4.2,AB99&lt;0.85,AD99&gt;=2),"AT_RISK","STANDARD"))))</x:f>
        <x:v>NOT_RATED</x:v>
      </x:c>
      <x:c r="AF99" s="15" t="n">
        <x:v>45972</x:v>
      </x:c>
      <x:c r="AG99" t="str">
        <x:v>VERIFIED</x:v>
      </x:c>
      <x:c r="AH99" t="str">
        <x:v>COMPLETE</x:v>
      </x:c>
      <x:c r="AI99" t="str">
        <x:v>Drew Martin</x:v>
      </x:c>
      <x:c r="AJ99" t="str">
        <x:v>SIBLING</x:v>
      </x:c>
      <x:c r="AK99" t="str">
        <x:v>+1 (312) 555-0102</x:v>
      </x:c>
    </x:row>
    <x:row r="100" ht="18" customHeight="1">
      <x:c r="A100" t="str">
        <x:v>DHR-00099</x:v>
      </x:c>
      <x:c r="B100" t="str">
        <x:v>Casey Miller</x:v>
      </x:c>
      <x:c r="C100" t="str">
        <x:v>https://api.dicebear.com/9.x/adventurer/png?seed=DHR-00099-Casey%20Miller&amp;size=256&amp;radius=50&amp;backgroundColor=b6e3f4,c0aede,d1d4f9,ffd5dc,ffdfbf</x:v>
      </x:c>
      <x:c r="D100" t="str">
        <x:v>casey.miller.099@example.com</x:v>
      </x:c>
      <x:c r="E100" t="str">
        <x:v>+1 (212) 555-0198</x:v>
      </x:c>
      <x:c r="F100" t="str">
        <x:v>New York, NY</x:v>
      </x:c>
      <x:c r="G100" t="str">
        <x:v>New York</x:v>
      </x:c>
      <x:c r="H100" t="str">
        <x:v>NY</x:v>
      </x:c>
      <x:c r="I100" s="18" t="str">
        <x:v>10001</x:v>
      </x:c>
      <x:c r="J100" s="15" t="n">
        <x:v>32317.20483460648</x:v>
      </x:c>
      <x:c r="K100" t="n">
        <x:f>INT((DATE(2025,12,31)-J100)/365.25)</x:f>
        <x:v>37</x:v>
      </x:c>
      <x:c r="L100" t="str">
        <x:f>IF(K100&lt;25,"18-24",IF(K100&lt;35,"25-34",IF(K100&lt;45,"35-44",IF(K100&lt;55,"45-54","55+"))))</x:f>
        <x:v>35-44</x:v>
      </x:c>
      <x:c r="M100" s="15" t="n">
        <x:v>44784.98532090278</x:v>
      </x:c>
      <x:c r="N100" t="n">
        <x:f>(YEAR(DATE(2025,12,31))-YEAR(M100))*12+MONTH(DATE(2025,12,31))-MONTH(M100)</x:f>
        <x:v>40</x:v>
      </x:c>
      <x:c r="O100" t="str">
        <x:v>ACTIVE</x:v>
      </x:c>
      <x:c r="P100" t="str">
        <x:v>INDEPENDENT_CONTRACTOR</x:v>
      </x:c>
      <x:c r="Q100" t="str">
        <x:v>CAR</x:v>
      </x:c>
      <x:c r="R100" t="str">
        <x:v>FLEXIBLE</x:v>
      </x:c>
      <x:c r="S100" t="n">
        <x:v>23</x:v>
      </x:c>
      <x:c r="T100" t="str">
        <x:v>REVIEW_REQUIRED</x:v>
      </x:c>
      <x:c r="U100" t="str">
        <x:v>VALID</x:v>
      </x:c>
      <x:c r="V100" s="16" t="n">
        <x:v>0.9771</x:v>
      </x:c>
      <x:c r="W100" t="str">
        <x:v>Spanish</x:v>
      </x:c>
      <x:c r="X100"/>
      <x:c r="Y100" t="n">
        <x:v>1980</x:v>
      </x:c>
      <x:c r="Z100" s="17" t="n">
        <x:v>4.22</x:v>
      </x:c>
      <x:c r="AA100" s="16" t="n">
        <x:v>0.8993</x:v>
      </x:c>
      <x:c r="AB100" s="16" t="n">
        <x:v>0.8796</x:v>
      </x:c>
      <x:c r="AC100" s="16" t="n">
        <x:v>0.9806</x:v>
      </x:c>
      <x:c r="AD100" t="n">
        <x:v>0</x:v>
      </x:c>
      <x:c r="AE100" t="str">
        <x:f>IF(O100&lt;&gt;"ACTIVE","NOT_RATED",IF(AND(Z100&gt;=4.8,AB100&gt;=0.97,AC100&gt;=0.93,AD100=0),"ELITE",IF(AND(Z100&gt;=4.6,AB100&gt;=0.94,AC100&gt;=0.88),"HIGH_PERFORMER",IF(OR(Z100&lt;4.2,AB100&lt;0.85,AD100&gt;=2),"AT_RISK","STANDARD"))))</x:f>
        <x:v>STANDARD</x:v>
      </x:c>
      <x:c r="AF100" s="15" t="n">
        <x:v>46020</x:v>
      </x:c>
      <x:c r="AG100" t="str">
        <x:v>VERIFIED</x:v>
      </x:c>
      <x:c r="AH100" t="str">
        <x:v>COMPLETE</x:v>
      </x:c>
      <x:c r="AI100" t="str">
        <x:v>Skyler Walker</x:v>
      </x:c>
      <x:c r="AJ100" t="str">
        <x:v>PARENT</x:v>
      </x:c>
      <x:c r="AK100" t="str">
        <x:v>+1 (212) 555-0109</x:v>
      </x:c>
    </x:row>
    <x:row r="101" ht="18" customHeight="1">
      <x:c r="A101" t="str">
        <x:v>DHR-00100</x:v>
      </x:c>
      <x:c r="B101" t="str">
        <x:v>Casey Moore</x:v>
      </x:c>
      <x:c r="C101" t="str">
        <x:v>https://api.dicebear.com/9.x/adventurer/png?seed=DHR-00100-Casey%20Moore&amp;size=256&amp;radius=50&amp;backgroundColor=b6e3f4,c0aede,d1d4f9,ffd5dc,ffdfbf</x:v>
      </x:c>
      <x:c r="D101" t="str">
        <x:v>casey.moore.100@example.com</x:v>
      </x:c>
      <x:c r="E101" t="str">
        <x:v>+1 (206) 555-0199</x:v>
      </x:c>
      <x:c r="F101" t="str">
        <x:v>Seattle, WA</x:v>
      </x:c>
      <x:c r="G101" t="str">
        <x:v>Seattle</x:v>
      </x:c>
      <x:c r="H101" t="str">
        <x:v>WA</x:v>
      </x:c>
      <x:c r="I101" s="18" t="str">
        <x:v>98101</x:v>
      </x:c>
      <x:c r="J101" s="15" t="n">
        <x:v>36118.757776099534</x:v>
      </x:c>
      <x:c r="K101" t="n">
        <x:f>INT((DATE(2025,12,31)-J101)/365.25)</x:f>
        <x:v>27</x:v>
      </x:c>
      <x:c r="L101" t="str">
        <x:f>IF(K101&lt;25,"18-24",IF(K101&lt;35,"25-34",IF(K101&lt;45,"35-44",IF(K101&lt;55,"45-54","55+"))))</x:f>
        <x:v>25-34</x:v>
      </x:c>
      <x:c r="M101" s="15" t="n">
        <x:v>44853.39555628472</x:v>
      </x:c>
      <x:c r="N101" t="n">
        <x:f>(YEAR(DATE(2025,12,31))-YEAR(M101))*12+MONTH(DATE(2025,12,31))-MONTH(M101)</x:f>
        <x:v>38</x:v>
      </x:c>
      <x:c r="O101" t="str">
        <x:v>OFFBOARDED</x:v>
      </x:c>
      <x:c r="P101" t="str">
        <x:v>INDEPENDENT_CONTRACTOR</x:v>
      </x:c>
      <x:c r="Q101" t="str">
        <x:v>CAR</x:v>
      </x:c>
      <x:c r="R101" t="str">
        <x:v>LUNCH</x:v>
      </x:c>
      <x:c r="S101" t="n">
        <x:v>8</x:v>
      </x:c>
      <x:c r="T101" t="str">
        <x:v>EXPIRED</x:v>
      </x:c>
      <x:c r="U101" t="str">
        <x:v>VALID</x:v>
      </x:c>
      <x:c r="V101" s="16" t="n">
        <x:v>0.7442</x:v>
      </x:c>
      <x:c r="W101" t="str">
        <x:v>English</x:v>
      </x:c>
      <x:c r="X101" t="str">
        <x:v>Spanish</x:v>
      </x:c>
      <x:c r="Y101" t="n">
        <x:v>1356</x:v>
      </x:c>
      <x:c r="Z101" s="17" t="n">
        <x:v>4.47</x:v>
      </x:c>
      <x:c r="AA101" s="16" t="n">
        <x:v>0.6583</x:v>
      </x:c>
      <x:c r="AB101" s="16" t="n">
        <x:v>0.8821</x:v>
      </x:c>
      <x:c r="AC101" s="16" t="n">
        <x:v>0.821</x:v>
      </x:c>
      <x:c r="AD101" t="n">
        <x:v>0</x:v>
      </x:c>
      <x:c r="AE101" t="str">
        <x:f>IF(O101&lt;&gt;"ACTIVE","NOT_RATED",IF(AND(Z101&gt;=4.8,AB101&gt;=0.97,AC101&gt;=0.93,AD101=0),"ELITE",IF(AND(Z101&gt;=4.6,AB101&gt;=0.94,AC101&gt;=0.88),"HIGH_PERFORMER",IF(OR(Z101&lt;4.2,AB101&lt;0.85,AD101&gt;=2),"AT_RISK","STANDARD"))))</x:f>
        <x:v>NOT_RATED</x:v>
      </x:c>
      <x:c r="AF101" s="15" t="n">
        <x:v>45402</x:v>
      </x:c>
      <x:c r="AG101" t="str">
        <x:v>VERIFIED</x:v>
      </x:c>
      <x:c r="AH101" t="str">
        <x:v>COMPLETE</x:v>
      </x:c>
      <x:c r="AI101" t="str">
        <x:v>Skyler Walker</x:v>
      </x:c>
      <x:c r="AJ101" t="str">
        <x:v>PARENT</x:v>
      </x:c>
      <x:c r="AK101" t="str">
        <x:v>+1 (206) 555-0116</x:v>
      </x:c>
    </x:row>
    <x:row r="102" ht="18" customHeight="1">
      <x:c r="A102" t="str">
        <x:v>DHR-00101</x:v>
      </x:c>
      <x:c r="B102" t="str">
        <x:v>Casey Rodriguez</x:v>
      </x:c>
      <x:c r="C102" t="str">
        <x:v>https://api.dicebear.com/9.x/adventurer/png?seed=DHR-00101-Casey%20Rodriguez&amp;size=256&amp;radius=50&amp;backgroundColor=b6e3f4,c0aede,d1d4f9,ffd5dc,ffdfbf</x:v>
      </x:c>
      <x:c r="D102" t="str">
        <x:v>casey.rodriguez.101@example.com</x:v>
      </x:c>
      <x:c r="E102" t="str">
        <x:v>+1 (312) 555-0100</x:v>
      </x:c>
      <x:c r="F102" t="str">
        <x:v>Chicago, IL</x:v>
      </x:c>
      <x:c r="G102" t="str">
        <x:v>Chicago</x:v>
      </x:c>
      <x:c r="H102" t="str">
        <x:v>IL</x:v>
      </x:c>
      <x:c r="I102" s="18" t="str">
        <x:v>60601</x:v>
      </x:c>
      <x:c r="J102" s="15" t="n">
        <x:v>32629.67799582176</x:v>
      </x:c>
      <x:c r="K102" t="n">
        <x:f>INT((DATE(2025,12,31)-J102)/365.25)</x:f>
        <x:v>36</x:v>
      </x:c>
      <x:c r="L102" t="str">
        <x:f>IF(K102&lt;25,"18-24",IF(K102&lt;35,"25-34",IF(K102&lt;45,"35-44",IF(K102&lt;55,"45-54","55+"))))</x:f>
        <x:v>35-44</x:v>
      </x:c>
      <x:c r="M102" s="15" t="n">
        <x:v>45061.6543325</x:v>
      </x:c>
      <x:c r="N102" t="n">
        <x:f>(YEAR(DATE(2025,12,31))-YEAR(M102))*12+MONTH(DATE(2025,12,31))-MONTH(M102)</x:f>
        <x:v>31</x:v>
      </x:c>
      <x:c r="O102" t="str">
        <x:v>ACTIVE</x:v>
      </x:c>
      <x:c r="P102" t="str">
        <x:v>INDEPENDENT_CONTRACTOR</x:v>
      </x:c>
      <x:c r="Q102" t="str">
        <x:v>CAR</x:v>
      </x:c>
      <x:c r="R102" t="str">
        <x:v>WEEKENDS</x:v>
      </x:c>
      <x:c r="S102" t="n">
        <x:v>40</x:v>
      </x:c>
      <x:c r="T102" t="str">
        <x:v>CLEARED</x:v>
      </x:c>
      <x:c r="U102" t="str">
        <x:v>VALID</x:v>
      </x:c>
      <x:c r="V102" s="16" t="n">
        <x:v>0.8056</x:v>
      </x:c>
      <x:c r="W102" t="str">
        <x:v>Spanish</x:v>
      </x:c>
      <x:c r="X102"/>
      <x:c r="Y102" t="n">
        <x:v>4242</x:v>
      </x:c>
      <x:c r="Z102" s="17" t="n">
        <x:v>4.8</x:v>
      </x:c>
      <x:c r="AA102" s="16" t="n">
        <x:v>0.7405</x:v>
      </x:c>
      <x:c r="AB102" s="16" t="n">
        <x:v>0.9018</x:v>
      </x:c>
      <x:c r="AC102" s="16" t="n">
        <x:v>0.9511</x:v>
      </x:c>
      <x:c r="AD102" t="n">
        <x:v>0</x:v>
      </x:c>
      <x:c r="AE102" t="str">
        <x:f>IF(O102&lt;&gt;"ACTIVE","NOT_RATED",IF(AND(Z102&gt;=4.8,AB102&gt;=0.97,AC102&gt;=0.93,AD102=0),"ELITE",IF(AND(Z102&gt;=4.6,AB102&gt;=0.94,AC102&gt;=0.88),"HIGH_PERFORMER",IF(OR(Z102&lt;4.2,AB102&lt;0.85,AD102&gt;=2),"AT_RISK","STANDARD"))))</x:f>
        <x:v>STANDARD</x:v>
      </x:c>
      <x:c r="AF102" s="15" t="n">
        <x:v>46013</x:v>
      </x:c>
      <x:c r="AG102" t="str">
        <x:v>VERIFIED</x:v>
      </x:c>
      <x:c r="AH102" t="str">
        <x:v>COMPLETE</x:v>
      </x:c>
      <x:c r="AI102" t="str">
        <x:v>Emma Lewis</x:v>
      </x:c>
      <x:c r="AJ102" t="str">
        <x:v>PARENT</x:v>
      </x:c>
      <x:c r="AK102" t="str">
        <x:v>+1 (312) 555-0123</x:v>
      </x:c>
    </x:row>
    <x:row r="103" ht="18" customHeight="1">
      <x:c r="A103" t="str">
        <x:v>DHR-00102</x:v>
      </x:c>
      <x:c r="B103" t="str">
        <x:v>Casey Taylor</x:v>
      </x:c>
      <x:c r="C103" t="str">
        <x:v>https://api.dicebear.com/9.x/adventurer/png?seed=DHR-00102-Casey%20Taylor&amp;size=256&amp;radius=50&amp;backgroundColor=b6e3f4,c0aede,d1d4f9,ffd5dc,ffdfbf</x:v>
      </x:c>
      <x:c r="D103" t="str">
        <x:v>casey.taylor.102@example.com</x:v>
      </x:c>
      <x:c r="E103" t="str">
        <x:v>+1 (617) 555-0101</x:v>
      </x:c>
      <x:c r="F103" t="str">
        <x:v>Boston, MA</x:v>
      </x:c>
      <x:c r="G103" t="str">
        <x:v>Boston</x:v>
      </x:c>
      <x:c r="H103" t="str">
        <x:v>MA</x:v>
      </x:c>
      <x:c r="I103" s="18" t="str">
        <x:v>02108</x:v>
      </x:c>
      <x:c r="J103" s="15" t="n">
        <x:v>29194.100482037036</x:v>
      </x:c>
      <x:c r="K103" t="n">
        <x:f>INT((DATE(2025,12,31)-J103)/365.25)</x:f>
        <x:v>46</x:v>
      </x:c>
      <x:c r="L103" t="str">
        <x:f>IF(K103&lt;25,"18-24",IF(K103&lt;35,"25-34",IF(K103&lt;45,"35-44",IF(K103&lt;55,"45-54","55+"))))</x:f>
        <x:v>45-54</x:v>
      </x:c>
      <x:c r="M103" s="15" t="n">
        <x:v>45679.76215475694</x:v>
      </x:c>
      <x:c r="N103" t="n">
        <x:f>(YEAR(DATE(2025,12,31))-YEAR(M103))*12+MONTH(DATE(2025,12,31))-MONTH(M103)</x:f>
        <x:v>11</x:v>
      </x:c>
      <x:c r="O103" t="str">
        <x:v>ACTIVE</x:v>
      </x:c>
      <x:c r="P103" t="str">
        <x:v>INDEPENDENT_CONTRACTOR</x:v>
      </x:c>
      <x:c r="Q103" t="str">
        <x:v>CAR</x:v>
      </x:c>
      <x:c r="R103" t="str">
        <x:v>FLEXIBLE</x:v>
      </x:c>
      <x:c r="S103" t="n">
        <x:v>22</x:v>
      </x:c>
      <x:c r="T103" t="str">
        <x:v>CLEARED</x:v>
      </x:c>
      <x:c r="U103" t="str">
        <x:v>VALID</x:v>
      </x:c>
      <x:c r="V103" s="16" t="n">
        <x:v>0.8872</x:v>
      </x:c>
      <x:c r="W103" t="str">
        <x:v>Spanish</x:v>
      </x:c>
      <x:c r="X103"/>
      <x:c r="Y103" t="n">
        <x:v>651</x:v>
      </x:c>
      <x:c r="Z103" s="17" t="n">
        <x:v>4.6</x:v>
      </x:c>
      <x:c r="AA103" s="16" t="n">
        <x:v>0.813</x:v>
      </x:c>
      <x:c r="AB103" s="16" t="n">
        <x:v>0.8892</x:v>
      </x:c>
      <x:c r="AC103" s="16" t="n">
        <x:v>0.956</x:v>
      </x:c>
      <x:c r="AD103" t="n">
        <x:v>2</x:v>
      </x:c>
      <x:c r="AE103" t="str">
        <x:f>IF(O103&lt;&gt;"ACTIVE","NOT_RATED",IF(AND(Z103&gt;=4.8,AB103&gt;=0.97,AC103&gt;=0.93,AD103=0),"ELITE",IF(AND(Z103&gt;=4.6,AB103&gt;=0.94,AC103&gt;=0.88),"HIGH_PERFORMER",IF(OR(Z103&lt;4.2,AB103&lt;0.85,AD103&gt;=2),"AT_RISK","STANDARD"))))</x:f>
        <x:v>AT_RISK</x:v>
      </x:c>
      <x:c r="AF103" s="15" t="n">
        <x:v>46015</x:v>
      </x:c>
      <x:c r="AG103" t="str">
        <x:v>PENDING</x:v>
      </x:c>
      <x:c r="AH103" t="str">
        <x:v>COMPLETE</x:v>
      </x:c>
      <x:c r="AI103" t="str">
        <x:v>Morgan Young</x:v>
      </x:c>
      <x:c r="AJ103" t="str">
        <x:v>PARENT</x:v>
      </x:c>
      <x:c r="AK103" t="str">
        <x:v>+1 (617) 555-0130</x:v>
      </x:c>
    </x:row>
    <x:row r="104" ht="18" customHeight="1">
      <x:c r="A104" t="str">
        <x:v>DHR-00103</x:v>
      </x:c>
      <x:c r="B104" t="str">
        <x:v>Casey Thomas</x:v>
      </x:c>
      <x:c r="C104" t="str">
        <x:v>https://api.dicebear.com/9.x/adventurer/png?seed=DHR-00103-Casey%20Thomas&amp;size=256&amp;radius=50&amp;backgroundColor=b6e3f4,c0aede,d1d4f9,ffd5dc,ffdfbf</x:v>
      </x:c>
      <x:c r="D104" t="str">
        <x:v>casey.thomas.103@example.com</x:v>
      </x:c>
      <x:c r="E104" t="str">
        <x:v>+1 (312) 555-0102</x:v>
      </x:c>
      <x:c r="F104" t="str">
        <x:v>Chicago, IL</x:v>
      </x:c>
      <x:c r="G104" t="str">
        <x:v>Chicago</x:v>
      </x:c>
      <x:c r="H104" t="str">
        <x:v>IL</x:v>
      </x:c>
      <x:c r="I104" s="18" t="str">
        <x:v>60601</x:v>
      </x:c>
      <x:c r="J104" s="15" t="n">
        <x:v>36266.11093792824</x:v>
      </x:c>
      <x:c r="K104" t="n">
        <x:f>INT((DATE(2025,12,31)-J104)/365.25)</x:f>
        <x:v>26</x:v>
      </x:c>
      <x:c r="L104" t="str">
        <x:f>IF(K104&lt;25,"18-24",IF(K104&lt;35,"25-34",IF(K104&lt;45,"35-44",IF(K104&lt;55,"45-54","55+"))))</x:f>
        <x:v>25-34</x:v>
      </x:c>
      <x:c r="M104" s="15" t="n">
        <x:v>44068.74107788195</x:v>
      </x:c>
      <x:c r="N104" t="n">
        <x:f>(YEAR(DATE(2025,12,31))-YEAR(M104))*12+MONTH(DATE(2025,12,31))-MONTH(M104)</x:f>
        <x:v>64</x:v>
      </x:c>
      <x:c r="O104" t="str">
        <x:v>ACTIVE</x:v>
      </x:c>
      <x:c r="P104" t="str">
        <x:v>INDEPENDENT_CONTRACTOR</x:v>
      </x:c>
      <x:c r="Q104" t="str">
        <x:v>SCOOTER</x:v>
      </x:c>
      <x:c r="R104" t="str">
        <x:v>DINNER</x:v>
      </x:c>
      <x:c r="S104" t="n">
        <x:v>15</x:v>
      </x:c>
      <x:c r="T104" t="str">
        <x:v>CLEARED</x:v>
      </x:c>
      <x:c r="U104" t="str">
        <x:v>VALID</x:v>
      </x:c>
      <x:c r="V104" s="16" t="n">
        <x:v>0.8618</x:v>
      </x:c>
      <x:c r="W104" t="str">
        <x:v>English</x:v>
      </x:c>
      <x:c r="X104" t="str">
        <x:v>Spanish</x:v>
      </x:c>
      <x:c r="Y104" t="n">
        <x:v>3280</x:v>
      </x:c>
      <x:c r="Z104" s="17" t="n">
        <x:v>4.85</x:v>
      </x:c>
      <x:c r="AA104" s="16" t="n">
        <x:v>0.8745</x:v>
      </x:c>
      <x:c r="AB104" s="16" t="n">
        <x:v>0.918</x:v>
      </x:c>
      <x:c r="AC104" s="16" t="n">
        <x:v>0.9</x:v>
      </x:c>
      <x:c r="AD104" t="n">
        <x:v>0</x:v>
      </x:c>
      <x:c r="AE104" t="str">
        <x:f>IF(O104&lt;&gt;"ACTIVE","NOT_RATED",IF(AND(Z104&gt;=4.8,AB104&gt;=0.97,AC104&gt;=0.93,AD104=0),"ELITE",IF(AND(Z104&gt;=4.6,AB104&gt;=0.94,AC104&gt;=0.88),"HIGH_PERFORMER",IF(OR(Z104&lt;4.2,AB104&lt;0.85,AD104&gt;=2),"AT_RISK","STANDARD"))))</x:f>
        <x:v>STANDARD</x:v>
      </x:c>
      <x:c r="AF104" s="15" t="n">
        <x:v>46011</x:v>
      </x:c>
      <x:c r="AG104" t="str">
        <x:v>VERIFIED</x:v>
      </x:c>
      <x:c r="AH104" t="str">
        <x:v>COMPLETE</x:v>
      </x:c>
      <x:c r="AI104" t="str">
        <x:v>Drew White</x:v>
      </x:c>
      <x:c r="AJ104" t="str">
        <x:v>FRIEND</x:v>
      </x:c>
      <x:c r="AK104" t="str">
        <x:v>+1 (312) 555-0137</x:v>
      </x:c>
    </x:row>
    <x:row r="105" ht="18" customHeight="1">
      <x:c r="A105" t="str">
        <x:v>DHR-00104</x:v>
      </x:c>
      <x:c r="B105" t="str">
        <x:v>Casey Thompson</x:v>
      </x:c>
      <x:c r="C105" t="str">
        <x:v>https://api.dicebear.com/9.x/adventurer/png?seed=DHR-00104-Casey%20Thompson&amp;size=256&amp;radius=50&amp;backgroundColor=b6e3f4,c0aede,d1d4f9,ffd5dc,ffdfbf</x:v>
      </x:c>
      <x:c r="D105" t="str">
        <x:v>casey.thompson.104@example.com</x:v>
      </x:c>
      <x:c r="E105" t="str">
        <x:v>+1 (305) 555-0103</x:v>
      </x:c>
      <x:c r="F105" t="str">
        <x:v>Miami, FL</x:v>
      </x:c>
      <x:c r="G105" t="str">
        <x:v>Miami</x:v>
      </x:c>
      <x:c r="H105" t="str">
        <x:v>FL</x:v>
      </x:c>
      <x:c r="I105" s="18" t="str">
        <x:v>33130</x:v>
      </x:c>
      <x:c r="J105" s="15" t="n">
        <x:v>26229.42280909722</x:v>
      </x:c>
      <x:c r="K105" t="n">
        <x:f>INT((DATE(2025,12,31)-J105)/365.25)</x:f>
        <x:v>54</x:v>
      </x:c>
      <x:c r="L105" t="str">
        <x:f>IF(K105&lt;25,"18-24",IF(K105&lt;35,"25-34",IF(K105&lt;45,"35-44",IF(K105&lt;55,"45-54","55+"))))</x:f>
        <x:v>45-54</x:v>
      </x:c>
      <x:c r="M105" s="15" t="n">
        <x:v>43499.408170173614</x:v>
      </x:c>
      <x:c r="N105" t="n">
        <x:f>(YEAR(DATE(2025,12,31))-YEAR(M105))*12+MONTH(DATE(2025,12,31))-MONTH(M105)</x:f>
        <x:v>82</x:v>
      </x:c>
      <x:c r="O105" t="str">
        <x:v>ACTIVE</x:v>
      </x:c>
      <x:c r="P105" t="str">
        <x:v>INDEPENDENT_CONTRACTOR</x:v>
      </x:c>
      <x:c r="Q105" t="str">
        <x:v>CAR</x:v>
      </x:c>
      <x:c r="R105" t="str">
        <x:v>FLEXIBLE</x:v>
      </x:c>
      <x:c r="S105" t="n">
        <x:v>46</x:v>
      </x:c>
      <x:c r="T105" t="str">
        <x:v>CLEARED</x:v>
      </x:c>
      <x:c r="U105" t="str">
        <x:v>VALID</x:v>
      </x:c>
      <x:c r="V105" s="16" t="n">
        <x:v>0.9863</x:v>
      </x:c>
      <x:c r="W105" t="str">
        <x:v>English</x:v>
      </x:c>
      <x:c r="X105" t="str">
        <x:v>Vietnamese</x:v>
      </x:c>
      <x:c r="Y105" t="n">
        <x:v>14454</x:v>
      </x:c>
      <x:c r="Z105" s="17" t="n">
        <x:v>4.95</x:v>
      </x:c>
      <x:c r="AA105" s="16" t="n">
        <x:v>0.8766</x:v>
      </x:c>
      <x:c r="AB105" s="16" t="n">
        <x:v>0.9398</x:v>
      </x:c>
      <x:c r="AC105" s="16" t="n">
        <x:v>0.8967</x:v>
      </x:c>
      <x:c r="AD105" t="n">
        <x:v>0</x:v>
      </x:c>
      <x:c r="AE105" t="str">
        <x:f>IF(O105&lt;&gt;"ACTIVE","NOT_RATED",IF(AND(Z105&gt;=4.8,AB105&gt;=0.97,AC105&gt;=0.93,AD105=0),"ELITE",IF(AND(Z105&gt;=4.6,AB105&gt;=0.94,AC105&gt;=0.88),"HIGH_PERFORMER",IF(OR(Z105&lt;4.2,AB105&lt;0.85,AD105&gt;=2),"AT_RISK","STANDARD"))))</x:f>
        <x:v>STANDARD</x:v>
      </x:c>
      <x:c r="AF105" s="15" t="n">
        <x:v>46015</x:v>
      </x:c>
      <x:c r="AG105" t="str">
        <x:v>VERIFIED</x:v>
      </x:c>
      <x:c r="AH105" t="str">
        <x:v>COMPLETE</x:v>
      </x:c>
      <x:c r="AI105" t="str">
        <x:v>Jordan Walker</x:v>
      </x:c>
      <x:c r="AJ105" t="str">
        <x:v>PARENT</x:v>
      </x:c>
      <x:c r="AK105" t="str">
        <x:v>+1 (305) 555-0144</x:v>
      </x:c>
    </x:row>
    <x:row r="106" ht="18" customHeight="1">
      <x:c r="A106" t="str">
        <x:v>DHR-00105</x:v>
      </x:c>
      <x:c r="B106" t="str">
        <x:v>Casey Walker</x:v>
      </x:c>
      <x:c r="C106" t="str">
        <x:v>https://api.dicebear.com/9.x/adventurer/png?seed=DHR-00105-Casey%20Walker&amp;size=256&amp;radius=50&amp;backgroundColor=b6e3f4,c0aede,d1d4f9,ffd5dc,ffdfbf</x:v>
      </x:c>
      <x:c r="D106" t="str">
        <x:v>casey.walker.105@example.com</x:v>
      </x:c>
      <x:c r="E106" t="str">
        <x:v>+1 (212) 555-0104</x:v>
      </x:c>
      <x:c r="F106" t="str">
        <x:v>New York, NY</x:v>
      </x:c>
      <x:c r="G106" t="str">
        <x:v>New York</x:v>
      </x:c>
      <x:c r="H106" t="str">
        <x:v>NY</x:v>
      </x:c>
      <x:c r="I106" s="18" t="str">
        <x:v>10001</x:v>
      </x:c>
      <x:c r="J106" s="15" t="n">
        <x:v>29157.514417754628</x:v>
      </x:c>
      <x:c r="K106" t="n">
        <x:f>INT((DATE(2025,12,31)-J106)/365.25)</x:f>
        <x:v>46</x:v>
      </x:c>
      <x:c r="L106" t="str">
        <x:f>IF(K106&lt;25,"18-24",IF(K106&lt;35,"25-34",IF(K106&lt;45,"35-44",IF(K106&lt;55,"45-54","55+"))))</x:f>
        <x:v>45-54</x:v>
      </x:c>
      <x:c r="M106" s="15" t="n">
        <x:v>44546.96623773148</x:v>
      </x:c>
      <x:c r="N106" t="n">
        <x:f>(YEAR(DATE(2025,12,31))-YEAR(M106))*12+MONTH(DATE(2025,12,31))-MONTH(M106)</x:f>
        <x:v>48</x:v>
      </x:c>
      <x:c r="O106" t="str">
        <x:v>ACTIVE</x:v>
      </x:c>
      <x:c r="P106" t="str">
        <x:v>INDEPENDENT_CONTRACTOR</x:v>
      </x:c>
      <x:c r="Q106" t="str">
        <x:v>BICYCLE</x:v>
      </x:c>
      <x:c r="R106" t="str">
        <x:v>FLEXIBLE</x:v>
      </x:c>
      <x:c r="S106" t="n">
        <x:v>18</x:v>
      </x:c>
      <x:c r="T106" t="str">
        <x:v>CLEARED</x:v>
      </x:c>
      <x:c r="U106" t="str">
        <x:v>NOT_REQUIRED</x:v>
      </x:c>
      <x:c r="V106" s="16" t="n">
        <x:v>0.9207</x:v>
      </x:c>
      <x:c r="W106" t="str">
        <x:v>English</x:v>
      </x:c>
      <x:c r="X106"/>
      <x:c r="Y106" t="n">
        <x:v>2030</x:v>
      </x:c>
      <x:c r="Z106" s="17" t="n">
        <x:v>4.86</x:v>
      </x:c>
      <x:c r="AA106" s="16" t="n">
        <x:v>0.7229</x:v>
      </x:c>
      <x:c r="AB106" s="16" t="n">
        <x:v>0.9449</x:v>
      </x:c>
      <x:c r="AC106" s="16" t="n">
        <x:v>0.8504</x:v>
      </x:c>
      <x:c r="AD106" t="n">
        <x:v>0</x:v>
      </x:c>
      <x:c r="AE106" t="str">
        <x:f>IF(O106&lt;&gt;"ACTIVE","NOT_RATED",IF(AND(Z106&gt;=4.8,AB106&gt;=0.97,AC106&gt;=0.93,AD106=0),"ELITE",IF(AND(Z106&gt;=4.6,AB106&gt;=0.94,AC106&gt;=0.88),"HIGH_PERFORMER",IF(OR(Z106&lt;4.2,AB106&lt;0.85,AD106&gt;=2),"AT_RISK","STANDARD"))))</x:f>
        <x:v>STANDARD</x:v>
      </x:c>
      <x:c r="AF106" s="15" t="n">
        <x:v>46013</x:v>
      </x:c>
      <x:c r="AG106" t="str">
        <x:v>VERIFIED</x:v>
      </x:c>
      <x:c r="AH106" t="str">
        <x:v>COMPLETE</x:v>
      </x:c>
      <x:c r="AI106" t="str">
        <x:v>Parker Miller</x:v>
      </x:c>
      <x:c r="AJ106" t="str">
        <x:v>PARENT</x:v>
      </x:c>
      <x:c r="AK106" t="str">
        <x:v>+1 (212) 555-0151</x:v>
      </x:c>
    </x:row>
    <x:row r="107" ht="18" customHeight="1">
      <x:c r="A107" t="str">
        <x:v>DHR-00106</x:v>
      </x:c>
      <x:c r="B107" t="str">
        <x:v>Casey Williams</x:v>
      </x:c>
      <x:c r="C107" t="str">
        <x:v>https://api.dicebear.com/9.x/adventurer/png?seed=DHR-00106-Casey%20Williams&amp;size=256&amp;radius=50&amp;backgroundColor=b6e3f4,c0aede,d1d4f9,ffd5dc,ffdfbf</x:v>
      </x:c>
      <x:c r="D107" t="str">
        <x:v>casey.williams.106@example.com</x:v>
      </x:c>
      <x:c r="E107" t="str">
        <x:v>+1 (214) 555-0105</x:v>
      </x:c>
      <x:c r="F107" t="str">
        <x:v>Dallas, TX</x:v>
      </x:c>
      <x:c r="G107" t="str">
        <x:v>Dallas</x:v>
      </x:c>
      <x:c r="H107" t="str">
        <x:v>TX</x:v>
      </x:c>
      <x:c r="I107" s="18" t="str">
        <x:v>75201</x:v>
      </x:c>
      <x:c r="J107" s="15" t="n">
        <x:v>28467.354947939813</x:v>
      </x:c>
      <x:c r="K107" t="n">
        <x:f>INT((DATE(2025,12,31)-J107)/365.25)</x:f>
        <x:v>48</x:v>
      </x:c>
      <x:c r="L107" t="str">
        <x:f>IF(K107&lt;25,"18-24",IF(K107&lt;35,"25-34",IF(K107&lt;45,"35-44",IF(K107&lt;55,"45-54","55+"))))</x:f>
        <x:v>45-54</x:v>
      </x:c>
      <x:c r="M107" s="15" t="n">
        <x:v>45016.774663703705</x:v>
      </x:c>
      <x:c r="N107" t="n">
        <x:f>(YEAR(DATE(2025,12,31))-YEAR(M107))*12+MONTH(DATE(2025,12,31))-MONTH(M107)</x:f>
        <x:v>33</x:v>
      </x:c>
      <x:c r="O107" t="str">
        <x:v>ACTIVE</x:v>
      </x:c>
      <x:c r="P107" t="str">
        <x:v>INDEPENDENT_CONTRACTOR</x:v>
      </x:c>
      <x:c r="Q107" t="str">
        <x:v>CAR</x:v>
      </x:c>
      <x:c r="R107" t="str">
        <x:v>DINNER</x:v>
      </x:c>
      <x:c r="S107" t="n">
        <x:v>41</x:v>
      </x:c>
      <x:c r="T107" t="str">
        <x:v>CLEARED</x:v>
      </x:c>
      <x:c r="U107" t="str">
        <x:v>VALID</x:v>
      </x:c>
      <x:c r="V107" s="16" t="n">
        <x:v>0.9649</x:v>
      </x:c>
      <x:c r="W107" t="str">
        <x:v>Vietnamese</x:v>
      </x:c>
      <x:c r="X107"/>
      <x:c r="Y107" t="n">
        <x:v>4309</x:v>
      </x:c>
      <x:c r="Z107" s="17" t="n">
        <x:v>4.39</x:v>
      </x:c>
      <x:c r="AA107" s="16" t="n">
        <x:v>0.8174</x:v>
      </x:c>
      <x:c r="AB107" s="16" t="n">
        <x:v>0.9895</x:v>
      </x:c>
      <x:c r="AC107" s="16" t="n">
        <x:v>0.8346</x:v>
      </x:c>
      <x:c r="AD107" t="n">
        <x:v>0</x:v>
      </x:c>
      <x:c r="AE107" t="str">
        <x:f>IF(O107&lt;&gt;"ACTIVE","NOT_RATED",IF(AND(Z107&gt;=4.8,AB107&gt;=0.97,AC107&gt;=0.93,AD107=0),"ELITE",IF(AND(Z107&gt;=4.6,AB107&gt;=0.94,AC107&gt;=0.88),"HIGH_PERFORMER",IF(OR(Z107&lt;4.2,AB107&lt;0.85,AD107&gt;=2),"AT_RISK","STANDARD"))))</x:f>
        <x:v>STANDARD</x:v>
      </x:c>
      <x:c r="AF107" s="15" t="n">
        <x:v>46014</x:v>
      </x:c>
      <x:c r="AG107" t="str">
        <x:v>VERIFIED</x:v>
      </x:c>
      <x:c r="AH107" t="str">
        <x:v>COMPLETE</x:v>
      </x:c>
      <x:c r="AI107" t="str">
        <x:v>Casey Jackson</x:v>
      </x:c>
      <x:c r="AJ107" t="str">
        <x:v>SPOUSE_PARTNER</x:v>
      </x:c>
      <x:c r="AK107" t="str">
        <x:v>+1 (214) 555-0158</x:v>
      </x:c>
    </x:row>
    <x:row r="108" ht="18" customHeight="1">
      <x:c r="A108" t="str">
        <x:v>DHR-00107</x:v>
      </x:c>
      <x:c r="B108" t="str">
        <x:v>Casey Wilson</x:v>
      </x:c>
      <x:c r="C108" t="str">
        <x:v>https://api.dicebear.com/9.x/adventurer/png?seed=DHR-00107-Casey%20Wilson&amp;size=256&amp;radius=50&amp;backgroundColor=b6e3f4,c0aede,d1d4f9,ffd5dc,ffdfbf</x:v>
      </x:c>
      <x:c r="D108" t="str">
        <x:v>casey.wilson.107@example.com</x:v>
      </x:c>
      <x:c r="E108" t="str">
        <x:v>+1 (303) 555-0106</x:v>
      </x:c>
      <x:c r="F108" t="str">
        <x:v>Denver, CO</x:v>
      </x:c>
      <x:c r="G108" t="str">
        <x:v>Denver</x:v>
      </x:c>
      <x:c r="H108" t="str">
        <x:v>CO</x:v>
      </x:c>
      <x:c r="I108" s="18" t="str">
        <x:v>80202</x:v>
      </x:c>
      <x:c r="J108" s="15" t="n">
        <x:v>24763.265579664352</x:v>
      </x:c>
      <x:c r="K108" t="n">
        <x:f>INT((DATE(2025,12,31)-J108)/365.25)</x:f>
        <x:v>58</x:v>
      </x:c>
      <x:c r="L108" t="str">
        <x:f>IF(K108&lt;25,"18-24",IF(K108&lt;35,"25-34",IF(K108&lt;45,"35-44",IF(K108&lt;55,"45-54","55+"))))</x:f>
        <x:v>55+</x:v>
      </x:c>
      <x:c r="M108" s="15" t="n">
        <x:v>44980.583648368054</x:v>
      </x:c>
      <x:c r="N108" t="n">
        <x:f>(YEAR(DATE(2025,12,31))-YEAR(M108))*12+MONTH(DATE(2025,12,31))-MONTH(M108)</x:f>
        <x:v>34</x:v>
      </x:c>
      <x:c r="O108" t="str">
        <x:v>ACTIVE</x:v>
      </x:c>
      <x:c r="P108" t="str">
        <x:v>INDEPENDENT_CONTRACTOR</x:v>
      </x:c>
      <x:c r="Q108" t="str">
        <x:v>CAR</x:v>
      </x:c>
      <x:c r="R108" t="str">
        <x:v>WEEKENDS</x:v>
      </x:c>
      <x:c r="S108" t="n">
        <x:v>45</x:v>
      </x:c>
      <x:c r="T108" t="str">
        <x:v>CLEARED</x:v>
      </x:c>
      <x:c r="U108" t="str">
        <x:v>VALID</x:v>
      </x:c>
      <x:c r="V108" s="16" t="n">
        <x:v>0.9236</x:v>
      </x:c>
      <x:c r="W108" t="str">
        <x:v>English</x:v>
      </x:c>
      <x:c r="X108"/>
      <x:c r="Y108" t="n">
        <x:v>4604</x:v>
      </x:c>
      <x:c r="Z108" s="17" t="n">
        <x:v>4.94</x:v>
      </x:c>
      <x:c r="AA108" s="16" t="n">
        <x:v>0.9218</x:v>
      </x:c>
      <x:c r="AB108" s="16" t="n">
        <x:v>0.9285</x:v>
      </x:c>
      <x:c r="AC108" s="16" t="n">
        <x:v>0.9001</x:v>
      </x:c>
      <x:c r="AD108" t="n">
        <x:v>0</x:v>
      </x:c>
      <x:c r="AE108" t="str">
        <x:f>IF(O108&lt;&gt;"ACTIVE","NOT_RATED",IF(AND(Z108&gt;=4.8,AB108&gt;=0.97,AC108&gt;=0.93,AD108=0),"ELITE",IF(AND(Z108&gt;=4.6,AB108&gt;=0.94,AC108&gt;=0.88),"HIGH_PERFORMER",IF(OR(Z108&lt;4.2,AB108&lt;0.85,AD108&gt;=2),"AT_RISK","STANDARD"))))</x:f>
        <x:v>STANDARD</x:v>
      </x:c>
      <x:c r="AF108" s="15" t="n">
        <x:v>46016</x:v>
      </x:c>
      <x:c r="AG108" t="str">
        <x:v>VERIFIED</x:v>
      </x:c>
      <x:c r="AH108" t="str">
        <x:v>COMPLETE</x:v>
      </x:c>
      <x:c r="AI108" t="str">
        <x:v>Chris Lee</x:v>
      </x:c>
      <x:c r="AJ108" t="str">
        <x:v>FRIEND</x:v>
      </x:c>
      <x:c r="AK108" t="str">
        <x:v>+1 (303) 555-0165</x:v>
      </x:c>
    </x:row>
    <x:row r="109" ht="18" customHeight="1">
      <x:c r="A109" t="str">
        <x:v>DHR-00108</x:v>
      </x:c>
      <x:c r="B109" t="str">
        <x:v>Casey Young</x:v>
      </x:c>
      <x:c r="C109" t="str">
        <x:v>https://api.dicebear.com/9.x/adventurer/png?seed=DHR-00108-Casey%20Young&amp;size=256&amp;radius=50&amp;backgroundColor=b6e3f4,c0aede,d1d4f9,ffd5dc,ffdfbf</x:v>
      </x:c>
      <x:c r="D109" t="str">
        <x:v>casey.young.108@example.com</x:v>
      </x:c>
      <x:c r="E109" t="str">
        <x:v>+1 (213) 555-0107</x:v>
      </x:c>
      <x:c r="F109" t="str">
        <x:v>Los Angeles, CA</x:v>
      </x:c>
      <x:c r="G109" t="str">
        <x:v>Los Angeles</x:v>
      </x:c>
      <x:c r="H109" t="str">
        <x:v>CA</x:v>
      </x:c>
      <x:c r="I109" s="18" t="str">
        <x:v>90012</x:v>
      </x:c>
      <x:c r="J109" s="15" t="n">
        <x:v>24452.235510925926</x:v>
      </x:c>
      <x:c r="K109" t="n">
        <x:f>INT((DATE(2025,12,31)-J109)/365.25)</x:f>
        <x:v>59</x:v>
      </x:c>
      <x:c r="L109" t="str">
        <x:f>IF(K109&lt;25,"18-24",IF(K109&lt;35,"25-34",IF(K109&lt;45,"35-44",IF(K109&lt;55,"45-54","55+"))))</x:f>
        <x:v>55+</x:v>
      </x:c>
      <x:c r="M109" s="15" t="n">
        <x:v>44262.09012821759</x:v>
      </x:c>
      <x:c r="N109" t="n">
        <x:f>(YEAR(DATE(2025,12,31))-YEAR(M109))*12+MONTH(DATE(2025,12,31))-MONTH(M109)</x:f>
        <x:v>57</x:v>
      </x:c>
      <x:c r="O109" t="str">
        <x:v>ACTIVE</x:v>
      </x:c>
      <x:c r="P109" t="str">
        <x:v>INDEPENDENT_CONTRACTOR</x:v>
      </x:c>
      <x:c r="Q109" t="str">
        <x:v>CAR</x:v>
      </x:c>
      <x:c r="R109" t="str">
        <x:v>FLEXIBLE</x:v>
      </x:c>
      <x:c r="S109" t="n">
        <x:v>19</x:v>
      </x:c>
      <x:c r="T109" t="str">
        <x:v>CLEARED</x:v>
      </x:c>
      <x:c r="U109" t="str">
        <x:v>VALID</x:v>
      </x:c>
      <x:c r="V109" s="16" t="n">
        <x:v>0.9852</x:v>
      </x:c>
      <x:c r="W109" t="str">
        <x:v>English</x:v>
      </x:c>
      <x:c r="X109"/>
      <x:c r="Y109" t="n">
        <x:v>2929</x:v>
      </x:c>
      <x:c r="Z109" s="17" t="n">
        <x:v>4.85</x:v>
      </x:c>
      <x:c r="AA109" s="16" t="n">
        <x:v>0.8184</x:v>
      </x:c>
      <x:c r="AB109" s="16" t="n">
        <x:v>0.8923</x:v>
      </x:c>
      <x:c r="AC109" s="16" t="n">
        <x:v>0.9097</x:v>
      </x:c>
      <x:c r="AD109" t="n">
        <x:v>0</x:v>
      </x:c>
      <x:c r="AE109" t="str">
        <x:f>IF(O109&lt;&gt;"ACTIVE","NOT_RATED",IF(AND(Z109&gt;=4.8,AB109&gt;=0.97,AC109&gt;=0.93,AD109=0),"ELITE",IF(AND(Z109&gt;=4.6,AB109&gt;=0.94,AC109&gt;=0.88),"HIGH_PERFORMER",IF(OR(Z109&lt;4.2,AB109&lt;0.85,AD109&gt;=2),"AT_RISK","STANDARD"))))</x:f>
        <x:v>STANDARD</x:v>
      </x:c>
      <x:c r="AF109" s="15" t="n">
        <x:v>46008</x:v>
      </x:c>
      <x:c r="AG109" t="str">
        <x:v>VERIFIED</x:v>
      </x:c>
      <x:c r="AH109" t="str">
        <x:v>COMPLETE</x:v>
      </x:c>
      <x:c r="AI109" t="str">
        <x:v>Mia Taylor</x:v>
      </x:c>
      <x:c r="AJ109" t="str">
        <x:v>SPOUSE_PARTNER</x:v>
      </x:c>
      <x:c r="AK109" t="str">
        <x:v>+1 (213) 555-0172</x:v>
      </x:c>
    </x:row>
    <x:row r="110" ht="18" customHeight="1">
      <x:c r="A110" t="str">
        <x:v>DHR-00109</x:v>
      </x:c>
      <x:c r="B110" t="str">
        <x:v>Chris Anderson</x:v>
      </x:c>
      <x:c r="C110" t="str">
        <x:v>https://api.dicebear.com/9.x/adventurer/png?seed=DHR-00109-Chris%20Anderson&amp;size=256&amp;radius=50&amp;backgroundColor=b6e3f4,c0aede,d1d4f9,ffd5dc,ffdfbf</x:v>
      </x:c>
      <x:c r="D110" t="str">
        <x:v>chris.anderson.109@example.com</x:v>
      </x:c>
      <x:c r="E110" t="str">
        <x:v>+1 (619) 555-0108</x:v>
      </x:c>
      <x:c r="F110" t="str">
        <x:v>San Diego, CA</x:v>
      </x:c>
      <x:c r="G110" t="str">
        <x:v>San Diego</x:v>
      </x:c>
      <x:c r="H110" t="str">
        <x:v>CA</x:v>
      </x:c>
      <x:c r="I110" s="18" t="str">
        <x:v>92101</x:v>
      </x:c>
      <x:c r="J110" s="15" t="n">
        <x:v>36049.65832887732</x:v>
      </x:c>
      <x:c r="K110" t="n">
        <x:f>INT((DATE(2025,12,31)-J110)/365.25)</x:f>
        <x:v>27</x:v>
      </x:c>
      <x:c r="L110" t="str">
        <x:f>IF(K110&lt;25,"18-24",IF(K110&lt;35,"25-34",IF(K110&lt;45,"35-44",IF(K110&lt;55,"45-54","55+"))))</x:f>
        <x:v>25-34</x:v>
      </x:c>
      <x:c r="M110" s="15" t="n">
        <x:v>43488.09506168981</x:v>
      </x:c>
      <x:c r="N110" t="n">
        <x:f>(YEAR(DATE(2025,12,31))-YEAR(M110))*12+MONTH(DATE(2025,12,31))-MONTH(M110)</x:f>
        <x:v>83</x:v>
      </x:c>
      <x:c r="O110" t="str">
        <x:v>ACTIVE</x:v>
      </x:c>
      <x:c r="P110" t="str">
        <x:v>INDEPENDENT_CONTRACTOR</x:v>
      </x:c>
      <x:c r="Q110" t="str">
        <x:v>E_BIKE</x:v>
      </x:c>
      <x:c r="R110" t="str">
        <x:v>LUNCH</x:v>
      </x:c>
      <x:c r="S110" t="n">
        <x:v>24</x:v>
      </x:c>
      <x:c r="T110" t="str">
        <x:v>CLEARED</x:v>
      </x:c>
      <x:c r="U110" t="str">
        <x:v>NOT_REQUIRED</x:v>
      </x:c>
      <x:c r="V110" s="16" t="n">
        <x:v>0.922</x:v>
      </x:c>
      <x:c r="W110" t="str">
        <x:v>English</x:v>
      </x:c>
      <x:c r="X110" t="str">
        <x:v>Spanish</x:v>
      </x:c>
      <x:c r="Y110" t="n">
        <x:v>6492</x:v>
      </x:c>
      <x:c r="Z110" s="17" t="n">
        <x:v>4.8</x:v>
      </x:c>
      <x:c r="AA110" s="16" t="n">
        <x:v>0.7314</x:v>
      </x:c>
      <x:c r="AB110" s="16" t="n">
        <x:v>0.8979</x:v>
      </x:c>
      <x:c r="AC110" s="16" t="n">
        <x:v>0.9085</x:v>
      </x:c>
      <x:c r="AD110" t="n">
        <x:v>0</x:v>
      </x:c>
      <x:c r="AE110" t="str">
        <x:f>IF(O110&lt;&gt;"ACTIVE","NOT_RATED",IF(AND(Z110&gt;=4.8,AB110&gt;=0.97,AC110&gt;=0.93,AD110=0),"ELITE",IF(AND(Z110&gt;=4.6,AB110&gt;=0.94,AC110&gt;=0.88),"HIGH_PERFORMER",IF(OR(Z110&lt;4.2,AB110&lt;0.85,AD110&gt;=2),"AT_RISK","STANDARD"))))</x:f>
        <x:v>STANDARD</x:v>
      </x:c>
      <x:c r="AF110" s="15" t="n">
        <x:v>46014</x:v>
      </x:c>
      <x:c r="AG110" t="str">
        <x:v>VERIFIED</x:v>
      </x:c>
      <x:c r="AH110" t="str">
        <x:v>COMPLETE</x:v>
      </x:c>
      <x:c r="AI110" t="str">
        <x:v>Olivia Martin</x:v>
      </x:c>
      <x:c r="AJ110" t="str">
        <x:v>SPOUSE_PARTNER</x:v>
      </x:c>
      <x:c r="AK110" t="str">
        <x:v>+1 (619) 555-0179</x:v>
      </x:c>
    </x:row>
    <x:row r="111" ht="18" customHeight="1">
      <x:c r="A111" t="str">
        <x:v>DHR-00110</x:v>
      </x:c>
      <x:c r="B111" t="str">
        <x:v>Chris Brown</x:v>
      </x:c>
      <x:c r="C111" t="str">
        <x:v>https://api.dicebear.com/9.x/adventurer/png?seed=DHR-00110-Chris%20Brown&amp;size=256&amp;radius=50&amp;backgroundColor=b6e3f4,c0aede,d1d4f9,ffd5dc,ffdfbf</x:v>
      </x:c>
      <x:c r="D111" t="str">
        <x:v>chris.brown.110@example.com</x:v>
      </x:c>
      <x:c r="E111" t="str">
        <x:v>+1 (213) 555-0109</x:v>
      </x:c>
      <x:c r="F111" t="str">
        <x:v>Los Angeles, CA</x:v>
      </x:c>
      <x:c r="G111" t="str">
        <x:v>Los Angeles</x:v>
      </x:c>
      <x:c r="H111" t="str">
        <x:v>CA</x:v>
      </x:c>
      <x:c r="I111" s="18" t="str">
        <x:v>90012</x:v>
      </x:c>
      <x:c r="J111" s="15" t="n">
        <x:v>31171.790517997684</x:v>
      </x:c>
      <x:c r="K111" t="n">
        <x:f>INT((DATE(2025,12,31)-J111)/365.25)</x:f>
        <x:v>40</x:v>
      </x:c>
      <x:c r="L111" t="str">
        <x:f>IF(K111&lt;25,"18-24",IF(K111&lt;35,"25-34",IF(K111&lt;45,"35-44",IF(K111&lt;55,"45-54","55+"))))</x:f>
        <x:v>35-44</x:v>
      </x:c>
      <x:c r="M111" s="15" t="n">
        <x:v>44033.380300046294</x:v>
      </x:c>
      <x:c r="N111" t="n">
        <x:f>(YEAR(DATE(2025,12,31))-YEAR(M111))*12+MONTH(DATE(2025,12,31))-MONTH(M111)</x:f>
        <x:v>65</x:v>
      </x:c>
      <x:c r="O111" t="str">
        <x:v>ACTIVE</x:v>
      </x:c>
      <x:c r="P111" t="str">
        <x:v>INDEPENDENT_CONTRACTOR</x:v>
      </x:c>
      <x:c r="Q111" t="str">
        <x:v>CAR</x:v>
      </x:c>
      <x:c r="R111" t="str">
        <x:v>DINNER</x:v>
      </x:c>
      <x:c r="S111" t="n">
        <x:v>24</x:v>
      </x:c>
      <x:c r="T111" t="str">
        <x:v>CLEARED</x:v>
      </x:c>
      <x:c r="U111" t="str">
        <x:v>VALID</x:v>
      </x:c>
      <x:c r="V111" s="16" t="n">
        <x:v>0.787</x:v>
      </x:c>
      <x:c r="W111" t="str">
        <x:v>English</x:v>
      </x:c>
      <x:c r="X111"/>
      <x:c r="Y111" t="n">
        <x:v>4662</x:v>
      </x:c>
      <x:c r="Z111" s="17" t="n">
        <x:v>4.4</x:v>
      </x:c>
      <x:c r="AA111" s="16" t="n">
        <x:v>0.6989</x:v>
      </x:c>
      <x:c r="AB111" s="16" t="n">
        <x:v>0.9191</x:v>
      </x:c>
      <x:c r="AC111" s="16" t="n">
        <x:v>0.8466</x:v>
      </x:c>
      <x:c r="AD111" t="n">
        <x:v>0</x:v>
      </x:c>
      <x:c r="AE111" t="str">
        <x:f>IF(O111&lt;&gt;"ACTIVE","NOT_RATED",IF(AND(Z111&gt;=4.8,AB111&gt;=0.97,AC111&gt;=0.93,AD111=0),"ELITE",IF(AND(Z111&gt;=4.6,AB111&gt;=0.94,AC111&gt;=0.88),"HIGH_PERFORMER",IF(OR(Z111&lt;4.2,AB111&lt;0.85,AD111&gt;=2),"AT_RISK","STANDARD"))))</x:f>
        <x:v>STANDARD</x:v>
      </x:c>
      <x:c r="AF111" s="15" t="n">
        <x:v>46011</x:v>
      </x:c>
      <x:c r="AG111" t="str">
        <x:v>VERIFIED</x:v>
      </x:c>
      <x:c r="AH111" t="str">
        <x:v>COMPLETE</x:v>
      </x:c>
      <x:c r="AI111" t="str">
        <x:v>Morgan Martinez</x:v>
      </x:c>
      <x:c r="AJ111" t="str">
        <x:v>SIBLING</x:v>
      </x:c>
      <x:c r="AK111" t="str">
        <x:v>+1 (213) 555-0186</x:v>
      </x:c>
    </x:row>
    <x:row r="112" ht="18" customHeight="1">
      <x:c r="A112" t="str">
        <x:v>DHR-00111</x:v>
      </x:c>
      <x:c r="B112" t="str">
        <x:v>Chris Clark</x:v>
      </x:c>
      <x:c r="C112" t="str">
        <x:v>https://api.dicebear.com/9.x/adventurer/png?seed=DHR-00111-Chris%20Clark&amp;size=256&amp;radius=50&amp;backgroundColor=b6e3f4,c0aede,d1d4f9,ffd5dc,ffdfbf</x:v>
      </x:c>
      <x:c r="D112" t="str">
        <x:v>chris.clark.111@example.com</x:v>
      </x:c>
      <x:c r="E112" t="str">
        <x:v>+1 (617) 555-0110</x:v>
      </x:c>
      <x:c r="F112" t="str">
        <x:v>Boston, MA</x:v>
      </x:c>
      <x:c r="G112" t="str">
        <x:v>Boston</x:v>
      </x:c>
      <x:c r="H112" t="str">
        <x:v>MA</x:v>
      </x:c>
      <x:c r="I112" s="18" t="str">
        <x:v>02108</x:v>
      </x:c>
      <x:c r="J112" s="15" t="n">
        <x:v>29168.345483125</x:v>
      </x:c>
      <x:c r="K112" t="n">
        <x:f>INT((DATE(2025,12,31)-J112)/365.25)</x:f>
        <x:v>46</x:v>
      </x:c>
      <x:c r="L112" t="str">
        <x:f>IF(K112&lt;25,"18-24",IF(K112&lt;35,"25-34",IF(K112&lt;45,"35-44",IF(K112&lt;55,"45-54","55+"))))</x:f>
        <x:v>45-54</x:v>
      </x:c>
      <x:c r="M112" s="15" t="n">
        <x:v>45469.27646678241</x:v>
      </x:c>
      <x:c r="N112" t="n">
        <x:f>(YEAR(DATE(2025,12,31))-YEAR(M112))*12+MONTH(DATE(2025,12,31))-MONTH(M112)</x:f>
        <x:v>18</x:v>
      </x:c>
      <x:c r="O112" t="str">
        <x:v>ACTIVE</x:v>
      </x:c>
      <x:c r="P112" t="str">
        <x:v>INDEPENDENT_CONTRACTOR</x:v>
      </x:c>
      <x:c r="Q112" t="str">
        <x:v>SCOOTER</x:v>
      </x:c>
      <x:c r="R112" t="str">
        <x:v>DINNER</x:v>
      </x:c>
      <x:c r="S112" t="n">
        <x:v>43</x:v>
      </x:c>
      <x:c r="T112" t="str">
        <x:v>CLEARED</x:v>
      </x:c>
      <x:c r="U112" t="str">
        <x:v>VALID</x:v>
      </x:c>
      <x:c r="V112" s="16" t="n">
        <x:v>0.8046</x:v>
      </x:c>
      <x:c r="W112" t="str">
        <x:v>French</x:v>
      </x:c>
      <x:c r="X112" t="str">
        <x:v>English</x:v>
      </x:c>
      <x:c r="Y112" t="n">
        <x:v>1496</x:v>
      </x:c>
      <x:c r="Z112" s="17" t="n">
        <x:v>4.66</x:v>
      </x:c>
      <x:c r="AA112" s="16" t="n">
        <x:v>0.6231</x:v>
      </x:c>
      <x:c r="AB112" s="16" t="n">
        <x:v>0.9167</x:v>
      </x:c>
      <x:c r="AC112" s="16" t="n">
        <x:v>0.8859</x:v>
      </x:c>
      <x:c r="AD112" t="n">
        <x:v>0</x:v>
      </x:c>
      <x:c r="AE112" t="str">
        <x:f>IF(O112&lt;&gt;"ACTIVE","NOT_RATED",IF(AND(Z112&gt;=4.8,AB112&gt;=0.97,AC112&gt;=0.93,AD112=0),"ELITE",IF(AND(Z112&gt;=4.6,AB112&gt;=0.94,AC112&gt;=0.88),"HIGH_PERFORMER",IF(OR(Z112&lt;4.2,AB112&lt;0.85,AD112&gt;=2),"AT_RISK","STANDARD"))))</x:f>
        <x:v>STANDARD</x:v>
      </x:c>
      <x:c r="AF112" s="15" t="n">
        <x:v>46015</x:v>
      </x:c>
      <x:c r="AG112" t="str">
        <x:v>VERIFIED</x:v>
      </x:c>
      <x:c r="AH112" t="str">
        <x:v>COMPLETE</x:v>
      </x:c>
      <x:c r="AI112" t="str">
        <x:v>Hayden Martin</x:v>
      </x:c>
      <x:c r="AJ112" t="str">
        <x:v>PARENT</x:v>
      </x:c>
      <x:c r="AK112" t="str">
        <x:v>+1 (617) 555-0193</x:v>
      </x:c>
    </x:row>
    <x:row r="113" ht="18" customHeight="1">
      <x:c r="A113" t="str">
        <x:v>DHR-00112</x:v>
      </x:c>
      <x:c r="B113" t="str">
        <x:v>Chris Davis</x:v>
      </x:c>
      <x:c r="C113" t="str">
        <x:v>https://api.dicebear.com/9.x/adventurer/png?seed=DHR-00112-Chris%20Davis&amp;size=256&amp;radius=50&amp;backgroundColor=b6e3f4,c0aede,d1d4f9,ffd5dc,ffdfbf</x:v>
      </x:c>
      <x:c r="D113" t="str">
        <x:v>chris.davis.112@example.com</x:v>
      </x:c>
      <x:c r="E113" t="str">
        <x:v>+1 (617) 555-0111</x:v>
      </x:c>
      <x:c r="F113" t="str">
        <x:v>Boston, MA</x:v>
      </x:c>
      <x:c r="G113" t="str">
        <x:v>Boston</x:v>
      </x:c>
      <x:c r="H113" t="str">
        <x:v>MA</x:v>
      </x:c>
      <x:c r="I113" s="18" t="str">
        <x:v>02108</x:v>
      </x:c>
      <x:c r="J113" s="15" t="n">
        <x:v>37743.973619386576</x:v>
      </x:c>
      <x:c r="K113" t="n">
        <x:f>INT((DATE(2025,12,31)-J113)/365.25)</x:f>
        <x:v>22</x:v>
      </x:c>
      <x:c r="L113" t="str">
        <x:f>IF(K113&lt;25,"18-24",IF(K113&lt;35,"25-34",IF(K113&lt;45,"35-44",IF(K113&lt;55,"45-54","55+"))))</x:f>
        <x:v>18-24</x:v>
      </x:c>
      <x:c r="M113" s="15" t="n">
        <x:v>45425.472724583335</x:v>
      </x:c>
      <x:c r="N113" t="n">
        <x:f>(YEAR(DATE(2025,12,31))-YEAR(M113))*12+MONTH(DATE(2025,12,31))-MONTH(M113)</x:f>
        <x:v>19</x:v>
      </x:c>
      <x:c r="O113" t="str">
        <x:v>PAUSED</x:v>
      </x:c>
      <x:c r="P113" t="str">
        <x:v>INDEPENDENT_CONTRACTOR</x:v>
      </x:c>
      <x:c r="Q113" t="str">
        <x:v>SCOOTER</x:v>
      </x:c>
      <x:c r="R113" t="str">
        <x:v>FLEXIBLE</x:v>
      </x:c>
      <x:c r="S113" t="n">
        <x:v>24</x:v>
      </x:c>
      <x:c r="T113" t="str">
        <x:v>PENDING</x:v>
      </x:c>
      <x:c r="U113" t="str">
        <x:v>VALID</x:v>
      </x:c>
      <x:c r="V113" s="16" t="n">
        <x:v>0.9724</x:v>
      </x:c>
      <x:c r="W113" t="str">
        <x:v>Spanish</x:v>
      </x:c>
      <x:c r="X113"/>
      <x:c r="Y113" t="n">
        <x:v>1658</x:v>
      </x:c>
      <x:c r="Z113" s="17" t="n">
        <x:v>4.73</x:v>
      </x:c>
      <x:c r="AA113" s="16" t="n">
        <x:v>0.9187</x:v>
      </x:c>
      <x:c r="AB113" s="16" t="n">
        <x:v>0.8884</x:v>
      </x:c>
      <x:c r="AC113" s="16" t="n">
        <x:v>0.8469</x:v>
      </x:c>
      <x:c r="AD113" t="n">
        <x:v>0</x:v>
      </x:c>
      <x:c r="AE113" t="str">
        <x:f>IF(O113&lt;&gt;"ACTIVE","NOT_RATED",IF(AND(Z113&gt;=4.8,AB113&gt;=0.97,AC113&gt;=0.93,AD113=0),"ELITE",IF(AND(Z113&gt;=4.6,AB113&gt;=0.94,AC113&gt;=0.88),"HIGH_PERFORMER",IF(OR(Z113&lt;4.2,AB113&lt;0.85,AD113&gt;=2),"AT_RISK","STANDARD"))))</x:f>
        <x:v>NOT_RATED</x:v>
      </x:c>
      <x:c r="AF113" s="15" t="n">
        <x:v>45906</x:v>
      </x:c>
      <x:c r="AG113" t="str">
        <x:v>VERIFIED</x:v>
      </x:c>
      <x:c r="AH113" t="str">
        <x:v>COMPLETE</x:v>
      </x:c>
      <x:c r="AI113" t="str">
        <x:v>Casey Johnson</x:v>
      </x:c>
      <x:c r="AJ113" t="str">
        <x:v>SPOUSE_PARTNER</x:v>
      </x:c>
      <x:c r="AK113" t="str">
        <x:v>+1 (617) 555-0100</x:v>
      </x:c>
    </x:row>
    <x:row r="114" ht="18" customHeight="1">
      <x:c r="A114" t="str">
        <x:v>DHR-00113</x:v>
      </x:c>
      <x:c r="B114" t="str">
        <x:v>Chris Garcia</x:v>
      </x:c>
      <x:c r="C114" t="str">
        <x:v>https://api.dicebear.com/9.x/adventurer/png?seed=DHR-00113-Chris%20Garcia&amp;size=256&amp;radius=50&amp;backgroundColor=b6e3f4,c0aede,d1d4f9,ffd5dc,ffdfbf</x:v>
      </x:c>
      <x:c r="D114" t="str">
        <x:v>chris.garcia.113@example.com</x:v>
      </x:c>
      <x:c r="E114" t="str">
        <x:v>+1 (212) 555-0112</x:v>
      </x:c>
      <x:c r="F114" t="str">
        <x:v>New York, NY</x:v>
      </x:c>
      <x:c r="G114" t="str">
        <x:v>New York</x:v>
      </x:c>
      <x:c r="H114" t="str">
        <x:v>NY</x:v>
      </x:c>
      <x:c r="I114" s="18" t="str">
        <x:v>10001</x:v>
      </x:c>
      <x:c r="J114" s="15" t="n">
        <x:v>23931.388956944444</x:v>
      </x:c>
      <x:c r="K114" t="n">
        <x:f>INT((DATE(2025,12,31)-J114)/365.25)</x:f>
        <x:v>60</x:v>
      </x:c>
      <x:c r="L114" t="str">
        <x:f>IF(K114&lt;25,"18-24",IF(K114&lt;35,"25-34",IF(K114&lt;45,"35-44",IF(K114&lt;55,"45-54","55+"))))</x:f>
        <x:v>55+</x:v>
      </x:c>
      <x:c r="M114" s="15" t="n">
        <x:v>44435.629696655094</x:v>
      </x:c>
      <x:c r="N114" t="n">
        <x:f>(YEAR(DATE(2025,12,31))-YEAR(M114))*12+MONTH(DATE(2025,12,31))-MONTH(M114)</x:f>
        <x:v>52</x:v>
      </x:c>
      <x:c r="O114" t="str">
        <x:v>PAUSED</x:v>
      </x:c>
      <x:c r="P114" t="str">
        <x:v>INDEPENDENT_CONTRACTOR</x:v>
      </x:c>
      <x:c r="Q114" t="str">
        <x:v>CAR</x:v>
      </x:c>
      <x:c r="R114" t="str">
        <x:v>LUNCH</x:v>
      </x:c>
      <x:c r="S114" t="n">
        <x:v>20</x:v>
      </x:c>
      <x:c r="T114" t="str">
        <x:v>CLEARED</x:v>
      </x:c>
      <x:c r="U114" t="str">
        <x:v>VALID</x:v>
      </x:c>
      <x:c r="V114" s="16" t="n">
        <x:v>0.8745</x:v>
      </x:c>
      <x:c r="W114" t="str">
        <x:v>English</x:v>
      </x:c>
      <x:c r="X114"/>
      <x:c r="Y114" t="n">
        <x:v>4070</x:v>
      </x:c>
      <x:c r="Z114" s="17" t="n">
        <x:v>4.38</x:v>
      </x:c>
      <x:c r="AA114" s="16" t="n">
        <x:v>0.8551</x:v>
      </x:c>
      <x:c r="AB114" s="16" t="n">
        <x:v>0.9515</x:v>
      </x:c>
      <x:c r="AC114" s="16" t="n">
        <x:v>0.9585</x:v>
      </x:c>
      <x:c r="AD114" t="n">
        <x:v>0</x:v>
      </x:c>
      <x:c r="AE114" t="str">
        <x:f>IF(O114&lt;&gt;"ACTIVE","NOT_RATED",IF(AND(Z114&gt;=4.8,AB114&gt;=0.97,AC114&gt;=0.93,AD114=0),"ELITE",IF(AND(Z114&gt;=4.6,AB114&gt;=0.94,AC114&gt;=0.88),"HIGH_PERFORMER",IF(OR(Z114&lt;4.2,AB114&lt;0.85,AD114&gt;=2),"AT_RISK","STANDARD"))))</x:f>
        <x:v>NOT_RATED</x:v>
      </x:c>
      <x:c r="AF114" s="15" t="n">
        <x:v>45998</x:v>
      </x:c>
      <x:c r="AG114" t="str">
        <x:v>VERIFIED</x:v>
      </x:c>
      <x:c r="AH114" t="str">
        <x:v>COMPLETE</x:v>
      </x:c>
      <x:c r="AI114" t="str">
        <x:v>Sofia Davis</x:v>
      </x:c>
      <x:c r="AJ114" t="str">
        <x:v>OTHER</x:v>
      </x:c>
      <x:c r="AK114" t="str">
        <x:v>+1 (212) 555-0107</x:v>
      </x:c>
    </x:row>
    <x:row r="115" ht="18" customHeight="1">
      <x:c r="A115" t="str">
        <x:v>DHR-00114</x:v>
      </x:c>
      <x:c r="B115" t="str">
        <x:v>Chris Harris</x:v>
      </x:c>
      <x:c r="C115" t="str">
        <x:v>https://api.dicebear.com/9.x/adventurer/png?seed=DHR-00114-Chris%20Harris&amp;size=256&amp;radius=50&amp;backgroundColor=b6e3f4,c0aede,d1d4f9,ffd5dc,ffdfbf</x:v>
      </x:c>
      <x:c r="D115" t="str">
        <x:v>chris.harris.114@example.com</x:v>
      </x:c>
      <x:c r="E115" t="str">
        <x:v>+1 (713) 555-0113</x:v>
      </x:c>
      <x:c r="F115" t="str">
        <x:v>Houston, TX</x:v>
      </x:c>
      <x:c r="G115" t="str">
        <x:v>Houston</x:v>
      </x:c>
      <x:c r="H115" t="str">
        <x:v>TX</x:v>
      </x:c>
      <x:c r="I115" s="18" t="str">
        <x:v>77002</x:v>
      </x:c>
      <x:c r="J115" s="15" t="n">
        <x:v>24943.24022670139</x:v>
      </x:c>
      <x:c r="K115" t="n">
        <x:f>INT((DATE(2025,12,31)-J115)/365.25)</x:f>
        <x:v>57</x:v>
      </x:c>
      <x:c r="L115" t="str">
        <x:f>IF(K115&lt;25,"18-24",IF(K115&lt;35,"25-34",IF(K115&lt;45,"35-44",IF(K115&lt;55,"45-54","55+"))))</x:f>
        <x:v>55+</x:v>
      </x:c>
      <x:c r="M115" s="15" t="n">
        <x:v>44917.62403766203</x:v>
      </x:c>
      <x:c r="N115" t="n">
        <x:f>(YEAR(DATE(2025,12,31))-YEAR(M115))*12+MONTH(DATE(2025,12,31))-MONTH(M115)</x:f>
        <x:v>36</x:v>
      </x:c>
      <x:c r="O115" t="str">
        <x:v>OFFBOARDED</x:v>
      </x:c>
      <x:c r="P115" t="str">
        <x:v>INDEPENDENT_CONTRACTOR</x:v>
      </x:c>
      <x:c r="Q115" t="str">
        <x:v>CAR</x:v>
      </x:c>
      <x:c r="R115" t="str">
        <x:v>DINNER</x:v>
      </x:c>
      <x:c r="S115" t="n">
        <x:v>40</x:v>
      </x:c>
      <x:c r="T115" t="str">
        <x:v>CLEARED</x:v>
      </x:c>
      <x:c r="U115" t="str">
        <x:v>VALID</x:v>
      </x:c>
      <x:c r="V115" s="16" t="n">
        <x:v>0.7559</x:v>
      </x:c>
      <x:c r="W115" t="str">
        <x:v>English</x:v>
      </x:c>
      <x:c r="X115"/>
      <x:c r="Y115" t="n">
        <x:v>3513</x:v>
      </x:c>
      <x:c r="Z115" s="17" t="n">
        <x:v>4.84</x:v>
      </x:c>
      <x:c r="AA115" s="16" t="n">
        <x:v>0.76</x:v>
      </x:c>
      <x:c r="AB115" s="16" t="n">
        <x:v>0.912</x:v>
      </x:c>
      <x:c r="AC115" s="16" t="n">
        <x:v>0.8709</x:v>
      </x:c>
      <x:c r="AD115" t="n">
        <x:v>0</x:v>
      </x:c>
      <x:c r="AE115" t="str">
        <x:f>IF(O115&lt;&gt;"ACTIVE","NOT_RATED",IF(AND(Z115&gt;=4.8,AB115&gt;=0.97,AC115&gt;=0.93,AD115=0),"ELITE",IF(AND(Z115&gt;=4.6,AB115&gt;=0.94,AC115&gt;=0.88),"HIGH_PERFORMER",IF(OR(Z115&lt;4.2,AB115&lt;0.85,AD115&gt;=2),"AT_RISK","STANDARD"))))</x:f>
        <x:v>NOT_RATED</x:v>
      </x:c>
      <x:c r="AF115" s="15" t="n">
        <x:v>45891</x:v>
      </x:c>
      <x:c r="AG115" t="str">
        <x:v>PENDING</x:v>
      </x:c>
      <x:c r="AH115" t="str">
        <x:v>COMPLETE</x:v>
      </x:c>
      <x:c r="AI115" t="str">
        <x:v>Mia Jackson</x:v>
      </x:c>
      <x:c r="AJ115" t="str">
        <x:v>SPOUSE_PARTNER</x:v>
      </x:c>
      <x:c r="AK115" t="str">
        <x:v>+1 (713) 555-0114</x:v>
      </x:c>
    </x:row>
    <x:row r="116" ht="18" customHeight="1">
      <x:c r="A116" t="str">
        <x:v>DHR-00115</x:v>
      </x:c>
      <x:c r="B116" t="str">
        <x:v>Chris Johnson</x:v>
      </x:c>
      <x:c r="C116" t="str">
        <x:v>https://api.dicebear.com/9.x/adventurer/png?seed=DHR-00115-Chris%20Johnson&amp;size=256&amp;radius=50&amp;backgroundColor=b6e3f4,c0aede,d1d4f9,ffd5dc,ffdfbf</x:v>
      </x:c>
      <x:c r="D116" t="str">
        <x:v>chris.johnson.115@example.com</x:v>
      </x:c>
      <x:c r="E116" t="str">
        <x:v>+1 (512) 555-0114</x:v>
      </x:c>
      <x:c r="F116" t="str">
        <x:v>Austin, TX</x:v>
      </x:c>
      <x:c r="G116" t="str">
        <x:v>Austin</x:v>
      </x:c>
      <x:c r="H116" t="str">
        <x:v>TX</x:v>
      </x:c>
      <x:c r="I116" s="18" t="str">
        <x:v>78701</x:v>
      </x:c>
      <x:c r="J116" s="15" t="n">
        <x:v>36040.98419465278</x:v>
      </x:c>
      <x:c r="K116" t="n">
        <x:f>INT((DATE(2025,12,31)-J116)/365.25)</x:f>
        <x:v>27</x:v>
      </x:c>
      <x:c r="L116" t="str">
        <x:f>IF(K116&lt;25,"18-24",IF(K116&lt;35,"25-34",IF(K116&lt;45,"35-44",IF(K116&lt;55,"45-54","55+"))))</x:f>
        <x:v>25-34</x:v>
      </x:c>
      <x:c r="M116" s="15" t="n">
        <x:v>44793.2885853125</x:v>
      </x:c>
      <x:c r="N116" t="n">
        <x:f>(YEAR(DATE(2025,12,31))-YEAR(M116))*12+MONTH(DATE(2025,12,31))-MONTH(M116)</x:f>
        <x:v>40</x:v>
      </x:c>
      <x:c r="O116" t="str">
        <x:v>ACTIVE</x:v>
      </x:c>
      <x:c r="P116" t="str">
        <x:v>INDEPENDENT_CONTRACTOR</x:v>
      </x:c>
      <x:c r="Q116" t="str">
        <x:v>MOTORCYCLE</x:v>
      </x:c>
      <x:c r="R116" t="str">
        <x:v>FLEXIBLE</x:v>
      </x:c>
      <x:c r="S116" t="n">
        <x:v>18</x:v>
      </x:c>
      <x:c r="T116" t="str">
        <x:v>CLEARED</x:v>
      </x:c>
      <x:c r="U116" t="str">
        <x:v>VALID</x:v>
      </x:c>
      <x:c r="V116" s="16" t="n">
        <x:v>0.8316</x:v>
      </x:c>
      <x:c r="W116" t="str">
        <x:v>English</x:v>
      </x:c>
      <x:c r="X116"/>
      <x:c r="Y116" t="n">
        <x:v>2684</x:v>
      </x:c>
      <x:c r="Z116" s="17" t="n">
        <x:v>4.45</x:v>
      </x:c>
      <x:c r="AA116" s="16" t="n">
        <x:v>0.7533</x:v>
      </x:c>
      <x:c r="AB116" s="16" t="n">
        <x:v>0.8883</x:v>
      </x:c>
      <x:c r="AC116" s="16" t="n">
        <x:v>0.9005</x:v>
      </x:c>
      <x:c r="AD116" t="n">
        <x:v>0</x:v>
      </x:c>
      <x:c r="AE116" t="str">
        <x:f>IF(O116&lt;&gt;"ACTIVE","NOT_RATED",IF(AND(Z116&gt;=4.8,AB116&gt;=0.97,AC116&gt;=0.93,AD116=0),"ELITE",IF(AND(Z116&gt;=4.6,AB116&gt;=0.94,AC116&gt;=0.88),"HIGH_PERFORMER",IF(OR(Z116&lt;4.2,AB116&lt;0.85,AD116&gt;=2),"AT_RISK","STANDARD"))))</x:f>
        <x:v>STANDARD</x:v>
      </x:c>
      <x:c r="AF116" s="15" t="n">
        <x:v>46012</x:v>
      </x:c>
      <x:c r="AG116" t="str">
        <x:v>VERIFIED</x:v>
      </x:c>
      <x:c r="AH116" t="str">
        <x:v>COMPLETE</x:v>
      </x:c>
      <x:c r="AI116" t="str">
        <x:v>Noah Jones</x:v>
      </x:c>
      <x:c r="AJ116" t="str">
        <x:v>PARENT</x:v>
      </x:c>
      <x:c r="AK116" t="str">
        <x:v>+1 (512) 555-0121</x:v>
      </x:c>
    </x:row>
    <x:row r="117" ht="18" customHeight="1">
      <x:c r="A117" t="str">
        <x:v>DHR-00116</x:v>
      </x:c>
      <x:c r="B117" t="str">
        <x:v>Chris Jones</x:v>
      </x:c>
      <x:c r="C117" t="str">
        <x:v>https://api.dicebear.com/9.x/adventurer/png?seed=DHR-00116-Chris%20Jones&amp;size=256&amp;radius=50&amp;backgroundColor=b6e3f4,c0aede,d1d4f9,ffd5dc,ffdfbf</x:v>
      </x:c>
      <x:c r="D117" t="str">
        <x:v>chris.jones.116@example.com</x:v>
      </x:c>
      <x:c r="E117" t="str">
        <x:v>+1 (612) 555-0115</x:v>
      </x:c>
      <x:c r="F117" t="str">
        <x:v>Minneapolis, MN</x:v>
      </x:c>
      <x:c r="G117" t="str">
        <x:v>Minneapolis</x:v>
      </x:c>
      <x:c r="H117" t="str">
        <x:v>MN</x:v>
      </x:c>
      <x:c r="I117" s="18" t="str">
        <x:v>55401</x:v>
      </x:c>
      <x:c r="J117" s="15" t="n">
        <x:v>37937.450044351855</x:v>
      </x:c>
      <x:c r="K117" t="n">
        <x:f>INT((DATE(2025,12,31)-J117)/365.25)</x:f>
        <x:v>22</x:v>
      </x:c>
      <x:c r="L117" t="str">
        <x:f>IF(K117&lt;25,"18-24",IF(K117&lt;35,"25-34",IF(K117&lt;45,"35-44",IF(K117&lt;55,"45-54","55+"))))</x:f>
        <x:v>18-24</x:v>
      </x:c>
      <x:c r="M117" s="15" t="n">
        <x:v>45489.065660162036</x:v>
      </x:c>
      <x:c r="N117" t="n">
        <x:f>(YEAR(DATE(2025,12,31))-YEAR(M117))*12+MONTH(DATE(2025,12,31))-MONTH(M117)</x:f>
        <x:v>17</x:v>
      </x:c>
      <x:c r="O117" t="str">
        <x:v>ACTIVE</x:v>
      </x:c>
      <x:c r="P117" t="str">
        <x:v>INDEPENDENT_CONTRACTOR</x:v>
      </x:c>
      <x:c r="Q117" t="str">
        <x:v>CAR</x:v>
      </x:c>
      <x:c r="R117" t="str">
        <x:v>DINNER</x:v>
      </x:c>
      <x:c r="S117" t="n">
        <x:v>28</x:v>
      </x:c>
      <x:c r="T117" t="str">
        <x:v>CLEARED</x:v>
      </x:c>
      <x:c r="U117" t="str">
        <x:v>VALID</x:v>
      </x:c>
      <x:c r="V117" s="16" t="n">
        <x:v>0.9989</x:v>
      </x:c>
      <x:c r="W117" t="str">
        <x:v>Spanish</x:v>
      </x:c>
      <x:c r="X117"/>
      <x:c r="Y117" t="n">
        <x:v>1893</x:v>
      </x:c>
      <x:c r="Z117" s="17" t="n">
        <x:v>4.2</x:v>
      </x:c>
      <x:c r="AA117" s="16" t="n">
        <x:v>0.6597</x:v>
      </x:c>
      <x:c r="AB117" s="16" t="n">
        <x:v>0.8908</x:v>
      </x:c>
      <x:c r="AC117" s="16" t="n">
        <x:v>0.9018</x:v>
      </x:c>
      <x:c r="AD117" t="n">
        <x:v>0</x:v>
      </x:c>
      <x:c r="AE117" t="str">
        <x:f>IF(O117&lt;&gt;"ACTIVE","NOT_RATED",IF(AND(Z117&gt;=4.8,AB117&gt;=0.97,AC117&gt;=0.93,AD117=0),"ELITE",IF(AND(Z117&gt;=4.6,AB117&gt;=0.94,AC117&gt;=0.88),"HIGH_PERFORMER",IF(OR(Z117&lt;4.2,AB117&lt;0.85,AD117&gt;=2),"AT_RISK","STANDARD"))))</x:f>
        <x:v>STANDARD</x:v>
      </x:c>
      <x:c r="AF117" s="15" t="n">
        <x:v>46020</x:v>
      </x:c>
      <x:c r="AG117" t="str">
        <x:v>VERIFIED</x:v>
      </x:c>
      <x:c r="AH117" t="str">
        <x:v>COMPLETE</x:v>
      </x:c>
      <x:c r="AI117" t="str">
        <x:v>Sofia Johnson</x:v>
      </x:c>
      <x:c r="AJ117" t="str">
        <x:v>PARENT</x:v>
      </x:c>
      <x:c r="AK117" t="str">
        <x:v>+1 (612) 555-0128</x:v>
      </x:c>
    </x:row>
    <x:row r="118" ht="18" customHeight="1">
      <x:c r="A118" t="str">
        <x:v>DHR-00117</x:v>
      </x:c>
      <x:c r="B118" t="str">
        <x:v>Chris Lee</x:v>
      </x:c>
      <x:c r="C118" t="str">
        <x:v>https://api.dicebear.com/9.x/adventurer/png?seed=DHR-00117-Chris%20Lee&amp;size=256&amp;radius=50&amp;backgroundColor=b6e3f4,c0aede,d1d4f9,ffd5dc,ffdfbf</x:v>
      </x:c>
      <x:c r="D118" t="str">
        <x:v>chris.lee.117@example.com</x:v>
      </x:c>
      <x:c r="E118" t="str">
        <x:v>+1 (713) 555-0116</x:v>
      </x:c>
      <x:c r="F118" t="str">
        <x:v>Houston, TX</x:v>
      </x:c>
      <x:c r="G118" t="str">
        <x:v>Houston</x:v>
      </x:c>
      <x:c r="H118" t="str">
        <x:v>TX</x:v>
      </x:c>
      <x:c r="I118" s="18" t="str">
        <x:v>77002</x:v>
      </x:c>
      <x:c r="J118" s="15" t="n">
        <x:v>33374.75084787037</x:v>
      </x:c>
      <x:c r="K118" t="n">
        <x:f>INT((DATE(2025,12,31)-J118)/365.25)</x:f>
        <x:v>34</x:v>
      </x:c>
      <x:c r="L118" t="str">
        <x:f>IF(K118&lt;25,"18-24",IF(K118&lt;35,"25-34",IF(K118&lt;45,"35-44",IF(K118&lt;55,"45-54","55+"))))</x:f>
        <x:v>25-34</x:v>
      </x:c>
      <x:c r="M118" s="15" t="n">
        <x:v>45297.847776215276</x:v>
      </x:c>
      <x:c r="N118" t="n">
        <x:f>(YEAR(DATE(2025,12,31))-YEAR(M118))*12+MONTH(DATE(2025,12,31))-MONTH(M118)</x:f>
        <x:v>23</x:v>
      </x:c>
      <x:c r="O118" t="str">
        <x:v>ACTIVE</x:v>
      </x:c>
      <x:c r="P118" t="str">
        <x:v>INDEPENDENT_CONTRACTOR</x:v>
      </x:c>
      <x:c r="Q118" t="str">
        <x:v>CAR</x:v>
      </x:c>
      <x:c r="R118" t="str">
        <x:v>DINNER</x:v>
      </x:c>
      <x:c r="S118" t="n">
        <x:v>34</x:v>
      </x:c>
      <x:c r="T118" t="str">
        <x:v>CLEARED</x:v>
      </x:c>
      <x:c r="U118" t="str">
        <x:v>VALID</x:v>
      </x:c>
      <x:c r="V118" s="16" t="n">
        <x:v>0.8114</x:v>
      </x:c>
      <x:c r="W118" t="str">
        <x:v>English</x:v>
      </x:c>
      <x:c r="X118"/>
      <x:c r="Y118" t="n">
        <x:v>1463</x:v>
      </x:c>
      <x:c r="Z118" s="17" t="n">
        <x:v>4.86</x:v>
      </x:c>
      <x:c r="AA118" s="16" t="n">
        <x:v>0.8964</x:v>
      </x:c>
      <x:c r="AB118" s="16" t="n">
        <x:v>0.9781</x:v>
      </x:c>
      <x:c r="AC118" s="16" t="n">
        <x:v>0.8832</x:v>
      </x:c>
      <x:c r="AD118" t="n">
        <x:v>0</x:v>
      </x:c>
      <x:c r="AE118" t="str">
        <x:f>IF(O118&lt;&gt;"ACTIVE","NOT_RATED",IF(AND(Z118&gt;=4.8,AB118&gt;=0.97,AC118&gt;=0.93,AD118=0),"ELITE",IF(AND(Z118&gt;=4.6,AB118&gt;=0.94,AC118&gt;=0.88),"HIGH_PERFORMER",IF(OR(Z118&lt;4.2,AB118&lt;0.85,AD118&gt;=2),"AT_RISK","STANDARD"))))</x:f>
        <x:v>HIGH_PERFORMER</x:v>
      </x:c>
      <x:c r="AF118" s="15" t="n">
        <x:v>46008</x:v>
      </x:c>
      <x:c r="AG118" t="str">
        <x:v>VERIFIED</x:v>
      </x:c>
      <x:c r="AH118" t="str">
        <x:v>PENDING</x:v>
      </x:c>
      <x:c r="AI118" t="str">
        <x:v>Liam Johnson</x:v>
      </x:c>
      <x:c r="AJ118" t="str">
        <x:v>PARENT</x:v>
      </x:c>
      <x:c r="AK118" t="str">
        <x:v>+1 (713) 555-0135</x:v>
      </x:c>
    </x:row>
    <x:row r="119" ht="18" customHeight="1">
      <x:c r="A119" t="str">
        <x:v>DHR-00118</x:v>
      </x:c>
      <x:c r="B119" t="str">
        <x:v>Chris Lewis</x:v>
      </x:c>
      <x:c r="C119" t="str">
        <x:v>https://api.dicebear.com/9.x/adventurer/png?seed=DHR-00118-Chris%20Lewis&amp;size=256&amp;radius=50&amp;backgroundColor=b6e3f4,c0aede,d1d4f9,ffd5dc,ffdfbf</x:v>
      </x:c>
      <x:c r="D119" t="str">
        <x:v>chris.lewis.118@example.com</x:v>
      </x:c>
      <x:c r="E119" t="str">
        <x:v>+1 (619) 555-0117</x:v>
      </x:c>
      <x:c r="F119" t="str">
        <x:v>San Diego, CA</x:v>
      </x:c>
      <x:c r="G119" t="str">
        <x:v>San Diego</x:v>
      </x:c>
      <x:c r="H119" t="str">
        <x:v>CA</x:v>
      </x:c>
      <x:c r="I119" s="18" t="str">
        <x:v>92101</x:v>
      </x:c>
      <x:c r="J119" s="15" t="n">
        <x:v>32050.7434090625</x:v>
      </x:c>
      <x:c r="K119" t="n">
        <x:f>INT((DATE(2025,12,31)-J119)/365.25)</x:f>
        <x:v>38</x:v>
      </x:c>
      <x:c r="L119" t="str">
        <x:f>IF(K119&lt;25,"18-24",IF(K119&lt;35,"25-34",IF(K119&lt;45,"35-44",IF(K119&lt;55,"45-54","55+"))))</x:f>
        <x:v>35-44</x:v>
      </x:c>
      <x:c r="M119" s="15" t="n">
        <x:v>45883.346875243056</x:v>
      </x:c>
      <x:c r="N119" t="n">
        <x:f>(YEAR(DATE(2025,12,31))-YEAR(M119))*12+MONTH(DATE(2025,12,31))-MONTH(M119)</x:f>
        <x:v>4</x:v>
      </x:c>
      <x:c r="O119" t="str">
        <x:v>ACTIVE</x:v>
      </x:c>
      <x:c r="P119" t="str">
        <x:v>INDEPENDENT_CONTRACTOR</x:v>
      </x:c>
      <x:c r="Q119" t="str">
        <x:v>SCOOTER</x:v>
      </x:c>
      <x:c r="R119" t="str">
        <x:v>FLEXIBLE</x:v>
      </x:c>
      <x:c r="S119" t="n">
        <x:v>30</x:v>
      </x:c>
      <x:c r="T119" t="str">
        <x:v>CLEARED</x:v>
      </x:c>
      <x:c r="U119" t="str">
        <x:v>VALID</x:v>
      </x:c>
      <x:c r="V119" s="16" t="n">
        <x:v>0.9714</x:v>
      </x:c>
      <x:c r="W119" t="str">
        <x:v>English</x:v>
      </x:c>
      <x:c r="X119" t="str">
        <x:v>French</x:v>
      </x:c>
      <x:c r="Y119" t="n">
        <x:v>422</x:v>
      </x:c>
      <x:c r="Z119" s="17" t="n">
        <x:v>4.34</x:v>
      </x:c>
      <x:c r="AA119" s="16" t="n">
        <x:v>0.7287</x:v>
      </x:c>
      <x:c r="AB119" s="16" t="n">
        <x:v>0.9028</x:v>
      </x:c>
      <x:c r="AC119" s="16" t="n">
        <x:v>0.92</x:v>
      </x:c>
      <x:c r="AD119" t="n">
        <x:v>1</x:v>
      </x:c>
      <x:c r="AE119" t="str">
        <x:f>IF(O119&lt;&gt;"ACTIVE","NOT_RATED",IF(AND(Z119&gt;=4.8,AB119&gt;=0.97,AC119&gt;=0.93,AD119=0),"ELITE",IF(AND(Z119&gt;=4.6,AB119&gt;=0.94,AC119&gt;=0.88),"HIGH_PERFORMER",IF(OR(Z119&lt;4.2,AB119&lt;0.85,AD119&gt;=2),"AT_RISK","STANDARD"))))</x:f>
        <x:v>STANDARD</x:v>
      </x:c>
      <x:c r="AF119" s="15" t="n">
        <x:v>46019</x:v>
      </x:c>
      <x:c r="AG119" t="str">
        <x:v>VERIFIED</x:v>
      </x:c>
      <x:c r="AH119" t="str">
        <x:v>COMPLETE</x:v>
      </x:c>
      <x:c r="AI119" t="str">
        <x:v>Ethan White</x:v>
      </x:c>
      <x:c r="AJ119" t="str">
        <x:v>PARENT</x:v>
      </x:c>
      <x:c r="AK119" t="str">
        <x:v>+1 (619) 555-0142</x:v>
      </x:c>
    </x:row>
    <x:row r="120" ht="18" customHeight="1">
      <x:c r="A120" t="str">
        <x:v>DHR-00119</x:v>
      </x:c>
      <x:c r="B120" t="str">
        <x:v>Chris Martin</x:v>
      </x:c>
      <x:c r="C120" t="str">
        <x:v>https://api.dicebear.com/9.x/adventurer/png?seed=DHR-00119-Chris%20Martin&amp;size=256&amp;radius=50&amp;backgroundColor=b6e3f4,c0aede,d1d4f9,ffd5dc,ffdfbf</x:v>
      </x:c>
      <x:c r="D120" t="str">
        <x:v>chris.martin.119@example.com</x:v>
      </x:c>
      <x:c r="E120" t="str">
        <x:v>+1 (212) 555-0118</x:v>
      </x:c>
      <x:c r="F120" t="str">
        <x:v>New York, NY</x:v>
      </x:c>
      <x:c r="G120" t="str">
        <x:v>New York</x:v>
      </x:c>
      <x:c r="H120" t="str">
        <x:v>NY</x:v>
      </x:c>
      <x:c r="I120" s="18" t="str">
        <x:v>10001</x:v>
      </x:c>
      <x:c r="J120" s="15" t="n">
        <x:v>24878.52746</x:v>
      </x:c>
      <x:c r="K120" t="n">
        <x:f>INT((DATE(2025,12,31)-J120)/365.25)</x:f>
        <x:v>57</x:v>
      </x:c>
      <x:c r="L120" t="str">
        <x:f>IF(K120&lt;25,"18-24",IF(K120&lt;35,"25-34",IF(K120&lt;45,"35-44",IF(K120&lt;55,"45-54","55+"))))</x:f>
        <x:v>55+</x:v>
      </x:c>
      <x:c r="M120" s="15" t="n">
        <x:v>45324.12127263889</x:v>
      </x:c>
      <x:c r="N120" t="n">
        <x:f>(YEAR(DATE(2025,12,31))-YEAR(M120))*12+MONTH(DATE(2025,12,31))-MONTH(M120)</x:f>
        <x:v>22</x:v>
      </x:c>
      <x:c r="O120" t="str">
        <x:v>ACTIVE</x:v>
      </x:c>
      <x:c r="P120" t="str">
        <x:v>INDEPENDENT_CONTRACTOR</x:v>
      </x:c>
      <x:c r="Q120" t="str">
        <x:v>BICYCLE</x:v>
      </x:c>
      <x:c r="R120" t="str">
        <x:v>DINNER</x:v>
      </x:c>
      <x:c r="S120" t="n">
        <x:v>25</x:v>
      </x:c>
      <x:c r="T120" t="str">
        <x:v>CLEARED</x:v>
      </x:c>
      <x:c r="U120" t="str">
        <x:v>NOT_REQUIRED</x:v>
      </x:c>
      <x:c r="V120" s="16" t="n">
        <x:v>0.8093</x:v>
      </x:c>
      <x:c r="W120" t="str">
        <x:v>English</x:v>
      </x:c>
      <x:c r="X120" t="str">
        <x:v>Spanish</x:v>
      </x:c>
      <x:c r="Y120" t="n">
        <x:v>2225</x:v>
      </x:c>
      <x:c r="Z120" s="17" t="n">
        <x:v>4.82</x:v>
      </x:c>
      <x:c r="AA120" s="16" t="n">
        <x:v>0.5999</x:v>
      </x:c>
      <x:c r="AB120" s="16" t="n">
        <x:v>0.9717</x:v>
      </x:c>
      <x:c r="AC120" s="16" t="n">
        <x:v>0.9043</x:v>
      </x:c>
      <x:c r="AD120" t="n">
        <x:v>0</x:v>
      </x:c>
      <x:c r="AE120" t="str">
        <x:f>IF(O120&lt;&gt;"ACTIVE","NOT_RATED",IF(AND(Z120&gt;=4.8,AB120&gt;=0.97,AC120&gt;=0.93,AD120=0),"ELITE",IF(AND(Z120&gt;=4.6,AB120&gt;=0.94,AC120&gt;=0.88),"HIGH_PERFORMER",IF(OR(Z120&lt;4.2,AB120&lt;0.85,AD120&gt;=2),"AT_RISK","STANDARD"))))</x:f>
        <x:v>HIGH_PERFORMER</x:v>
      </x:c>
      <x:c r="AF120" s="15" t="n">
        <x:v>46018</x:v>
      </x:c>
      <x:c r="AG120" t="str">
        <x:v>VERIFIED</x:v>
      </x:c>
      <x:c r="AH120" t="str">
        <x:v>COMPLETE</x:v>
      </x:c>
      <x:c r="AI120" t="str">
        <x:v>Casey Taylor</x:v>
      </x:c>
      <x:c r="AJ120" t="str">
        <x:v>SPOUSE_PARTNER</x:v>
      </x:c>
      <x:c r="AK120" t="str">
        <x:v>+1 (212) 555-0149</x:v>
      </x:c>
    </x:row>
    <x:row r="121" ht="18" customHeight="1">
      <x:c r="A121" t="str">
        <x:v>DHR-00120</x:v>
      </x:c>
      <x:c r="B121" t="str">
        <x:v>Chris Miller</x:v>
      </x:c>
      <x:c r="C121" t="str">
        <x:v>https://api.dicebear.com/9.x/adventurer/png?seed=DHR-00120-Chris%20Miller&amp;size=256&amp;radius=50&amp;backgroundColor=b6e3f4,c0aede,d1d4f9,ffd5dc,ffdfbf</x:v>
      </x:c>
      <x:c r="D121" t="str">
        <x:v>chris.miller.120@example.com</x:v>
      </x:c>
      <x:c r="E121" t="str">
        <x:v>+1 (213) 555-0119</x:v>
      </x:c>
      <x:c r="F121" t="str">
        <x:v>Los Angeles, CA</x:v>
      </x:c>
      <x:c r="G121" t="str">
        <x:v>Los Angeles</x:v>
      </x:c>
      <x:c r="H121" t="str">
        <x:v>CA</x:v>
      </x:c>
      <x:c r="I121" s="18" t="str">
        <x:v>90012</x:v>
      </x:c>
      <x:c r="J121" s="15" t="n">
        <x:v>31323.908695127317</x:v>
      </x:c>
      <x:c r="K121" t="n">
        <x:f>INT((DATE(2025,12,31)-J121)/365.25)</x:f>
        <x:v>40</x:v>
      </x:c>
      <x:c r="L121" t="str">
        <x:f>IF(K121&lt;25,"18-24",IF(K121&lt;35,"25-34",IF(K121&lt;45,"35-44",IF(K121&lt;55,"45-54","55+"))))</x:f>
        <x:v>35-44</x:v>
      </x:c>
      <x:c r="M121" s="15" t="n">
        <x:v>45651.307121087964</x:v>
      </x:c>
      <x:c r="N121" t="n">
        <x:f>(YEAR(DATE(2025,12,31))-YEAR(M121))*12+MONTH(DATE(2025,12,31))-MONTH(M121)</x:f>
        <x:v>12</x:v>
      </x:c>
      <x:c r="O121" t="str">
        <x:v>ACTIVE</x:v>
      </x:c>
      <x:c r="P121" t="str">
        <x:v>INDEPENDENT_CONTRACTOR</x:v>
      </x:c>
      <x:c r="Q121" t="str">
        <x:v>CAR</x:v>
      </x:c>
      <x:c r="R121" t="str">
        <x:v>LUNCH</x:v>
      </x:c>
      <x:c r="S121" t="n">
        <x:v>22</x:v>
      </x:c>
      <x:c r="T121" t="str">
        <x:v>CLEARED</x:v>
      </x:c>
      <x:c r="U121" t="str">
        <x:v>VALID</x:v>
      </x:c>
      <x:c r="V121" s="16" t="n">
        <x:v>0.9999</x:v>
      </x:c>
      <x:c r="W121" t="str">
        <x:v>English</x:v>
      </x:c>
      <x:c r="X121" t="str">
        <x:v>Arabic</x:v>
      </x:c>
      <x:c r="Y121" t="n">
        <x:v>496</x:v>
      </x:c>
      <x:c r="Z121" s="17" t="n">
        <x:v>4.27</x:v>
      </x:c>
      <x:c r="AA121" s="16" t="n">
        <x:v>0.7171</x:v>
      </x:c>
      <x:c r="AB121" s="16" t="n">
        <x:v>0.9012</x:v>
      </x:c>
      <x:c r="AC121" s="16" t="n">
        <x:v>0.8462</x:v>
      </x:c>
      <x:c r="AD121" t="n">
        <x:v>0</x:v>
      </x:c>
      <x:c r="AE121" t="str">
        <x:f>IF(O121&lt;&gt;"ACTIVE","NOT_RATED",IF(AND(Z121&gt;=4.8,AB121&gt;=0.97,AC121&gt;=0.93,AD121=0),"ELITE",IF(AND(Z121&gt;=4.6,AB121&gt;=0.94,AC121&gt;=0.88),"HIGH_PERFORMER",IF(OR(Z121&lt;4.2,AB121&lt;0.85,AD121&gt;=2),"AT_RISK","STANDARD"))))</x:f>
        <x:v>STANDARD</x:v>
      </x:c>
      <x:c r="AF121" s="15" t="n">
        <x:v>46015</x:v>
      </x:c>
      <x:c r="AG121" t="str">
        <x:v>VERIFIED</x:v>
      </x:c>
      <x:c r="AH121" t="str">
        <x:v>COMPLETE</x:v>
      </x:c>
      <x:c r="AI121" t="str">
        <x:v>Riley Clark</x:v>
      </x:c>
      <x:c r="AJ121" t="str">
        <x:v>SPOUSE_PARTNER</x:v>
      </x:c>
      <x:c r="AK121" t="str">
        <x:v>+1 (213) 555-0156</x:v>
      </x:c>
    </x:row>
    <x:row r="122" ht="18" customHeight="1">
      <x:c r="A122" t="str">
        <x:v>DHR-00121</x:v>
      </x:c>
      <x:c r="B122" t="str">
        <x:v>Chris Moore</x:v>
      </x:c>
      <x:c r="C122" t="str">
        <x:v>https://api.dicebear.com/9.x/adventurer/png?seed=DHR-00121-Chris%20Moore&amp;size=256&amp;radius=50&amp;backgroundColor=b6e3f4,c0aede,d1d4f9,ffd5dc,ffdfbf</x:v>
      </x:c>
      <x:c r="D122" t="str">
        <x:v>chris.moore.121@example.com</x:v>
      </x:c>
      <x:c r="E122" t="str">
        <x:v>+1 (212) 555-0120</x:v>
      </x:c>
      <x:c r="F122" t="str">
        <x:v>New York, NY</x:v>
      </x:c>
      <x:c r="G122" t="str">
        <x:v>New York</x:v>
      </x:c>
      <x:c r="H122" t="str">
        <x:v>NY</x:v>
      </x:c>
      <x:c r="I122" s="18" t="str">
        <x:v>10001</x:v>
      </x:c>
      <x:c r="J122" s="15" t="n">
        <x:v>38403.74115335648</x:v>
      </x:c>
      <x:c r="K122" t="n">
        <x:f>INT((DATE(2025,12,31)-J122)/365.25)</x:f>
        <x:v>20</x:v>
      </x:c>
      <x:c r="L122" t="str">
        <x:f>IF(K122&lt;25,"18-24",IF(K122&lt;35,"25-34",IF(K122&lt;45,"35-44",IF(K122&lt;55,"45-54","55+"))))</x:f>
        <x:v>18-24</x:v>
      </x:c>
      <x:c r="M122" s="15" t="n">
        <x:v>45260.40519857639</x:v>
      </x:c>
      <x:c r="N122" t="n">
        <x:f>(YEAR(DATE(2025,12,31))-YEAR(M122))*12+MONTH(DATE(2025,12,31))-MONTH(M122)</x:f>
        <x:v>25</x:v>
      </x:c>
      <x:c r="O122" t="str">
        <x:v>ACTIVE</x:v>
      </x:c>
      <x:c r="P122" t="str">
        <x:v>INDEPENDENT_CONTRACTOR</x:v>
      </x:c>
      <x:c r="Q122" t="str">
        <x:v>BICYCLE</x:v>
      </x:c>
      <x:c r="R122" t="str">
        <x:v>FLEXIBLE</x:v>
      </x:c>
      <x:c r="S122" t="n">
        <x:v>42</x:v>
      </x:c>
      <x:c r="T122" t="str">
        <x:v>CLEARED</x:v>
      </x:c>
      <x:c r="U122" t="str">
        <x:v>NOT_REQUIRED</x:v>
      </x:c>
      <x:c r="V122" s="16" t="n">
        <x:v>0.8293</x:v>
      </x:c>
      <x:c r="W122" t="str">
        <x:v>English</x:v>
      </x:c>
      <x:c r="X122" t="str">
        <x:v>Vietnamese</x:v>
      </x:c>
      <x:c r="Y122" t="n">
        <x:v>2282</x:v>
      </x:c>
      <x:c r="Z122" s="17" t="n">
        <x:v>4.64</x:v>
      </x:c>
      <x:c r="AA122" s="16" t="n">
        <x:v>0.9306</x:v>
      </x:c>
      <x:c r="AB122" s="16" t="n">
        <x:v>0.9941</x:v>
      </x:c>
      <x:c r="AC122" s="16" t="n">
        <x:v>0.851</x:v>
      </x:c>
      <x:c r="AD122" t="n">
        <x:v>0</x:v>
      </x:c>
      <x:c r="AE122" t="str">
        <x:f>IF(O122&lt;&gt;"ACTIVE","NOT_RATED",IF(AND(Z122&gt;=4.8,AB122&gt;=0.97,AC122&gt;=0.93,AD122=0),"ELITE",IF(AND(Z122&gt;=4.6,AB122&gt;=0.94,AC122&gt;=0.88),"HIGH_PERFORMER",IF(OR(Z122&lt;4.2,AB122&lt;0.85,AD122&gt;=2),"AT_RISK","STANDARD"))))</x:f>
        <x:v>STANDARD</x:v>
      </x:c>
      <x:c r="AF122" s="15" t="n">
        <x:v>46012</x:v>
      </x:c>
      <x:c r="AG122" t="str">
        <x:v>VERIFIED</x:v>
      </x:c>
      <x:c r="AH122" t="str">
        <x:v>COMPLETE</x:v>
      </x:c>
      <x:c r="AI122" t="str">
        <x:v>Alex Walker</x:v>
      </x:c>
      <x:c r="AJ122" t="str">
        <x:v>FRIEND</x:v>
      </x:c>
      <x:c r="AK122" t="str">
        <x:v>+1 (212) 555-0163</x:v>
      </x:c>
    </x:row>
    <x:row r="123" ht="18" customHeight="1">
      <x:c r="A123" t="str">
        <x:v>DHR-00122</x:v>
      </x:c>
      <x:c r="B123" t="str">
        <x:v>Chris Perez</x:v>
      </x:c>
      <x:c r="C123" t="str">
        <x:v>https://api.dicebear.com/9.x/adventurer/png?seed=DHR-00122-Chris%20Perez&amp;size=256&amp;radius=50&amp;backgroundColor=b6e3f4,c0aede,d1d4f9,ffd5dc,ffdfbf</x:v>
      </x:c>
      <x:c r="D123" t="str">
        <x:v>chris.perez.122@example.com</x:v>
      </x:c>
      <x:c r="E123" t="str">
        <x:v>+1 (602) 555-0121</x:v>
      </x:c>
      <x:c r="F123" t="str">
        <x:v>Phoenix, AZ</x:v>
      </x:c>
      <x:c r="G123" t="str">
        <x:v>Phoenix</x:v>
      </x:c>
      <x:c r="H123" t="str">
        <x:v>AZ</x:v>
      </x:c>
      <x:c r="I123" s="18" t="str">
        <x:v>85004</x:v>
      </x:c>
      <x:c r="J123" s="15" t="n">
        <x:v>36540.24642923611</x:v>
      </x:c>
      <x:c r="K123" t="n">
        <x:f>INT((DATE(2025,12,31)-J123)/365.25)</x:f>
        <x:v>25</x:v>
      </x:c>
      <x:c r="L123" t="str">
        <x:f>IF(K123&lt;25,"18-24",IF(K123&lt;35,"25-34",IF(K123&lt;45,"35-44",IF(K123&lt;55,"45-54","55+"))))</x:f>
        <x:v>25-34</x:v>
      </x:c>
      <x:c r="M123" s="15" t="n">
        <x:v>45745.93957884259</x:v>
      </x:c>
      <x:c r="N123" t="n">
        <x:f>(YEAR(DATE(2025,12,31))-YEAR(M123))*12+MONTH(DATE(2025,12,31))-MONTH(M123)</x:f>
        <x:v>9</x:v>
      </x:c>
      <x:c r="O123" t="str">
        <x:v>ACTIVE</x:v>
      </x:c>
      <x:c r="P123" t="str">
        <x:v>INDEPENDENT_CONTRACTOR</x:v>
      </x:c>
      <x:c r="Q123" t="str">
        <x:v>BICYCLE</x:v>
      </x:c>
      <x:c r="R123" t="str">
        <x:v>FLEXIBLE</x:v>
      </x:c>
      <x:c r="S123" t="n">
        <x:v>15</x:v>
      </x:c>
      <x:c r="T123" t="str">
        <x:v>CLEARED</x:v>
      </x:c>
      <x:c r="U123" t="str">
        <x:v>NOT_REQUIRED</x:v>
      </x:c>
      <x:c r="V123" s="16" t="n">
        <x:v>0.8456</x:v>
      </x:c>
      <x:c r="W123" t="str">
        <x:v>English</x:v>
      </x:c>
      <x:c r="X123"/>
      <x:c r="Y123" t="n">
        <x:v>347</x:v>
      </x:c>
      <x:c r="Z123" s="17" t="n">
        <x:v>4.38</x:v>
      </x:c>
      <x:c r="AA123" s="16" t="n">
        <x:v>0.8047</x:v>
      </x:c>
      <x:c r="AB123" s="16" t="n">
        <x:v>0.9779</x:v>
      </x:c>
      <x:c r="AC123" s="16" t="n">
        <x:v>0.8506</x:v>
      </x:c>
      <x:c r="AD123" t="n">
        <x:v>0</x:v>
      </x:c>
      <x:c r="AE123" t="str">
        <x:f>IF(O123&lt;&gt;"ACTIVE","NOT_RATED",IF(AND(Z123&gt;=4.8,AB123&gt;=0.97,AC123&gt;=0.93,AD123=0),"ELITE",IF(AND(Z123&gt;=4.6,AB123&gt;=0.94,AC123&gt;=0.88),"HIGH_PERFORMER",IF(OR(Z123&lt;4.2,AB123&lt;0.85,AD123&gt;=2),"AT_RISK","STANDARD"))))</x:f>
        <x:v>STANDARD</x:v>
      </x:c>
      <x:c r="AF123" s="15" t="n">
        <x:v>46009</x:v>
      </x:c>
      <x:c r="AG123" t="str">
        <x:v>VERIFIED</x:v>
      </x:c>
      <x:c r="AH123" t="str">
        <x:v>COMPLETE</x:v>
      </x:c>
      <x:c r="AI123" t="str">
        <x:v>Sofia Moore</x:v>
      </x:c>
      <x:c r="AJ123" t="str">
        <x:v>PARENT</x:v>
      </x:c>
      <x:c r="AK123" t="str">
        <x:v>+1 (602) 555-0170</x:v>
      </x:c>
    </x:row>
    <x:row r="124" ht="18" customHeight="1">
      <x:c r="A124" t="str">
        <x:v>DHR-00123</x:v>
      </x:c>
      <x:c r="B124" t="str">
        <x:v>Chris Taylor</x:v>
      </x:c>
      <x:c r="C124" t="str">
        <x:v>https://api.dicebear.com/9.x/adventurer/png?seed=DHR-00123-Chris%20Taylor&amp;size=256&amp;radius=50&amp;backgroundColor=b6e3f4,c0aede,d1d4f9,ffd5dc,ffdfbf</x:v>
      </x:c>
      <x:c r="D124" t="str">
        <x:v>chris.taylor.123@example.com</x:v>
      </x:c>
      <x:c r="E124" t="str">
        <x:v>+1 (614) 555-0122</x:v>
      </x:c>
      <x:c r="F124" t="str">
        <x:v>Columbus, OH</x:v>
      </x:c>
      <x:c r="G124" t="str">
        <x:v>Columbus</x:v>
      </x:c>
      <x:c r="H124" t="str">
        <x:v>OH</x:v>
      </x:c>
      <x:c r="I124" s="18" t="str">
        <x:v>43215</x:v>
      </x:c>
      <x:c r="J124" s="15" t="n">
        <x:v>24161.62228045139</x:v>
      </x:c>
      <x:c r="K124" t="n">
        <x:f>INT((DATE(2025,12,31)-J124)/365.25)</x:f>
        <x:v>59</x:v>
      </x:c>
      <x:c r="L124" t="str">
        <x:f>IF(K124&lt;25,"18-24",IF(K124&lt;35,"25-34",IF(K124&lt;45,"35-44",IF(K124&lt;55,"45-54","55+"))))</x:f>
        <x:v>55+</x:v>
      </x:c>
      <x:c r="M124" s="15" t="n">
        <x:v>44166.71577101852</x:v>
      </x:c>
      <x:c r="N124" t="n">
        <x:f>(YEAR(DATE(2025,12,31))-YEAR(M124))*12+MONTH(DATE(2025,12,31))-MONTH(M124)</x:f>
        <x:v>60</x:v>
      </x:c>
      <x:c r="O124" t="str">
        <x:v>ACTIVE</x:v>
      </x:c>
      <x:c r="P124" t="str">
        <x:v>INDEPENDENT_CONTRACTOR</x:v>
      </x:c>
      <x:c r="Q124" t="str">
        <x:v>CAR</x:v>
      </x:c>
      <x:c r="R124" t="str">
        <x:v>DINNER</x:v>
      </x:c>
      <x:c r="S124" t="n">
        <x:v>15</x:v>
      </x:c>
      <x:c r="T124" t="str">
        <x:v>CLEARED</x:v>
      </x:c>
      <x:c r="U124" t="str">
        <x:v>VALID</x:v>
      </x:c>
      <x:c r="V124" s="16" t="n">
        <x:v>0.9649</x:v>
      </x:c>
      <x:c r="W124" t="str">
        <x:v>French</x:v>
      </x:c>
      <x:c r="X124"/>
      <x:c r="Y124" t="n">
        <x:v>3837</x:v>
      </x:c>
      <x:c r="Z124" s="17" t="n">
        <x:v>4.4</x:v>
      </x:c>
      <x:c r="AA124" s="16" t="n">
        <x:v>0.7646</x:v>
      </x:c>
      <x:c r="AB124" s="16" t="n">
        <x:v>0.9382</x:v>
      </x:c>
      <x:c r="AC124" s="16" t="n">
        <x:v>0.8906</x:v>
      </x:c>
      <x:c r="AD124" t="n">
        <x:v>0</x:v>
      </x:c>
      <x:c r="AE124" t="str">
        <x:f>IF(O124&lt;&gt;"ACTIVE","NOT_RATED",IF(AND(Z124&gt;=4.8,AB124&gt;=0.97,AC124&gt;=0.93,AD124=0),"ELITE",IF(AND(Z124&gt;=4.6,AB124&gt;=0.94,AC124&gt;=0.88),"HIGH_PERFORMER",IF(OR(Z124&lt;4.2,AB124&lt;0.85,AD124&gt;=2),"AT_RISK","STANDARD"))))</x:f>
        <x:v>STANDARD</x:v>
      </x:c>
      <x:c r="AF124" s="15" t="n">
        <x:v>46011</x:v>
      </x:c>
      <x:c r="AG124" t="str">
        <x:v>VERIFIED</x:v>
      </x:c>
      <x:c r="AH124" t="str">
        <x:v>COMPLETE</x:v>
      </x:c>
      <x:c r="AI124" t="str">
        <x:v>Robin Young</x:v>
      </x:c>
      <x:c r="AJ124" t="str">
        <x:v>SIBLING</x:v>
      </x:c>
      <x:c r="AK124" t="str">
        <x:v>+1 (614) 555-0177</x:v>
      </x:c>
    </x:row>
    <x:row r="125" ht="18" customHeight="1">
      <x:c r="A125" t="str">
        <x:v>DHR-00124</x:v>
      </x:c>
      <x:c r="B125" t="str">
        <x:v>Chris Thomas</x:v>
      </x:c>
      <x:c r="C125" t="str">
        <x:v>https://api.dicebear.com/9.x/adventurer/png?seed=DHR-00124-Chris%20Thomas&amp;size=256&amp;radius=50&amp;backgroundColor=b6e3f4,c0aede,d1d4f9,ffd5dc,ffdfbf</x:v>
      </x:c>
      <x:c r="D125" t="str">
        <x:v>chris.thomas.124@example.com</x:v>
      </x:c>
      <x:c r="E125" t="str">
        <x:v>+1 (303) 555-0123</x:v>
      </x:c>
      <x:c r="F125" t="str">
        <x:v>Denver, CO</x:v>
      </x:c>
      <x:c r="G125" t="str">
        <x:v>Denver</x:v>
      </x:c>
      <x:c r="H125" t="str">
        <x:v>CO</x:v>
      </x:c>
      <x:c r="I125" s="18" t="str">
        <x:v>80202</x:v>
      </x:c>
      <x:c r="J125" s="15" t="n">
        <x:v>27507.531525497685</x:v>
      </x:c>
      <x:c r="K125" t="n">
        <x:f>INT((DATE(2025,12,31)-J125)/365.25)</x:f>
        <x:v>50</x:v>
      </x:c>
      <x:c r="L125" t="str">
        <x:f>IF(K125&lt;25,"18-24",IF(K125&lt;35,"25-34",IF(K125&lt;45,"35-44",IF(K125&lt;55,"45-54","55+"))))</x:f>
        <x:v>45-54</x:v>
      </x:c>
      <x:c r="M125" s="15" t="n">
        <x:v>43718.56115918981</x:v>
      </x:c>
      <x:c r="N125" t="n">
        <x:f>(YEAR(DATE(2025,12,31))-YEAR(M125))*12+MONTH(DATE(2025,12,31))-MONTH(M125)</x:f>
        <x:v>75</x:v>
      </x:c>
      <x:c r="O125" t="str">
        <x:v>PAUSED</x:v>
      </x:c>
      <x:c r="P125" t="str">
        <x:v>INDEPENDENT_CONTRACTOR</x:v>
      </x:c>
      <x:c r="Q125" t="str">
        <x:v>SCOOTER</x:v>
      </x:c>
      <x:c r="R125" t="str">
        <x:v>FLEXIBLE</x:v>
      </x:c>
      <x:c r="S125" t="n">
        <x:v>14</x:v>
      </x:c>
      <x:c r="T125" t="str">
        <x:v>CLEARED</x:v>
      </x:c>
      <x:c r="U125" t="str">
        <x:v>VALID</x:v>
      </x:c>
      <x:c r="V125" s="16" t="n">
        <x:v>0.9158</x:v>
      </x:c>
      <x:c r="W125" t="str">
        <x:v>English</x:v>
      </x:c>
      <x:c r="X125"/>
      <x:c r="Y125" t="n">
        <x:v>1865</x:v>
      </x:c>
      <x:c r="Z125" s="17" t="n">
        <x:v>4.88</x:v>
      </x:c>
      <x:c r="AA125" s="16" t="n">
        <x:v>0.8116</x:v>
      </x:c>
      <x:c r="AB125" s="16" t="n">
        <x:v>0.9822</x:v>
      </x:c>
      <x:c r="AC125" s="16" t="n">
        <x:v>0.9506</x:v>
      </x:c>
      <x:c r="AD125" t="n">
        <x:v>1</x:v>
      </x:c>
      <x:c r="AE125" t="str">
        <x:f>IF(O125&lt;&gt;"ACTIVE","NOT_RATED",IF(AND(Z125&gt;=4.8,AB125&gt;=0.97,AC125&gt;=0.93,AD125=0),"ELITE",IF(AND(Z125&gt;=4.6,AB125&gt;=0.94,AC125&gt;=0.88),"HIGH_PERFORMER",IF(OR(Z125&lt;4.2,AB125&lt;0.85,AD125&gt;=2),"AT_RISK","STANDARD"))))</x:f>
        <x:v>NOT_RATED</x:v>
      </x:c>
      <x:c r="AF125" s="15" t="n">
        <x:v>45918</x:v>
      </x:c>
      <x:c r="AG125" t="str">
        <x:v>VERIFIED</x:v>
      </x:c>
      <x:c r="AH125" t="str">
        <x:v>COMPLETE</x:v>
      </x:c>
      <x:c r="AI125" t="str">
        <x:v>Jesse Walker</x:v>
      </x:c>
      <x:c r="AJ125" t="str">
        <x:v>SPOUSE_PARTNER</x:v>
      </x:c>
      <x:c r="AK125" t="str">
        <x:v>+1 (303) 555-0184</x:v>
      </x:c>
    </x:row>
    <x:row r="126" ht="18" customHeight="1">
      <x:c r="A126" t="str">
        <x:v>DHR-00125</x:v>
      </x:c>
      <x:c r="B126" t="str">
        <x:v>Chris Thompson</x:v>
      </x:c>
      <x:c r="C126" t="str">
        <x:v>https://api.dicebear.com/9.x/adventurer/png?seed=DHR-00125-Chris%20Thompson&amp;size=256&amp;radius=50&amp;backgroundColor=b6e3f4,c0aede,d1d4f9,ffd5dc,ffdfbf</x:v>
      </x:c>
      <x:c r="D126" t="str">
        <x:v>chris.thompson.125@example.com</x:v>
      </x:c>
      <x:c r="E126" t="str">
        <x:v>+1 (704) 555-0124</x:v>
      </x:c>
      <x:c r="F126" t="str">
        <x:v>Charlotte, NC</x:v>
      </x:c>
      <x:c r="G126" t="str">
        <x:v>Charlotte</x:v>
      </x:c>
      <x:c r="H126" t="str">
        <x:v>NC</x:v>
      </x:c>
      <x:c r="I126" s="18" t="str">
        <x:v>28202</x:v>
      </x:c>
      <x:c r="J126" s="15" t="n">
        <x:v>30018.755002777776</x:v>
      </x:c>
      <x:c r="K126" t="n">
        <x:f>INT((DATE(2025,12,31)-J126)/365.25)</x:f>
        <x:v>43</x:v>
      </x:c>
      <x:c r="L126" t="str">
        <x:f>IF(K126&lt;25,"18-24",IF(K126&lt;35,"25-34",IF(K126&lt;45,"35-44",IF(K126&lt;55,"45-54","55+"))))</x:f>
        <x:v>35-44</x:v>
      </x:c>
      <x:c r="M126" s="15" t="n">
        <x:v>45789.54308587963</x:v>
      </x:c>
      <x:c r="N126" t="n">
        <x:f>(YEAR(DATE(2025,12,31))-YEAR(M126))*12+MONTH(DATE(2025,12,31))-MONTH(M126)</x:f>
        <x:v>7</x:v>
      </x:c>
      <x:c r="O126" t="str">
        <x:v>ACTIVE</x:v>
      </x:c>
      <x:c r="P126" t="str">
        <x:v>INDEPENDENT_CONTRACTOR</x:v>
      </x:c>
      <x:c r="Q126" t="str">
        <x:v>BICYCLE</x:v>
      </x:c>
      <x:c r="R126" t="str">
        <x:v>DINNER</x:v>
      </x:c>
      <x:c r="S126" t="n">
        <x:v>29</x:v>
      </x:c>
      <x:c r="T126" t="str">
        <x:v>CLEARED</x:v>
      </x:c>
      <x:c r="U126" t="str">
        <x:v>NOT_REQUIRED</x:v>
      </x:c>
      <x:c r="V126" s="16" t="n">
        <x:v>0.9142</x:v>
      </x:c>
      <x:c r="W126" t="str">
        <x:v>English</x:v>
      </x:c>
      <x:c r="X126" t="str">
        <x:v>Spanish</x:v>
      </x:c>
      <x:c r="Y126" t="n">
        <x:v>909</x:v>
      </x:c>
      <x:c r="Z126" s="17" t="n">
        <x:v>4.53</x:v>
      </x:c>
      <x:c r="AA126" s="16" t="n">
        <x:v>0.8877</x:v>
      </x:c>
      <x:c r="AB126" s="16" t="n">
        <x:v>0.9501</x:v>
      </x:c>
      <x:c r="AC126" s="16" t="n">
        <x:v>0.8037</x:v>
      </x:c>
      <x:c r="AD126" t="n">
        <x:v>0</x:v>
      </x:c>
      <x:c r="AE126" t="str">
        <x:f>IF(O126&lt;&gt;"ACTIVE","NOT_RATED",IF(AND(Z126&gt;=4.8,AB126&gt;=0.97,AC126&gt;=0.93,AD126=0),"ELITE",IF(AND(Z126&gt;=4.6,AB126&gt;=0.94,AC126&gt;=0.88),"HIGH_PERFORMER",IF(OR(Z126&lt;4.2,AB126&lt;0.85,AD126&gt;=2),"AT_RISK","STANDARD"))))</x:f>
        <x:v>STANDARD</x:v>
      </x:c>
      <x:c r="AF126" s="15" t="n">
        <x:v>46011</x:v>
      </x:c>
      <x:c r="AG126" t="str">
        <x:v>VERIFIED</x:v>
      </x:c>
      <x:c r="AH126" t="str">
        <x:v>PENDING</x:v>
      </x:c>
      <x:c r="AI126" t="str">
        <x:v>Quinn Thomas</x:v>
      </x:c>
      <x:c r="AJ126" t="str">
        <x:v>SIBLING</x:v>
      </x:c>
      <x:c r="AK126" t="str">
        <x:v>+1 (704) 555-0191</x:v>
      </x:c>
    </x:row>
    <x:row r="127" ht="18" customHeight="1">
      <x:c r="A127" t="str">
        <x:v>DHR-00126</x:v>
      </x:c>
      <x:c r="B127" t="str">
        <x:v>Chris Walker</x:v>
      </x:c>
      <x:c r="C127" t="str">
        <x:v>https://api.dicebear.com/9.x/adventurer/png?seed=DHR-00126-Chris%20Walker&amp;size=256&amp;radius=50&amp;backgroundColor=b6e3f4,c0aede,d1d4f9,ffd5dc,ffdfbf</x:v>
      </x:c>
      <x:c r="D127" t="str">
        <x:v>chris.walker.126@example.com</x:v>
      </x:c>
      <x:c r="E127" t="str">
        <x:v>+1 (619) 555-0125</x:v>
      </x:c>
      <x:c r="F127" t="str">
        <x:v>San Diego, CA</x:v>
      </x:c>
      <x:c r="G127" t="str">
        <x:v>San Diego</x:v>
      </x:c>
      <x:c r="H127" t="str">
        <x:v>CA</x:v>
      </x:c>
      <x:c r="I127" s="18" t="str">
        <x:v>92101</x:v>
      </x:c>
      <x:c r="J127" s="15" t="n">
        <x:v>32069.0346821875</x:v>
      </x:c>
      <x:c r="K127" t="n">
        <x:f>INT((DATE(2025,12,31)-J127)/365.25)</x:f>
        <x:v>38</x:v>
      </x:c>
      <x:c r="L127" t="str">
        <x:f>IF(K127&lt;25,"18-24",IF(K127&lt;35,"25-34",IF(K127&lt;45,"35-44",IF(K127&lt;55,"45-54","55+"))))</x:f>
        <x:v>35-44</x:v>
      </x:c>
      <x:c r="M127" s="15" t="n">
        <x:v>44231.897343969904</x:v>
      </x:c>
      <x:c r="N127" t="n">
        <x:f>(YEAR(DATE(2025,12,31))-YEAR(M127))*12+MONTH(DATE(2025,12,31))-MONTH(M127)</x:f>
        <x:v>58</x:v>
      </x:c>
      <x:c r="O127" t="str">
        <x:v>ACTIVE</x:v>
      </x:c>
      <x:c r="P127" t="str">
        <x:v>INDEPENDENT_CONTRACTOR</x:v>
      </x:c>
      <x:c r="Q127" t="str">
        <x:v>BICYCLE</x:v>
      </x:c>
      <x:c r="R127" t="str">
        <x:v>WEEKENDS</x:v>
      </x:c>
      <x:c r="S127" t="n">
        <x:v>13</x:v>
      </x:c>
      <x:c r="T127" t="str">
        <x:v>CLEARED</x:v>
      </x:c>
      <x:c r="U127" t="str">
        <x:v>NOT_REQUIRED</x:v>
      </x:c>
      <x:c r="V127" s="16" t="n">
        <x:v>0.7941</x:v>
      </x:c>
      <x:c r="W127" t="str">
        <x:v>English</x:v>
      </x:c>
      <x:c r="X127"/>
      <x:c r="Y127" t="n">
        <x:v>2266</x:v>
      </x:c>
      <x:c r="Z127" s="17" t="n">
        <x:v>4.32</x:v>
      </x:c>
      <x:c r="AA127" s="16" t="n">
        <x:v>0.9251</x:v>
      </x:c>
      <x:c r="AB127" s="16" t="n">
        <x:v>0.9309</x:v>
      </x:c>
      <x:c r="AC127" s="16" t="n">
        <x:v>0.937</x:v>
      </x:c>
      <x:c r="AD127" t="n">
        <x:v>0</x:v>
      </x:c>
      <x:c r="AE127" t="str">
        <x:f>IF(O127&lt;&gt;"ACTIVE","NOT_RATED",IF(AND(Z127&gt;=4.8,AB127&gt;=0.97,AC127&gt;=0.93,AD127=0),"ELITE",IF(AND(Z127&gt;=4.6,AB127&gt;=0.94,AC127&gt;=0.88),"HIGH_PERFORMER",IF(OR(Z127&lt;4.2,AB127&lt;0.85,AD127&gt;=2),"AT_RISK","STANDARD"))))</x:f>
        <x:v>STANDARD</x:v>
      </x:c>
      <x:c r="AF127" s="15" t="n">
        <x:v>46019</x:v>
      </x:c>
      <x:c r="AG127" t="str">
        <x:v>VERIFIED</x:v>
      </x:c>
      <x:c r="AH127" t="str">
        <x:v>PENDING</x:v>
      </x:c>
      <x:c r="AI127" t="str">
        <x:v>Olivia Lewis</x:v>
      </x:c>
      <x:c r="AJ127" t="str">
        <x:v>PARENT</x:v>
      </x:c>
      <x:c r="AK127" t="str">
        <x:v>+1 (619) 555-0198</x:v>
      </x:c>
    </x:row>
    <x:row r="128" ht="18" customHeight="1">
      <x:c r="A128" t="str">
        <x:v>DHR-00127</x:v>
      </x:c>
      <x:c r="B128" t="str">
        <x:v>Chris White</x:v>
      </x:c>
      <x:c r="C128" t="str">
        <x:v>https://api.dicebear.com/9.x/adventurer/png?seed=DHR-00127-Chris%20White&amp;size=256&amp;radius=50&amp;backgroundColor=b6e3f4,c0aede,d1d4f9,ffd5dc,ffdfbf</x:v>
      </x:c>
      <x:c r="D128" t="str">
        <x:v>chris.white.127@example.com</x:v>
      </x:c>
      <x:c r="E128" t="str">
        <x:v>+1 (213) 555-0126</x:v>
      </x:c>
      <x:c r="F128" t="str">
        <x:v>Los Angeles, CA</x:v>
      </x:c>
      <x:c r="G128" t="str">
        <x:v>Los Angeles</x:v>
      </x:c>
      <x:c r="H128" t="str">
        <x:v>CA</x:v>
      </x:c>
      <x:c r="I128" s="18" t="str">
        <x:v>90012</x:v>
      </x:c>
      <x:c r="J128" s="15" t="n">
        <x:v>37071.24014724537</x:v>
      </x:c>
      <x:c r="K128" t="n">
        <x:f>INT((DATE(2025,12,31)-J128)/365.25)</x:f>
        <x:v>24</x:v>
      </x:c>
      <x:c r="L128" t="str">
        <x:f>IF(K128&lt;25,"18-24",IF(K128&lt;35,"25-34",IF(K128&lt;45,"35-44",IF(K128&lt;55,"45-54","55+"))))</x:f>
        <x:v>18-24</x:v>
      </x:c>
      <x:c r="M128" s="15" t="n">
        <x:v>45586.558587962965</x:v>
      </x:c>
      <x:c r="N128" t="n">
        <x:f>(YEAR(DATE(2025,12,31))-YEAR(M128))*12+MONTH(DATE(2025,12,31))-MONTH(M128)</x:f>
        <x:v>14</x:v>
      </x:c>
      <x:c r="O128" t="str">
        <x:v>PAUSED</x:v>
      </x:c>
      <x:c r="P128" t="str">
        <x:v>INDEPENDENT_CONTRACTOR</x:v>
      </x:c>
      <x:c r="Q128" t="str">
        <x:v>CAR</x:v>
      </x:c>
      <x:c r="R128" t="str">
        <x:v>DINNER</x:v>
      </x:c>
      <x:c r="S128" t="n">
        <x:v>25</x:v>
      </x:c>
      <x:c r="T128" t="str">
        <x:v>CLEARED</x:v>
      </x:c>
      <x:c r="U128" t="str">
        <x:v>VALID</x:v>
      </x:c>
      <x:c r="V128" s="16" t="n">
        <x:v>0.9535</x:v>
      </x:c>
      <x:c r="W128" t="str">
        <x:v>English</x:v>
      </x:c>
      <x:c r="X128"/>
      <x:c r="Y128" t="n">
        <x:v>783</x:v>
      </x:c>
      <x:c r="Z128" s="17" t="n">
        <x:v>4.44</x:v>
      </x:c>
      <x:c r="AA128" s="16" t="n">
        <x:v>0.6726</x:v>
      </x:c>
      <x:c r="AB128" s="16" t="n">
        <x:v>0.8992</x:v>
      </x:c>
      <x:c r="AC128" s="16" t="n">
        <x:v>0.9552</x:v>
      </x:c>
      <x:c r="AD128" t="n">
        <x:v>0</x:v>
      </x:c>
      <x:c r="AE128" t="str">
        <x:f>IF(O128&lt;&gt;"ACTIVE","NOT_RATED",IF(AND(Z128&gt;=4.8,AB128&gt;=0.97,AC128&gt;=0.93,AD128=0),"ELITE",IF(AND(Z128&gt;=4.6,AB128&gt;=0.94,AC128&gt;=0.88),"HIGH_PERFORMER",IF(OR(Z128&lt;4.2,AB128&lt;0.85,AD128&gt;=2),"AT_RISK","STANDARD"))))</x:f>
        <x:v>NOT_RATED</x:v>
      </x:c>
      <x:c r="AF128" s="15" t="n">
        <x:v>45991</x:v>
      </x:c>
      <x:c r="AG128" t="str">
        <x:v>VERIFIED</x:v>
      </x:c>
      <x:c r="AH128" t="str">
        <x:v>COMPLETE</x:v>
      </x:c>
      <x:c r="AI128" t="str">
        <x:v>Taylor Thomas</x:v>
      </x:c>
      <x:c r="AJ128" t="str">
        <x:v>SPOUSE_PARTNER</x:v>
      </x:c>
      <x:c r="AK128" t="str">
        <x:v>+1 (213) 555-0105</x:v>
      </x:c>
    </x:row>
    <x:row r="129" ht="18" customHeight="1">
      <x:c r="A129" t="str">
        <x:v>DHR-00128</x:v>
      </x:c>
      <x:c r="B129" t="str">
        <x:v>Chris Williams</x:v>
      </x:c>
      <x:c r="C129" t="str">
        <x:v>https://api.dicebear.com/9.x/adventurer/png?seed=DHR-00128-Chris%20Williams&amp;size=256&amp;radius=50&amp;backgroundColor=b6e3f4,c0aede,d1d4f9,ffd5dc,ffdfbf</x:v>
      </x:c>
      <x:c r="D129" t="str">
        <x:v>chris.williams.128@example.com</x:v>
      </x:c>
      <x:c r="E129" t="str">
        <x:v>+1 (614) 555-0127</x:v>
      </x:c>
      <x:c r="F129" t="str">
        <x:v>Columbus, OH</x:v>
      </x:c>
      <x:c r="G129" t="str">
        <x:v>Columbus</x:v>
      </x:c>
      <x:c r="H129" t="str">
        <x:v>OH</x:v>
      </x:c>
      <x:c r="I129" s="18" t="str">
        <x:v>43215</x:v>
      </x:c>
      <x:c r="J129" s="15" t="n">
        <x:v>36184.80867958334</x:v>
      </x:c>
      <x:c r="K129" t="n">
        <x:f>INT((DATE(2025,12,31)-J129)/365.25)</x:f>
        <x:v>26</x:v>
      </x:c>
      <x:c r="L129" t="str">
        <x:f>IF(K129&lt;25,"18-24",IF(K129&lt;35,"25-34",IF(K129&lt;45,"35-44",IF(K129&lt;55,"45-54","55+"))))</x:f>
        <x:v>25-34</x:v>
      </x:c>
      <x:c r="M129" s="15" t="n">
        <x:v>43841.2209194213</x:v>
      </x:c>
      <x:c r="N129" t="n">
        <x:f>(YEAR(DATE(2025,12,31))-YEAR(M129))*12+MONTH(DATE(2025,12,31))-MONTH(M129)</x:f>
        <x:v>71</x:v>
      </x:c>
      <x:c r="O129" t="str">
        <x:v>ACTIVE</x:v>
      </x:c>
      <x:c r="P129" t="str">
        <x:v>INDEPENDENT_CONTRACTOR</x:v>
      </x:c>
      <x:c r="Q129" t="str">
        <x:v>CAR</x:v>
      </x:c>
      <x:c r="R129" t="str">
        <x:v>DINNER</x:v>
      </x:c>
      <x:c r="S129" t="n">
        <x:v>11</x:v>
      </x:c>
      <x:c r="T129" t="str">
        <x:v>CLEARED</x:v>
      </x:c>
      <x:c r="U129" t="str">
        <x:v>VALID</x:v>
      </x:c>
      <x:c r="V129" s="16" t="n">
        <x:v>0.9763</x:v>
      </x:c>
      <x:c r="W129" t="str">
        <x:v>English</x:v>
      </x:c>
      <x:c r="X129" t="str">
        <x:v>Spanish</x:v>
      </x:c>
      <x:c r="Y129" t="n">
        <x:v>1710</x:v>
      </x:c>
      <x:c r="Z129" s="17" t="n">
        <x:v>4.61</x:v>
      </x:c>
      <x:c r="AA129" s="16" t="n">
        <x:v>0.8482</x:v>
      </x:c>
      <x:c r="AB129" s="16" t="n">
        <x:v>0.9027</x:v>
      </x:c>
      <x:c r="AC129" s="16" t="n">
        <x:v>0.8396</x:v>
      </x:c>
      <x:c r="AD129" t="n">
        <x:v>0</x:v>
      </x:c>
      <x:c r="AE129" t="str">
        <x:f>IF(O129&lt;&gt;"ACTIVE","NOT_RATED",IF(AND(Z129&gt;=4.8,AB129&gt;=0.97,AC129&gt;=0.93,AD129=0),"ELITE",IF(AND(Z129&gt;=4.6,AB129&gt;=0.94,AC129&gt;=0.88),"HIGH_PERFORMER",IF(OR(Z129&lt;4.2,AB129&lt;0.85,AD129&gt;=2),"AT_RISK","STANDARD"))))</x:f>
        <x:v>STANDARD</x:v>
      </x:c>
      <x:c r="AF129" s="15" t="n">
        <x:v>46010</x:v>
      </x:c>
      <x:c r="AG129" t="str">
        <x:v>VERIFIED</x:v>
      </x:c>
      <x:c r="AH129" t="str">
        <x:v>COMPLETE</x:v>
      </x:c>
      <x:c r="AI129" t="str">
        <x:v>Sofia Martin</x:v>
      </x:c>
      <x:c r="AJ129" t="str">
        <x:v>SPOUSE_PARTNER</x:v>
      </x:c>
      <x:c r="AK129" t="str">
        <x:v>+1 (614) 555-0112</x:v>
      </x:c>
    </x:row>
    <x:row r="130" ht="18" customHeight="1">
      <x:c r="A130" t="str">
        <x:v>DHR-00129</x:v>
      </x:c>
      <x:c r="B130" t="str">
        <x:v>Chris Wilson</x:v>
      </x:c>
      <x:c r="C130" t="str">
        <x:v>https://api.dicebear.com/9.x/adventurer/png?seed=DHR-00129-Chris%20Wilson&amp;size=256&amp;radius=50&amp;backgroundColor=b6e3f4,c0aede,d1d4f9,ffd5dc,ffdfbf</x:v>
      </x:c>
      <x:c r="D130" t="str">
        <x:v>chris.wilson.129@example.com</x:v>
      </x:c>
      <x:c r="E130" t="str">
        <x:v>+1 (212) 555-0128</x:v>
      </x:c>
      <x:c r="F130" t="str">
        <x:v>New York, NY</x:v>
      </x:c>
      <x:c r="G130" t="str">
        <x:v>New York</x:v>
      </x:c>
      <x:c r="H130" t="str">
        <x:v>NY</x:v>
      </x:c>
      <x:c r="I130" s="18" t="str">
        <x:v>10001</x:v>
      </x:c>
      <x:c r="J130" s="15" t="n">
        <x:v>38342.156020381946</x:v>
      </x:c>
      <x:c r="K130" t="n">
        <x:f>INT((DATE(2025,12,31)-J130)/365.25)</x:f>
        <x:v>21</x:v>
      </x:c>
      <x:c r="L130" t="str">
        <x:f>IF(K130&lt;25,"18-24",IF(K130&lt;35,"25-34",IF(K130&lt;45,"35-44",IF(K130&lt;55,"45-54","55+"))))</x:f>
        <x:v>18-24</x:v>
      </x:c>
      <x:c r="M130" s="15" t="n">
        <x:v>44949.52561525463</x:v>
      </x:c>
      <x:c r="N130" t="n">
        <x:f>(YEAR(DATE(2025,12,31))-YEAR(M130))*12+MONTH(DATE(2025,12,31))-MONTH(M130)</x:f>
        <x:v>35</x:v>
      </x:c>
      <x:c r="O130" t="str">
        <x:v>ACTIVE</x:v>
      </x:c>
      <x:c r="P130" t="str">
        <x:v>INDEPENDENT_CONTRACTOR</x:v>
      </x:c>
      <x:c r="Q130" t="str">
        <x:v>E_BIKE</x:v>
      </x:c>
      <x:c r="R130" t="str">
        <x:v>FLEXIBLE</x:v>
      </x:c>
      <x:c r="S130" t="n">
        <x:v>19</x:v>
      </x:c>
      <x:c r="T130" t="str">
        <x:v>CLEARED</x:v>
      </x:c>
      <x:c r="U130" t="str">
        <x:v>NOT_REQUIRED</x:v>
      </x:c>
      <x:c r="V130" s="16" t="n">
        <x:v>0.8266</x:v>
      </x:c>
      <x:c r="W130" t="str">
        <x:v>Mandarin</x:v>
      </x:c>
      <x:c r="X130"/>
      <x:c r="Y130" t="n">
        <x:v>1993</x:v>
      </x:c>
      <x:c r="Z130" s="17" t="n">
        <x:v>4.71</x:v>
      </x:c>
      <x:c r="AA130" s="16" t="n">
        <x:v>0.7736</x:v>
      </x:c>
      <x:c r="AB130" s="16" t="n">
        <x:v>0.9353</x:v>
      </x:c>
      <x:c r="AC130" s="16" t="n">
        <x:v>0.9622</x:v>
      </x:c>
      <x:c r="AD130" t="n">
        <x:v>1</x:v>
      </x:c>
      <x:c r="AE130" t="str">
        <x:f>IF(O130&lt;&gt;"ACTIVE","NOT_RATED",IF(AND(Z130&gt;=4.8,AB130&gt;=0.97,AC130&gt;=0.93,AD130=0),"ELITE",IF(AND(Z130&gt;=4.6,AB130&gt;=0.94,AC130&gt;=0.88),"HIGH_PERFORMER",IF(OR(Z130&lt;4.2,AB130&lt;0.85,AD130&gt;=2),"AT_RISK","STANDARD"))))</x:f>
        <x:v>STANDARD</x:v>
      </x:c>
      <x:c r="AF130" s="15" t="n">
        <x:v>46015</x:v>
      </x:c>
      <x:c r="AG130" t="str">
        <x:v>VERIFIED</x:v>
      </x:c>
      <x:c r="AH130" t="str">
        <x:v>COMPLETE</x:v>
      </x:c>
      <x:c r="AI130" t="str">
        <x:v>Taylor Clark</x:v>
      </x:c>
      <x:c r="AJ130" t="str">
        <x:v>SIBLING</x:v>
      </x:c>
      <x:c r="AK130" t="str">
        <x:v>+1 (212) 555-0119</x:v>
      </x:c>
    </x:row>
    <x:row r="131" ht="18" customHeight="1">
      <x:c r="A131" t="str">
        <x:v>DHR-00130</x:v>
      </x:c>
      <x:c r="B131" t="str">
        <x:v>Chris Young</x:v>
      </x:c>
      <x:c r="C131" t="str">
        <x:v>https://api.dicebear.com/9.x/adventurer/png?seed=DHR-00130-Chris%20Young&amp;size=256&amp;radius=50&amp;backgroundColor=b6e3f4,c0aede,d1d4f9,ffd5dc,ffdfbf</x:v>
      </x:c>
      <x:c r="D131" t="str">
        <x:v>chris.young.130@example.com</x:v>
      </x:c>
      <x:c r="E131" t="str">
        <x:v>+1 (312) 555-0129</x:v>
      </x:c>
      <x:c r="F131" t="str">
        <x:v>Chicago, IL</x:v>
      </x:c>
      <x:c r="G131" t="str">
        <x:v>Chicago</x:v>
      </x:c>
      <x:c r="H131" t="str">
        <x:v>IL</x:v>
      </x:c>
      <x:c r="I131" s="18" t="str">
        <x:v>60601</x:v>
      </x:c>
      <x:c r="J131" s="15" t="n">
        <x:v>30047.81729872685</x:v>
      </x:c>
      <x:c r="K131" t="n">
        <x:f>INT((DATE(2025,12,31)-J131)/365.25)</x:f>
        <x:v>43</x:v>
      </x:c>
      <x:c r="L131" t="str">
        <x:f>IF(K131&lt;25,"18-24",IF(K131&lt;35,"25-34",IF(K131&lt;45,"35-44",IF(K131&lt;55,"45-54","55+"))))</x:f>
        <x:v>35-44</x:v>
      </x:c>
      <x:c r="M131" s="15" t="n">
        <x:v>44815.542818449074</x:v>
      </x:c>
      <x:c r="N131" t="n">
        <x:f>(YEAR(DATE(2025,12,31))-YEAR(M131))*12+MONTH(DATE(2025,12,31))-MONTH(M131)</x:f>
        <x:v>39</x:v>
      </x:c>
      <x:c r="O131" t="str">
        <x:v>PAUSED</x:v>
      </x:c>
      <x:c r="P131" t="str">
        <x:v>INDEPENDENT_CONTRACTOR</x:v>
      </x:c>
      <x:c r="Q131" t="str">
        <x:v>E_BIKE</x:v>
      </x:c>
      <x:c r="R131" t="str">
        <x:v>DINNER</x:v>
      </x:c>
      <x:c r="S131" t="n">
        <x:v>40</x:v>
      </x:c>
      <x:c r="T131" t="str">
        <x:v>CLEARED</x:v>
      </x:c>
      <x:c r="U131" t="str">
        <x:v>NOT_REQUIRED</x:v>
      </x:c>
      <x:c r="V131" s="16" t="n">
        <x:v>0.9289</x:v>
      </x:c>
      <x:c r="W131" t="str">
        <x:v>English</x:v>
      </x:c>
      <x:c r="X131"/>
      <x:c r="Y131" t="n">
        <x:v>6768</x:v>
      </x:c>
      <x:c r="Z131" s="17" t="n">
        <x:v>4.7</x:v>
      </x:c>
      <x:c r="AA131" s="16" t="n">
        <x:v>0.972</x:v>
      </x:c>
      <x:c r="AB131" s="16" t="n">
        <x:v>0.9341</x:v>
      </x:c>
      <x:c r="AC131" s="16" t="n">
        <x:v>0.8338</x:v>
      </x:c>
      <x:c r="AD131" t="n">
        <x:v>0</x:v>
      </x:c>
      <x:c r="AE131" t="str">
        <x:f>IF(O131&lt;&gt;"ACTIVE","NOT_RATED",IF(AND(Z131&gt;=4.8,AB131&gt;=0.97,AC131&gt;=0.93,AD131=0),"ELITE",IF(AND(Z131&gt;=4.6,AB131&gt;=0.94,AC131&gt;=0.88),"HIGH_PERFORMER",IF(OR(Z131&lt;4.2,AB131&lt;0.85,AD131&gt;=2),"AT_RISK","STANDARD"))))</x:f>
        <x:v>NOT_RATED</x:v>
      </x:c>
      <x:c r="AF131" s="15" t="n">
        <x:v>45931</x:v>
      </x:c>
      <x:c r="AG131" t="str">
        <x:v>VERIFIED</x:v>
      </x:c>
      <x:c r="AH131" t="str">
        <x:v>COMPLETE</x:v>
      </x:c>
      <x:c r="AI131" t="str">
        <x:v>Liam Harris</x:v>
      </x:c>
      <x:c r="AJ131" t="str">
        <x:v>FRIEND</x:v>
      </x:c>
      <x:c r="AK131" t="str">
        <x:v>+1 (312) 555-0126</x:v>
      </x:c>
    </x:row>
    <x:row r="132" ht="18" customHeight="1">
      <x:c r="A132" t="str">
        <x:v>DHR-00131</x:v>
      </x:c>
      <x:c r="B132" t="str">
        <x:v>Devin Anderson</x:v>
      </x:c>
      <x:c r="C132" t="str">
        <x:v>https://api.dicebear.com/9.x/adventurer/png?seed=DHR-00131-Devin%20Anderson&amp;size=256&amp;radius=50&amp;backgroundColor=b6e3f4,c0aede,d1d4f9,ffd5dc,ffdfbf</x:v>
      </x:c>
      <x:c r="D132" t="str">
        <x:v>devin.anderson.131@example.com</x:v>
      </x:c>
      <x:c r="E132" t="str">
        <x:v>+1 (615) 555-0130</x:v>
      </x:c>
      <x:c r="F132" t="str">
        <x:v>Nashville, TN</x:v>
      </x:c>
      <x:c r="G132" t="str">
        <x:v>Nashville</x:v>
      </x:c>
      <x:c r="H132" t="str">
        <x:v>TN</x:v>
      </x:c>
      <x:c r="I132" s="18" t="str">
        <x:v>37219</x:v>
      </x:c>
      <x:c r="J132" s="15" t="n">
        <x:v>31693.331791759258</x:v>
      </x:c>
      <x:c r="K132" t="n">
        <x:f>INT((DATE(2025,12,31)-J132)/365.25)</x:f>
        <x:v>39</x:v>
      </x:c>
      <x:c r="L132" t="str">
        <x:f>IF(K132&lt;25,"18-24",IF(K132&lt;35,"25-34",IF(K132&lt;45,"35-44",IF(K132&lt;55,"45-54","55+"))))</x:f>
        <x:v>35-44</x:v>
      </x:c>
      <x:c r="M132" s="15" t="n">
        <x:v>44648.480389351855</x:v>
      </x:c>
      <x:c r="N132" t="n">
        <x:f>(YEAR(DATE(2025,12,31))-YEAR(M132))*12+MONTH(DATE(2025,12,31))-MONTH(M132)</x:f>
        <x:v>45</x:v>
      </x:c>
      <x:c r="O132" t="str">
        <x:v>ACTIVE</x:v>
      </x:c>
      <x:c r="P132" t="str">
        <x:v>INDEPENDENT_CONTRACTOR</x:v>
      </x:c>
      <x:c r="Q132" t="str">
        <x:v>CAR</x:v>
      </x:c>
      <x:c r="R132" t="str">
        <x:v>LUNCH</x:v>
      </x:c>
      <x:c r="S132" t="n">
        <x:v>15</x:v>
      </x:c>
      <x:c r="T132" t="str">
        <x:v>CLEARED</x:v>
      </x:c>
      <x:c r="U132" t="str">
        <x:v>VALID</x:v>
      </x:c>
      <x:c r="V132" s="16" t="n">
        <x:v>0.8576</x:v>
      </x:c>
      <x:c r="W132" t="str">
        <x:v>Spanish</x:v>
      </x:c>
      <x:c r="X132"/>
      <x:c r="Y132" t="n">
        <x:v>1803</x:v>
      </x:c>
      <x:c r="Z132" s="17" t="n">
        <x:v>4.89</x:v>
      </x:c>
      <x:c r="AA132" s="16" t="n">
        <x:v>0.7332</x:v>
      </x:c>
      <x:c r="AB132" s="16" t="n">
        <x:v>0.9277</x:v>
      </x:c>
      <x:c r="AC132" s="16" t="n">
        <x:v>0.8972</x:v>
      </x:c>
      <x:c r="AD132" t="n">
        <x:v>0</x:v>
      </x:c>
      <x:c r="AE132" t="str">
        <x:f>IF(O132&lt;&gt;"ACTIVE","NOT_RATED",IF(AND(Z132&gt;=4.8,AB132&gt;=0.97,AC132&gt;=0.93,AD132=0),"ELITE",IF(AND(Z132&gt;=4.6,AB132&gt;=0.94,AC132&gt;=0.88),"HIGH_PERFORMER",IF(OR(Z132&lt;4.2,AB132&lt;0.85,AD132&gt;=2),"AT_RISK","STANDARD"))))</x:f>
        <x:v>STANDARD</x:v>
      </x:c>
      <x:c r="AF132" s="15" t="n">
        <x:v>46013</x:v>
      </x:c>
      <x:c r="AG132" t="str">
        <x:v>VERIFIED</x:v>
      </x:c>
      <x:c r="AH132" t="str">
        <x:v>COMPLETE</x:v>
      </x:c>
      <x:c r="AI132" t="str">
        <x:v>Chris Wilson</x:v>
      </x:c>
      <x:c r="AJ132" t="str">
        <x:v>SPOUSE_PARTNER</x:v>
      </x:c>
      <x:c r="AK132" t="str">
        <x:v>+1 (615) 555-0133</x:v>
      </x:c>
    </x:row>
    <x:row r="133" ht="18" customHeight="1">
      <x:c r="A133" t="str">
        <x:v>DHR-00132</x:v>
      </x:c>
      <x:c r="B133" t="str">
        <x:v>Devin Brown</x:v>
      </x:c>
      <x:c r="C133" t="str">
        <x:v>https://api.dicebear.com/9.x/adventurer/png?seed=DHR-00132-Devin%20Brown&amp;size=256&amp;radius=50&amp;backgroundColor=b6e3f4,c0aede,d1d4f9,ffd5dc,ffdfbf</x:v>
      </x:c>
      <x:c r="D133" t="str">
        <x:v>devin.brown.132@example.com</x:v>
      </x:c>
      <x:c r="E133" t="str">
        <x:v>+1 (702) 555-0131</x:v>
      </x:c>
      <x:c r="F133" t="str">
        <x:v>Las Vegas, NV</x:v>
      </x:c>
      <x:c r="G133" t="str">
        <x:v>Las Vegas</x:v>
      </x:c>
      <x:c r="H133" t="str">
        <x:v>NV</x:v>
      </x:c>
      <x:c r="I133" s="18" t="str">
        <x:v>89101</x:v>
      </x:c>
      <x:c r="J133" s="15" t="n">
        <x:v>30590.014352280094</x:v>
      </x:c>
      <x:c r="K133" t="n">
        <x:f>INT((DATE(2025,12,31)-J133)/365.25)</x:f>
        <x:v>42</x:v>
      </x:c>
      <x:c r="L133" t="str">
        <x:f>IF(K133&lt;25,"18-24",IF(K133&lt;35,"25-34",IF(K133&lt;45,"35-44",IF(K133&lt;55,"45-54","55+"))))</x:f>
        <x:v>35-44</x:v>
      </x:c>
      <x:c r="M133" s="15" t="n">
        <x:v>45302.497367777774</x:v>
      </x:c>
      <x:c r="N133" t="n">
        <x:f>(YEAR(DATE(2025,12,31))-YEAR(M133))*12+MONTH(DATE(2025,12,31))-MONTH(M133)</x:f>
        <x:v>23</x:v>
      </x:c>
      <x:c r="O133" t="str">
        <x:v>ACTIVE</x:v>
      </x:c>
      <x:c r="P133" t="str">
        <x:v>INDEPENDENT_CONTRACTOR</x:v>
      </x:c>
      <x:c r="Q133" t="str">
        <x:v>CAR</x:v>
      </x:c>
      <x:c r="R133" t="str">
        <x:v>LUNCH</x:v>
      </x:c>
      <x:c r="S133" t="n">
        <x:v>40</x:v>
      </x:c>
      <x:c r="T133" t="str">
        <x:v>CLEARED</x:v>
      </x:c>
      <x:c r="U133" t="str">
        <x:v>VALID</x:v>
      </x:c>
      <x:c r="V133" s="16" t="n">
        <x:v>0.9284</x:v>
      </x:c>
      <x:c r="W133" t="str">
        <x:v>English</x:v>
      </x:c>
      <x:c r="X133" t="str">
        <x:v>Portuguese</x:v>
      </x:c>
      <x:c r="Y133" t="n">
        <x:v>1586</x:v>
      </x:c>
      <x:c r="Z133" s="17" t="n">
        <x:v>4.38</x:v>
      </x:c>
      <x:c r="AA133" s="16" t="n">
        <x:v>0.6311</x:v>
      </x:c>
      <x:c r="AB133" s="16" t="n">
        <x:v>0.9766</x:v>
      </x:c>
      <x:c r="AC133" s="16" t="n">
        <x:v>0.8201</x:v>
      </x:c>
      <x:c r="AD133" t="n">
        <x:v>0</x:v>
      </x:c>
      <x:c r="AE133" t="str">
        <x:f>IF(O133&lt;&gt;"ACTIVE","NOT_RATED",IF(AND(Z133&gt;=4.8,AB133&gt;=0.97,AC133&gt;=0.93,AD133=0),"ELITE",IF(AND(Z133&gt;=4.6,AB133&gt;=0.94,AC133&gt;=0.88),"HIGH_PERFORMER",IF(OR(Z133&lt;4.2,AB133&lt;0.85,AD133&gt;=2),"AT_RISK","STANDARD"))))</x:f>
        <x:v>STANDARD</x:v>
      </x:c>
      <x:c r="AF133" s="15" t="n">
        <x:v>46014</x:v>
      </x:c>
      <x:c r="AG133" t="str">
        <x:v>PENDING</x:v>
      </x:c>
      <x:c r="AH133" t="str">
        <x:v>COMPLETE</x:v>
      </x:c>
      <x:c r="AI133" t="str">
        <x:v>Morgan Taylor</x:v>
      </x:c>
      <x:c r="AJ133" t="str">
        <x:v>SIBLING</x:v>
      </x:c>
      <x:c r="AK133" t="str">
        <x:v>+1 (702) 555-0140</x:v>
      </x:c>
    </x:row>
    <x:row r="134" ht="18" customHeight="1">
      <x:c r="A134" t="str">
        <x:v>DHR-00133</x:v>
      </x:c>
      <x:c r="B134" t="str">
        <x:v>Devin Clark</x:v>
      </x:c>
      <x:c r="C134" t="str">
        <x:v>https://api.dicebear.com/9.x/adventurer/png?seed=DHR-00133-Devin%20Clark&amp;size=256&amp;radius=50&amp;backgroundColor=b6e3f4,c0aede,d1d4f9,ffd5dc,ffdfbf</x:v>
      </x:c>
      <x:c r="D134" t="str">
        <x:v>devin.clark.133@example.com</x:v>
      </x:c>
      <x:c r="E134" t="str">
        <x:v>+1 (213) 555-0132</x:v>
      </x:c>
      <x:c r="F134" t="str">
        <x:v>Los Angeles, CA</x:v>
      </x:c>
      <x:c r="G134" t="str">
        <x:v>Los Angeles</x:v>
      </x:c>
      <x:c r="H134" t="str">
        <x:v>CA</x:v>
      </x:c>
      <x:c r="I134" s="18" t="str">
        <x:v>90012</x:v>
      </x:c>
      <x:c r="J134" s="15" t="n">
        <x:v>33459.03723930556</x:v>
      </x:c>
      <x:c r="K134" t="n">
        <x:f>INT((DATE(2025,12,31)-J134)/365.25)</x:f>
        <x:v>34</x:v>
      </x:c>
      <x:c r="L134" t="str">
        <x:f>IF(K134&lt;25,"18-24",IF(K134&lt;35,"25-34",IF(K134&lt;45,"35-44",IF(K134&lt;55,"45-54","55+"))))</x:f>
        <x:v>25-34</x:v>
      </x:c>
      <x:c r="M134" s="15" t="n">
        <x:v>44457.492995092594</x:v>
      </x:c>
      <x:c r="N134" t="n">
        <x:f>(YEAR(DATE(2025,12,31))-YEAR(M134))*12+MONTH(DATE(2025,12,31))-MONTH(M134)</x:f>
        <x:v>51</x:v>
      </x:c>
      <x:c r="O134" t="str">
        <x:v>ACTIVE</x:v>
      </x:c>
      <x:c r="P134" t="str">
        <x:v>INDEPENDENT_CONTRACTOR</x:v>
      </x:c>
      <x:c r="Q134" t="str">
        <x:v>CAR</x:v>
      </x:c>
      <x:c r="R134" t="str">
        <x:v>FLEXIBLE</x:v>
      </x:c>
      <x:c r="S134" t="n">
        <x:v>27</x:v>
      </x:c>
      <x:c r="T134" t="str">
        <x:v>CLEARED</x:v>
      </x:c>
      <x:c r="U134" t="str">
        <x:v>VALID</x:v>
      </x:c>
      <x:c r="V134" s="16" t="n">
        <x:v>0.8239</x:v>
      </x:c>
      <x:c r="W134" t="str">
        <x:v>English</x:v>
      </x:c>
      <x:c r="X134"/>
      <x:c r="Y134" t="n">
        <x:v>5707</x:v>
      </x:c>
      <x:c r="Z134" s="17" t="n">
        <x:v>4.94</x:v>
      </x:c>
      <x:c r="AA134" s="16" t="n">
        <x:v>0.655</x:v>
      </x:c>
      <x:c r="AB134" s="16" t="n">
        <x:v>0.9119</x:v>
      </x:c>
      <x:c r="AC134" s="16" t="n">
        <x:v>0.8574</x:v>
      </x:c>
      <x:c r="AD134" t="n">
        <x:v>0</x:v>
      </x:c>
      <x:c r="AE134" t="str">
        <x:f>IF(O134&lt;&gt;"ACTIVE","NOT_RATED",IF(AND(Z134&gt;=4.8,AB134&gt;=0.97,AC134&gt;=0.93,AD134=0),"ELITE",IF(AND(Z134&gt;=4.6,AB134&gt;=0.94,AC134&gt;=0.88),"HIGH_PERFORMER",IF(OR(Z134&lt;4.2,AB134&lt;0.85,AD134&gt;=2),"AT_RISK","STANDARD"))))</x:f>
        <x:v>STANDARD</x:v>
      </x:c>
      <x:c r="AF134" s="15" t="n">
        <x:v>46018</x:v>
      </x:c>
      <x:c r="AG134" t="str">
        <x:v>VERIFIED</x:v>
      </x:c>
      <x:c r="AH134" t="str">
        <x:v>COMPLETE</x:v>
      </x:c>
      <x:c r="AI134" t="str">
        <x:v>Ethan Harris</x:v>
      </x:c>
      <x:c r="AJ134" t="str">
        <x:v>PARENT</x:v>
      </x:c>
      <x:c r="AK134" t="str">
        <x:v>+1 (213) 555-0147</x:v>
      </x:c>
    </x:row>
    <x:row r="135" ht="18" customHeight="1">
      <x:c r="A135" t="str">
        <x:v>DHR-00134</x:v>
      </x:c>
      <x:c r="B135" t="str">
        <x:v>Devin Davis</x:v>
      </x:c>
      <x:c r="C135" t="str">
        <x:v>https://api.dicebear.com/9.x/adventurer/png?seed=DHR-00134-Devin%20Davis&amp;size=256&amp;radius=50&amp;backgroundColor=b6e3f4,c0aede,d1d4f9,ffd5dc,ffdfbf</x:v>
      </x:c>
      <x:c r="D135" t="str">
        <x:v>devin.davis.134@example.com</x:v>
      </x:c>
      <x:c r="E135" t="str">
        <x:v>+1 (213) 555-0133</x:v>
      </x:c>
      <x:c r="F135" t="str">
        <x:v>Los Angeles, CA</x:v>
      </x:c>
      <x:c r="G135" t="str">
        <x:v>Los Angeles</x:v>
      </x:c>
      <x:c r="H135" t="str">
        <x:v>CA</x:v>
      </x:c>
      <x:c r="I135" s="18" t="str">
        <x:v>90012</x:v>
      </x:c>
      <x:c r="J135" s="15" t="n">
        <x:v>34519.66685533565</x:v>
      </x:c>
      <x:c r="K135" t="n">
        <x:f>INT((DATE(2025,12,31)-J135)/365.25)</x:f>
        <x:v>31</x:v>
      </x:c>
      <x:c r="L135" t="str">
        <x:f>IF(K135&lt;25,"18-24",IF(K135&lt;35,"25-34",IF(K135&lt;45,"35-44",IF(K135&lt;55,"45-54","55+"))))</x:f>
        <x:v>25-34</x:v>
      </x:c>
      <x:c r="M135" s="15" t="n">
        <x:v>43837.6208928125</x:v>
      </x:c>
      <x:c r="N135" t="n">
        <x:f>(YEAR(DATE(2025,12,31))-YEAR(M135))*12+MONTH(DATE(2025,12,31))-MONTH(M135)</x:f>
        <x:v>71</x:v>
      </x:c>
      <x:c r="O135" t="str">
        <x:v>ACTIVE</x:v>
      </x:c>
      <x:c r="P135" t="str">
        <x:v>INDEPENDENT_CONTRACTOR</x:v>
      </x:c>
      <x:c r="Q135" t="str">
        <x:v>CAR</x:v>
      </x:c>
      <x:c r="R135" t="str">
        <x:v>FLEXIBLE</x:v>
      </x:c>
      <x:c r="S135" t="n">
        <x:v>10</x:v>
      </x:c>
      <x:c r="T135" t="str">
        <x:v>CLEARED</x:v>
      </x:c>
      <x:c r="U135" t="str">
        <x:v>VALID</x:v>
      </x:c>
      <x:c r="V135" s="16" t="n">
        <x:v>0.8329</x:v>
      </x:c>
      <x:c r="W135" t="str">
        <x:v>English</x:v>
      </x:c>
      <x:c r="X135"/>
      <x:c r="Y135" t="n">
        <x:v>2024</x:v>
      </x:c>
      <x:c r="Z135" s="17" t="n">
        <x:v>4.59</x:v>
      </x:c>
      <x:c r="AA135" s="16" t="n">
        <x:v>0.6682</x:v>
      </x:c>
      <x:c r="AB135" s="16" t="n">
        <x:v>0.9608</x:v>
      </x:c>
      <x:c r="AC135" s="16" t="n">
        <x:v>0.8654</x:v>
      </x:c>
      <x:c r="AD135" t="n">
        <x:v>0</x:v>
      </x:c>
      <x:c r="AE135" t="str">
        <x:f>IF(O135&lt;&gt;"ACTIVE","NOT_RATED",IF(AND(Z135&gt;=4.8,AB135&gt;=0.97,AC135&gt;=0.93,AD135=0),"ELITE",IF(AND(Z135&gt;=4.6,AB135&gt;=0.94,AC135&gt;=0.88),"HIGH_PERFORMER",IF(OR(Z135&lt;4.2,AB135&lt;0.85,AD135&gt;=2),"AT_RISK","STANDARD"))))</x:f>
        <x:v>STANDARD</x:v>
      </x:c>
      <x:c r="AF135" s="15" t="n">
        <x:v>46011</x:v>
      </x:c>
      <x:c r="AG135" t="str">
        <x:v>VERIFIED</x:v>
      </x:c>
      <x:c r="AH135" t="str">
        <x:v>COMPLETE</x:v>
      </x:c>
      <x:c r="AI135" t="str">
        <x:v>Morgan Wilson</x:v>
      </x:c>
      <x:c r="AJ135" t="str">
        <x:v>SIBLING</x:v>
      </x:c>
      <x:c r="AK135" t="str">
        <x:v>+1 (213) 555-0154</x:v>
      </x:c>
    </x:row>
    <x:row r="136" ht="18" customHeight="1">
      <x:c r="A136" t="str">
        <x:v>DHR-00135</x:v>
      </x:c>
      <x:c r="B136" t="str">
        <x:v>Devin Jackson</x:v>
      </x:c>
      <x:c r="C136" t="str">
        <x:v>https://api.dicebear.com/9.x/adventurer/png?seed=DHR-00135-Devin%20Jackson&amp;size=256&amp;radius=50&amp;backgroundColor=b6e3f4,c0aede,d1d4f9,ffd5dc,ffdfbf</x:v>
      </x:c>
      <x:c r="D136" t="str">
        <x:v>devin.jackson.135@example.com</x:v>
      </x:c>
      <x:c r="E136" t="str">
        <x:v>+1 (305) 555-0134</x:v>
      </x:c>
      <x:c r="F136" t="str">
        <x:v>Miami, FL</x:v>
      </x:c>
      <x:c r="G136" t="str">
        <x:v>Miami</x:v>
      </x:c>
      <x:c r="H136" t="str">
        <x:v>FL</x:v>
      </x:c>
      <x:c r="I136" s="18" t="str">
        <x:v>33130</x:v>
      </x:c>
      <x:c r="J136" s="15" t="n">
        <x:v>34957.28022850694</x:v>
      </x:c>
      <x:c r="K136" t="n">
        <x:f>INT((DATE(2025,12,31)-J136)/365.25)</x:f>
        <x:v>30</x:v>
      </x:c>
      <x:c r="L136" t="str">
        <x:f>IF(K136&lt;25,"18-24",IF(K136&lt;35,"25-34",IF(K136&lt;45,"35-44",IF(K136&lt;55,"45-54","55+"))))</x:f>
        <x:v>25-34</x:v>
      </x:c>
      <x:c r="M136" s="15" t="n">
        <x:v>45283.81881289352</x:v>
      </x:c>
      <x:c r="N136" t="n">
        <x:f>(YEAR(DATE(2025,12,31))-YEAR(M136))*12+MONTH(DATE(2025,12,31))-MONTH(M136)</x:f>
        <x:v>24</x:v>
      </x:c>
      <x:c r="O136" t="str">
        <x:v>ACTIVE</x:v>
      </x:c>
      <x:c r="P136" t="str">
        <x:v>INDEPENDENT_CONTRACTOR</x:v>
      </x:c>
      <x:c r="Q136" t="str">
        <x:v>CAR</x:v>
      </x:c>
      <x:c r="R136" t="str">
        <x:v>FLEXIBLE</x:v>
      </x:c>
      <x:c r="S136" t="n">
        <x:v>21</x:v>
      </x:c>
      <x:c r="T136" t="str">
        <x:v>CLEARED</x:v>
      </x:c>
      <x:c r="U136" t="str">
        <x:v>VALID</x:v>
      </x:c>
      <x:c r="V136" s="16" t="n">
        <x:v>0.9552</x:v>
      </x:c>
      <x:c r="W136" t="str">
        <x:v>English</x:v>
      </x:c>
      <x:c r="X136"/>
      <x:c r="Y136" t="n">
        <x:v>1146</x:v>
      </x:c>
      <x:c r="Z136" s="17" t="n">
        <x:v>4.5</x:v>
      </x:c>
      <x:c r="AA136" s="16" t="n">
        <x:v>0.8934</x:v>
      </x:c>
      <x:c r="AB136" s="16" t="n">
        <x:v>0.8718</x:v>
      </x:c>
      <x:c r="AC136" s="16" t="n">
        <x:v>0.9342</x:v>
      </x:c>
      <x:c r="AD136" t="n">
        <x:v>0</x:v>
      </x:c>
      <x:c r="AE136" t="str">
        <x:f>IF(O136&lt;&gt;"ACTIVE","NOT_RATED",IF(AND(Z136&gt;=4.8,AB136&gt;=0.97,AC136&gt;=0.93,AD136=0),"ELITE",IF(AND(Z136&gt;=4.6,AB136&gt;=0.94,AC136&gt;=0.88),"HIGH_PERFORMER",IF(OR(Z136&lt;4.2,AB136&lt;0.85,AD136&gt;=2),"AT_RISK","STANDARD"))))</x:f>
        <x:v>STANDARD</x:v>
      </x:c>
      <x:c r="AF136" s="15" t="n">
        <x:v>46008</x:v>
      </x:c>
      <x:c r="AG136" t="str">
        <x:v>VERIFIED</x:v>
      </x:c>
      <x:c r="AH136" t="str">
        <x:v>COMPLETE</x:v>
      </x:c>
      <x:c r="AI136" t="str">
        <x:v>Sam Martinez</x:v>
      </x:c>
      <x:c r="AJ136" t="str">
        <x:v>SPOUSE_PARTNER</x:v>
      </x:c>
      <x:c r="AK136" t="str">
        <x:v>+1 (305) 555-0161</x:v>
      </x:c>
    </x:row>
    <x:row r="137" ht="18" customHeight="1">
      <x:c r="A137" t="str">
        <x:v>DHR-00136</x:v>
      </x:c>
      <x:c r="B137" t="str">
        <x:v>Devin Johnson</x:v>
      </x:c>
      <x:c r="C137" t="str">
        <x:v>https://api.dicebear.com/9.x/adventurer/png?seed=DHR-00136-Devin%20Johnson&amp;size=256&amp;radius=50&amp;backgroundColor=b6e3f4,c0aede,d1d4f9,ffd5dc,ffdfbf</x:v>
      </x:c>
      <x:c r="D137" t="str">
        <x:v>devin.johnson.136@example.com</x:v>
      </x:c>
      <x:c r="E137" t="str">
        <x:v>+1 (612) 555-0135</x:v>
      </x:c>
      <x:c r="F137" t="str">
        <x:v>Minneapolis, MN</x:v>
      </x:c>
      <x:c r="G137" t="str">
        <x:v>Minneapolis</x:v>
      </x:c>
      <x:c r="H137" t="str">
        <x:v>MN</x:v>
      </x:c>
      <x:c r="I137" s="18" t="str">
        <x:v>55401</x:v>
      </x:c>
      <x:c r="J137" s="15" t="n">
        <x:v>28306.411153368055</x:v>
      </x:c>
      <x:c r="K137" t="n">
        <x:f>INT((DATE(2025,12,31)-J137)/365.25)</x:f>
        <x:v>48</x:v>
      </x:c>
      <x:c r="L137" t="str">
        <x:f>IF(K137&lt;25,"18-24",IF(K137&lt;35,"25-34",IF(K137&lt;45,"35-44",IF(K137&lt;55,"45-54","55+"))))</x:f>
        <x:v>45-54</x:v>
      </x:c>
      <x:c r="M137" s="15" t="n">
        <x:v>44888.51649667824</x:v>
      </x:c>
      <x:c r="N137" t="n">
        <x:f>(YEAR(DATE(2025,12,31))-YEAR(M137))*12+MONTH(DATE(2025,12,31))-MONTH(M137)</x:f>
        <x:v>37</x:v>
      </x:c>
      <x:c r="O137" t="str">
        <x:v>ACTIVE</x:v>
      </x:c>
      <x:c r="P137" t="str">
        <x:v>INDEPENDENT_CONTRACTOR</x:v>
      </x:c>
      <x:c r="Q137" t="str">
        <x:v>E_BIKE</x:v>
      </x:c>
      <x:c r="R137" t="str">
        <x:v>DINNER</x:v>
      </x:c>
      <x:c r="S137" t="n">
        <x:v>38</x:v>
      </x:c>
      <x:c r="T137" t="str">
        <x:v>CLEARED</x:v>
      </x:c>
      <x:c r="U137" t="str">
        <x:v>NOT_REQUIRED</x:v>
      </x:c>
      <x:c r="V137" s="16" t="n">
        <x:v>0.8618</x:v>
      </x:c>
      <x:c r="W137" t="str">
        <x:v>Spanish</x:v>
      </x:c>
      <x:c r="X137" t="str">
        <x:v>English</x:v>
      </x:c>
      <x:c r="Y137" t="n">
        <x:v>3342</x:v>
      </x:c>
      <x:c r="Z137" s="17" t="n">
        <x:v>4.37</x:v>
      </x:c>
      <x:c r="AA137" s="16" t="n">
        <x:v>0.6693</x:v>
      </x:c>
      <x:c r="AB137" s="16" t="n">
        <x:v>0.9687</x:v>
      </x:c>
      <x:c r="AC137" s="16" t="n">
        <x:v>0.8805</x:v>
      </x:c>
      <x:c r="AD137" t="n">
        <x:v>0</x:v>
      </x:c>
      <x:c r="AE137" t="str">
        <x:f>IF(O137&lt;&gt;"ACTIVE","NOT_RATED",IF(AND(Z137&gt;=4.8,AB137&gt;=0.97,AC137&gt;=0.93,AD137=0),"ELITE",IF(AND(Z137&gt;=4.6,AB137&gt;=0.94,AC137&gt;=0.88),"HIGH_PERFORMER",IF(OR(Z137&lt;4.2,AB137&lt;0.85,AD137&gt;=2),"AT_RISK","STANDARD"))))</x:f>
        <x:v>STANDARD</x:v>
      </x:c>
      <x:c r="AF137" s="15" t="n">
        <x:v>46016</x:v>
      </x:c>
      <x:c r="AG137" t="str">
        <x:v>VERIFIED</x:v>
      </x:c>
      <x:c r="AH137" t="str">
        <x:v>COMPLETE</x:v>
      </x:c>
      <x:c r="AI137" t="str">
        <x:v>Casey Thompson</x:v>
      </x:c>
      <x:c r="AJ137" t="str">
        <x:v>PARENT</x:v>
      </x:c>
      <x:c r="AK137" t="str">
        <x:v>+1 (612) 555-0168</x:v>
      </x:c>
    </x:row>
    <x:row r="138" ht="18" customHeight="1">
      <x:c r="A138" t="str">
        <x:v>DHR-00137</x:v>
      </x:c>
      <x:c r="B138" t="str">
        <x:v>Devin Jones</x:v>
      </x:c>
      <x:c r="C138" t="str">
        <x:v>https://api.dicebear.com/9.x/adventurer/png?seed=DHR-00137-Devin%20Jones&amp;size=256&amp;radius=50&amp;backgroundColor=b6e3f4,c0aede,d1d4f9,ffd5dc,ffdfbf</x:v>
      </x:c>
      <x:c r="D138" t="str">
        <x:v>devin.jones.137@example.com</x:v>
      </x:c>
      <x:c r="E138" t="str">
        <x:v>+1 (503) 555-0136</x:v>
      </x:c>
      <x:c r="F138" t="str">
        <x:v>Portland, OR</x:v>
      </x:c>
      <x:c r="G138" t="str">
        <x:v>Portland</x:v>
      </x:c>
      <x:c r="H138" t="str">
        <x:v>OR</x:v>
      </x:c>
      <x:c r="I138" s="18" t="str">
        <x:v>97205</x:v>
      </x:c>
      <x:c r="J138" s="15" t="n">
        <x:v>26070.000461238425</x:v>
      </x:c>
      <x:c r="K138" t="n">
        <x:f>INT((DATE(2025,12,31)-J138)/365.25)</x:f>
        <x:v>54</x:v>
      </x:c>
      <x:c r="L138" t="str">
        <x:f>IF(K138&lt;25,"18-24",IF(K138&lt;35,"25-34",IF(K138&lt;45,"35-44",IF(K138&lt;55,"45-54","55+"))))</x:f>
        <x:v>45-54</x:v>
      </x:c>
      <x:c r="M138" s="15" t="n">
        <x:v>44577.47319315972</x:v>
      </x:c>
      <x:c r="N138" t="n">
        <x:f>(YEAR(DATE(2025,12,31))-YEAR(M138))*12+MONTH(DATE(2025,12,31))-MONTH(M138)</x:f>
        <x:v>47</x:v>
      </x:c>
      <x:c r="O138" t="str">
        <x:v>ACTIVE</x:v>
      </x:c>
      <x:c r="P138" t="str">
        <x:v>INDEPENDENT_CONTRACTOR</x:v>
      </x:c>
      <x:c r="Q138" t="str">
        <x:v>CAR</x:v>
      </x:c>
      <x:c r="R138" t="str">
        <x:v>LUNCH</x:v>
      </x:c>
      <x:c r="S138" t="n">
        <x:v>36</x:v>
      </x:c>
      <x:c r="T138" t="str">
        <x:v>CLEARED</x:v>
      </x:c>
      <x:c r="U138" t="str">
        <x:v>VALID</x:v>
      </x:c>
      <x:c r="V138" s="16" t="n">
        <x:v>0.8011</x:v>
      </x:c>
      <x:c r="W138" t="str">
        <x:v>English</x:v>
      </x:c>
      <x:c r="X138" t="str">
        <x:v>Korean</x:v>
      </x:c>
      <x:c r="Y138" t="n">
        <x:v>5416</x:v>
      </x:c>
      <x:c r="Z138" s="17" t="n">
        <x:v>4.98</x:v>
      </x:c>
      <x:c r="AA138" s="16" t="n">
        <x:v>0.69</x:v>
      </x:c>
      <x:c r="AB138" s="16" t="n">
        <x:v>0.9814</x:v>
      </x:c>
      <x:c r="AC138" s="16" t="n">
        <x:v>0.8294</x:v>
      </x:c>
      <x:c r="AD138" t="n">
        <x:v>0</x:v>
      </x:c>
      <x:c r="AE138" t="str">
        <x:f>IF(O138&lt;&gt;"ACTIVE","NOT_RATED",IF(AND(Z138&gt;=4.8,AB138&gt;=0.97,AC138&gt;=0.93,AD138=0),"ELITE",IF(AND(Z138&gt;=4.6,AB138&gt;=0.94,AC138&gt;=0.88),"HIGH_PERFORMER",IF(OR(Z138&lt;4.2,AB138&lt;0.85,AD138&gt;=2),"AT_RISK","STANDARD"))))</x:f>
        <x:v>STANDARD</x:v>
      </x:c>
      <x:c r="AF138" s="15" t="n">
        <x:v>46021</x:v>
      </x:c>
      <x:c r="AG138" t="str">
        <x:v>VERIFIED</x:v>
      </x:c>
      <x:c r="AH138" t="str">
        <x:v>COMPLETE</x:v>
      </x:c>
      <x:c r="AI138" t="str">
        <x:v>Quinn Jones</x:v>
      </x:c>
      <x:c r="AJ138" t="str">
        <x:v>SPOUSE_PARTNER</x:v>
      </x:c>
      <x:c r="AK138" t="str">
        <x:v>+1 (503) 555-0175</x:v>
      </x:c>
    </x:row>
    <x:row r="139" ht="18" customHeight="1">
      <x:c r="A139" t="str">
        <x:v>DHR-00138</x:v>
      </x:c>
      <x:c r="B139" t="str">
        <x:v>Devin Lee</x:v>
      </x:c>
      <x:c r="C139" t="str">
        <x:v>https://api.dicebear.com/9.x/adventurer/png?seed=DHR-00138-Devin%20Lee&amp;size=256&amp;radius=50&amp;backgroundColor=b6e3f4,c0aede,d1d4f9,ffd5dc,ffdfbf</x:v>
      </x:c>
      <x:c r="D139" t="str">
        <x:v>devin.lee.138@example.com</x:v>
      </x:c>
      <x:c r="E139" t="str">
        <x:v>+1 (713) 555-0137</x:v>
      </x:c>
      <x:c r="F139" t="str">
        <x:v>Houston, TX</x:v>
      </x:c>
      <x:c r="G139" t="str">
        <x:v>Houston</x:v>
      </x:c>
      <x:c r="H139" t="str">
        <x:v>TX</x:v>
      </x:c>
      <x:c r="I139" s="18" t="str">
        <x:v>77002</x:v>
      </x:c>
      <x:c r="J139" s="15" t="n">
        <x:v>38316.17276981482</x:v>
      </x:c>
      <x:c r="K139" t="n">
        <x:f>INT((DATE(2025,12,31)-J139)/365.25)</x:f>
        <x:v>21</x:v>
      </x:c>
      <x:c r="L139" t="str">
        <x:f>IF(K139&lt;25,"18-24",IF(K139&lt;35,"25-34",IF(K139&lt;45,"35-44",IF(K139&lt;55,"45-54","55+"))))</x:f>
        <x:v>18-24</x:v>
      </x:c>
      <x:c r="M139" s="15" t="n">
        <x:v>45878.74631239584</x:v>
      </x:c>
      <x:c r="N139" t="n">
        <x:f>(YEAR(DATE(2025,12,31))-YEAR(M139))*12+MONTH(DATE(2025,12,31))-MONTH(M139)</x:f>
        <x:v>4</x:v>
      </x:c>
      <x:c r="O139" t="str">
        <x:v>ACTIVE</x:v>
      </x:c>
      <x:c r="P139" t="str">
        <x:v>INDEPENDENT_CONTRACTOR</x:v>
      </x:c>
      <x:c r="Q139" t="str">
        <x:v>CAR</x:v>
      </x:c>
      <x:c r="R139" t="str">
        <x:v>LUNCH</x:v>
      </x:c>
      <x:c r="S139" t="n">
        <x:v>47</x:v>
      </x:c>
      <x:c r="T139" t="str">
        <x:v>CLEARED</x:v>
      </x:c>
      <x:c r="U139" t="str">
        <x:v>VALID</x:v>
      </x:c>
      <x:c r="V139" s="16" t="n">
        <x:v>0.8113</x:v>
      </x:c>
      <x:c r="W139" t="str">
        <x:v>Spanish</x:v>
      </x:c>
      <x:c r="X139"/>
      <x:c r="Y139" t="n">
        <x:v>664</x:v>
      </x:c>
      <x:c r="Z139" s="17" t="n">
        <x:v>4.82</x:v>
      </x:c>
      <x:c r="AA139" s="16" t="n">
        <x:v>0.9351</x:v>
      </x:c>
      <x:c r="AB139" s="16" t="n">
        <x:v>0.9808</x:v>
      </x:c>
      <x:c r="AC139" s="16" t="n">
        <x:v>0.845</x:v>
      </x:c>
      <x:c r="AD139" t="n">
        <x:v>0</x:v>
      </x:c>
      <x:c r="AE139" t="str">
        <x:f>IF(O139&lt;&gt;"ACTIVE","NOT_RATED",IF(AND(Z139&gt;=4.8,AB139&gt;=0.97,AC139&gt;=0.93,AD139=0),"ELITE",IF(AND(Z139&gt;=4.6,AB139&gt;=0.94,AC139&gt;=0.88),"HIGH_PERFORMER",IF(OR(Z139&lt;4.2,AB139&lt;0.85,AD139&gt;=2),"AT_RISK","STANDARD"))))</x:f>
        <x:v>STANDARD</x:v>
      </x:c>
      <x:c r="AF139" s="15" t="n">
        <x:v>46008</x:v>
      </x:c>
      <x:c r="AG139" t="str">
        <x:v>VERIFIED</x:v>
      </x:c>
      <x:c r="AH139" t="str">
        <x:v>COMPLETE</x:v>
      </x:c>
      <x:c r="AI139" t="str">
        <x:v>Lucas Garcia</x:v>
      </x:c>
      <x:c r="AJ139" t="str">
        <x:v>SIBLING</x:v>
      </x:c>
      <x:c r="AK139" t="str">
        <x:v>+1 (713) 555-0182</x:v>
      </x:c>
    </x:row>
    <x:row r="140" ht="18" customHeight="1">
      <x:c r="A140" t="str">
        <x:v>DHR-00139</x:v>
      </x:c>
      <x:c r="B140" t="str">
        <x:v>Devin Lewis</x:v>
      </x:c>
      <x:c r="C140" t="str">
        <x:v>https://api.dicebear.com/9.x/adventurer/png?seed=DHR-00139-Devin%20Lewis&amp;size=256&amp;radius=50&amp;backgroundColor=b6e3f4,c0aede,d1d4f9,ffd5dc,ffdfbf</x:v>
      </x:c>
      <x:c r="D140" t="str">
        <x:v>devin.lewis.139@example.com</x:v>
      </x:c>
      <x:c r="E140" t="str">
        <x:v>+1 (212) 555-0138</x:v>
      </x:c>
      <x:c r="F140" t="str">
        <x:v>New York, NY</x:v>
      </x:c>
      <x:c r="G140" t="str">
        <x:v>New York</x:v>
      </x:c>
      <x:c r="H140" t="str">
        <x:v>NY</x:v>
      </x:c>
      <x:c r="I140" s="18" t="str">
        <x:v>10001</x:v>
      </x:c>
      <x:c r="J140" s="15" t="n">
        <x:v>34473.073113136576</x:v>
      </x:c>
      <x:c r="K140" t="n">
        <x:f>INT((DATE(2025,12,31)-J140)/365.25)</x:f>
        <x:v>31</x:v>
      </x:c>
      <x:c r="L140" t="str">
        <x:f>IF(K140&lt;25,"18-24",IF(K140&lt;35,"25-34",IF(K140&lt;45,"35-44",IF(K140&lt;55,"45-54","55+"))))</x:f>
        <x:v>25-34</x:v>
      </x:c>
      <x:c r="M140" s="15" t="n">
        <x:v>43604.74726325231</x:v>
      </x:c>
      <x:c r="N140" t="n">
        <x:f>(YEAR(DATE(2025,12,31))-YEAR(M140))*12+MONTH(DATE(2025,12,31))-MONTH(M140)</x:f>
        <x:v>79</x:v>
      </x:c>
      <x:c r="O140" t="str">
        <x:v>ACTIVE</x:v>
      </x:c>
      <x:c r="P140" t="str">
        <x:v>INDEPENDENT_CONTRACTOR</x:v>
      </x:c>
      <x:c r="Q140" t="str">
        <x:v>SCOOTER</x:v>
      </x:c>
      <x:c r="R140" t="str">
        <x:v>FLEXIBLE</x:v>
      </x:c>
      <x:c r="S140" t="n">
        <x:v>35</x:v>
      </x:c>
      <x:c r="T140" t="str">
        <x:v>CLEARED</x:v>
      </x:c>
      <x:c r="U140" t="str">
        <x:v>VALID</x:v>
      </x:c>
      <x:c r="V140" s="16" t="n">
        <x:v>0.9129</x:v>
      </x:c>
      <x:c r="W140" t="str">
        <x:v>English</x:v>
      </x:c>
      <x:c r="X140"/>
      <x:c r="Y140" t="n">
        <x:v>8006</x:v>
      </x:c>
      <x:c r="Z140" s="17" t="n">
        <x:v>4.67</x:v>
      </x:c>
      <x:c r="AA140" s="16" t="n">
        <x:v>0.6974</x:v>
      </x:c>
      <x:c r="AB140" s="16" t="n">
        <x:v>0.8991</x:v>
      </x:c>
      <x:c r="AC140" s="16" t="n">
        <x:v>0.995</x:v>
      </x:c>
      <x:c r="AD140" t="n">
        <x:v>0</x:v>
      </x:c>
      <x:c r="AE140" t="str">
        <x:f>IF(O140&lt;&gt;"ACTIVE","NOT_RATED",IF(AND(Z140&gt;=4.8,AB140&gt;=0.97,AC140&gt;=0.93,AD140=0),"ELITE",IF(AND(Z140&gt;=4.6,AB140&gt;=0.94,AC140&gt;=0.88),"HIGH_PERFORMER",IF(OR(Z140&lt;4.2,AB140&lt;0.85,AD140&gt;=2),"AT_RISK","STANDARD"))))</x:f>
        <x:v>STANDARD</x:v>
      </x:c>
      <x:c r="AF140" s="15" t="n">
        <x:v>46014</x:v>
      </x:c>
      <x:c r="AG140" t="str">
        <x:v>VERIFIED</x:v>
      </x:c>
      <x:c r="AH140" t="str">
        <x:v>COMPLETE</x:v>
      </x:c>
      <x:c r="AI140" t="str">
        <x:v>Avery Rodriguez</x:v>
      </x:c>
      <x:c r="AJ140" t="str">
        <x:v>SPOUSE_PARTNER</x:v>
      </x:c>
      <x:c r="AK140" t="str">
        <x:v>+1 (212) 555-0189</x:v>
      </x:c>
    </x:row>
    <x:row r="141" ht="18" customHeight="1">
      <x:c r="A141" t="str">
        <x:v>DHR-00140</x:v>
      </x:c>
      <x:c r="B141" t="str">
        <x:v>Devin Martinez</x:v>
      </x:c>
      <x:c r="C141" t="str">
        <x:v>https://api.dicebear.com/9.x/adventurer/png?seed=DHR-00140-Devin%20Martinez&amp;size=256&amp;radius=50&amp;backgroundColor=b6e3f4,c0aede,d1d4f9,ffd5dc,ffdfbf</x:v>
      </x:c>
      <x:c r="D141" t="str">
        <x:v>devin.martinez.140@example.com</x:v>
      </x:c>
      <x:c r="E141" t="str">
        <x:v>+1 (617) 555-0139</x:v>
      </x:c>
      <x:c r="F141" t="str">
        <x:v>Boston, MA</x:v>
      </x:c>
      <x:c r="G141" t="str">
        <x:v>Boston</x:v>
      </x:c>
      <x:c r="H141" t="str">
        <x:v>MA</x:v>
      </x:c>
      <x:c r="I141" s="18" t="str">
        <x:v>02108</x:v>
      </x:c>
      <x:c r="J141" s="15" t="n">
        <x:v>25940.26658971065</x:v>
      </x:c>
      <x:c r="K141" t="n">
        <x:f>INT((DATE(2025,12,31)-J141)/365.25)</x:f>
        <x:v>54</x:v>
      </x:c>
      <x:c r="L141" t="str">
        <x:f>IF(K141&lt;25,"18-24",IF(K141&lt;35,"25-34",IF(K141&lt;45,"35-44",IF(K141&lt;55,"45-54","55+"))))</x:f>
        <x:v>45-54</x:v>
      </x:c>
      <x:c r="M141" s="15" t="n">
        <x:v>44046.67405300926</x:v>
      </x:c>
      <x:c r="N141" t="n">
        <x:f>(YEAR(DATE(2025,12,31))-YEAR(M141))*12+MONTH(DATE(2025,12,31))-MONTH(M141)</x:f>
        <x:v>64</x:v>
      </x:c>
      <x:c r="O141" t="str">
        <x:v>ACTIVE</x:v>
      </x:c>
      <x:c r="P141" t="str">
        <x:v>INDEPENDENT_CONTRACTOR</x:v>
      </x:c>
      <x:c r="Q141" t="str">
        <x:v>CAR</x:v>
      </x:c>
      <x:c r="R141" t="str">
        <x:v>DINNER</x:v>
      </x:c>
      <x:c r="S141" t="n">
        <x:v>33</x:v>
      </x:c>
      <x:c r="T141" t="str">
        <x:v>CLEARED</x:v>
      </x:c>
      <x:c r="U141" t="str">
        <x:v>VALID</x:v>
      </x:c>
      <x:c r="V141" s="16" t="n">
        <x:v>0.8707</x:v>
      </x:c>
      <x:c r="W141" t="str">
        <x:v>English</x:v>
      </x:c>
      <x:c r="X141" t="str">
        <x:v>Mandarin</x:v>
      </x:c>
      <x:c r="Y141" t="n">
        <x:v>8956</x:v>
      </x:c>
      <x:c r="Z141" s="17" t="n">
        <x:v>4.78</x:v>
      </x:c>
      <x:c r="AA141" s="16" t="n">
        <x:v>0.8212</x:v>
      </x:c>
      <x:c r="AB141" s="16" t="n">
        <x:v>0.998</x:v>
      </x:c>
      <x:c r="AC141" s="16" t="n">
        <x:v>0.987</x:v>
      </x:c>
      <x:c r="AD141" t="n">
        <x:v>0</x:v>
      </x:c>
      <x:c r="AE141" t="str">
        <x:f>IF(O141&lt;&gt;"ACTIVE","NOT_RATED",IF(AND(Z141&gt;=4.8,AB141&gt;=0.97,AC141&gt;=0.93,AD141=0),"ELITE",IF(AND(Z141&gt;=4.6,AB141&gt;=0.94,AC141&gt;=0.88),"HIGH_PERFORMER",IF(OR(Z141&lt;4.2,AB141&lt;0.85,AD141&gt;=2),"AT_RISK","STANDARD"))))</x:f>
        <x:v>HIGH_PERFORMER</x:v>
      </x:c>
      <x:c r="AF141" s="15" t="n">
        <x:v>46019</x:v>
      </x:c>
      <x:c r="AG141" t="str">
        <x:v>VERIFIED</x:v>
      </x:c>
      <x:c r="AH141" t="str">
        <x:v>COMPLETE</x:v>
      </x:c>
      <x:c r="AI141" t="str">
        <x:v>Noah Rodriguez</x:v>
      </x:c>
      <x:c r="AJ141" t="str">
        <x:v>SPOUSE_PARTNER</x:v>
      </x:c>
      <x:c r="AK141" t="str">
        <x:v>+1 (617) 555-0196</x:v>
      </x:c>
    </x:row>
    <x:row r="142" ht="18" customHeight="1">
      <x:c r="A142" t="str">
        <x:v>DHR-00141</x:v>
      </x:c>
      <x:c r="B142" t="str">
        <x:v>Devin Miller</x:v>
      </x:c>
      <x:c r="C142" t="str">
        <x:v>https://api.dicebear.com/9.x/adventurer/png?seed=DHR-00141-Devin%20Miller&amp;size=256&amp;radius=50&amp;backgroundColor=b6e3f4,c0aede,d1d4f9,ffd5dc,ffdfbf</x:v>
      </x:c>
      <x:c r="D142" t="str">
        <x:v>devin.miller.141@example.com</x:v>
      </x:c>
      <x:c r="E142" t="str">
        <x:v>+1 (210) 555-0140</x:v>
      </x:c>
      <x:c r="F142" t="str">
        <x:v>San Antonio, TX</x:v>
      </x:c>
      <x:c r="G142" t="str">
        <x:v>San Antonio</x:v>
      </x:c>
      <x:c r="H142" t="str">
        <x:v>TX</x:v>
      </x:c>
      <x:c r="I142" s="18" t="str">
        <x:v>78205</x:v>
      </x:c>
      <x:c r="J142" s="15" t="n">
        <x:v>30675.557204652778</x:v>
      </x:c>
      <x:c r="K142" t="n">
        <x:f>INT((DATE(2025,12,31)-J142)/365.25)</x:f>
        <x:v>42</x:v>
      </x:c>
      <x:c r="L142" t="str">
        <x:f>IF(K142&lt;25,"18-24",IF(K142&lt;35,"25-34",IF(K142&lt;45,"35-44",IF(K142&lt;55,"45-54","55+"))))</x:f>
        <x:v>35-44</x:v>
      </x:c>
      <x:c r="M142" s="15" t="n">
        <x:v>45846.13708137732</x:v>
      </x:c>
      <x:c r="N142" t="n">
        <x:f>(YEAR(DATE(2025,12,31))-YEAR(M142))*12+MONTH(DATE(2025,12,31))-MONTH(M142)</x:f>
        <x:v>5</x:v>
      </x:c>
      <x:c r="O142" t="str">
        <x:v>ACTIVE</x:v>
      </x:c>
      <x:c r="P142" t="str">
        <x:v>INDEPENDENT_CONTRACTOR</x:v>
      </x:c>
      <x:c r="Q142" t="str">
        <x:v>E_BIKE</x:v>
      </x:c>
      <x:c r="R142" t="str">
        <x:v>LUNCH</x:v>
      </x:c>
      <x:c r="S142" t="n">
        <x:v>24</x:v>
      </x:c>
      <x:c r="T142" t="str">
        <x:v>CLEARED</x:v>
      </x:c>
      <x:c r="U142" t="str">
        <x:v>NOT_REQUIRED</x:v>
      </x:c>
      <x:c r="V142" s="16" t="n">
        <x:v>0.8181</x:v>
      </x:c>
      <x:c r="W142" t="str">
        <x:v>English</x:v>
      </x:c>
      <x:c r="X142"/>
      <x:c r="Y142" t="n">
        <x:v>376</x:v>
      </x:c>
      <x:c r="Z142" s="17" t="n">
        <x:v>4.77</x:v>
      </x:c>
      <x:c r="AA142" s="16" t="n">
        <x:v>0.9364</x:v>
      </x:c>
      <x:c r="AB142" s="16" t="n">
        <x:v>0.9718</x:v>
      </x:c>
      <x:c r="AC142" s="16" t="n">
        <x:v>0.8178</x:v>
      </x:c>
      <x:c r="AD142" t="n">
        <x:v>0</x:v>
      </x:c>
      <x:c r="AE142" t="str">
        <x:f>IF(O142&lt;&gt;"ACTIVE","NOT_RATED",IF(AND(Z142&gt;=4.8,AB142&gt;=0.97,AC142&gt;=0.93,AD142=0),"ELITE",IF(AND(Z142&gt;=4.6,AB142&gt;=0.94,AC142&gt;=0.88),"HIGH_PERFORMER",IF(OR(Z142&lt;4.2,AB142&lt;0.85,AD142&gt;=2),"AT_RISK","STANDARD"))))</x:f>
        <x:v>STANDARD</x:v>
      </x:c>
      <x:c r="AF142" s="15" t="n">
        <x:v>46015</x:v>
      </x:c>
      <x:c r="AG142" t="str">
        <x:v>VERIFIED</x:v>
      </x:c>
      <x:c r="AH142" t="str">
        <x:v>COMPLETE</x:v>
      </x:c>
      <x:c r="AI142" t="str">
        <x:v>Noah Walker</x:v>
      </x:c>
      <x:c r="AJ142" t="str">
        <x:v>SPOUSE_PARTNER</x:v>
      </x:c>
      <x:c r="AK142" t="str">
        <x:v>+1 (210) 555-0103</x:v>
      </x:c>
    </x:row>
    <x:row r="143" ht="18" customHeight="1">
      <x:c r="A143" t="str">
        <x:v>DHR-00142</x:v>
      </x:c>
      <x:c r="B143" t="str">
        <x:v>Devin Rodriguez</x:v>
      </x:c>
      <x:c r="C143" t="str">
        <x:v>https://api.dicebear.com/9.x/adventurer/png?seed=DHR-00142-Devin%20Rodriguez&amp;size=256&amp;radius=50&amp;backgroundColor=b6e3f4,c0aede,d1d4f9,ffd5dc,ffdfbf</x:v>
      </x:c>
      <x:c r="D143" t="str">
        <x:v>devin.rodriguez.142@example.com</x:v>
      </x:c>
      <x:c r="E143" t="str">
        <x:v>+1 (615) 555-0141</x:v>
      </x:c>
      <x:c r="F143" t="str">
        <x:v>Nashville, TN</x:v>
      </x:c>
      <x:c r="G143" t="str">
        <x:v>Nashville</x:v>
      </x:c>
      <x:c r="H143" t="str">
        <x:v>TN</x:v>
      </x:c>
      <x:c r="I143" s="18" t="str">
        <x:v>37219</x:v>
      </x:c>
      <x:c r="J143" s="15" t="n">
        <x:v>37261.856063657404</x:v>
      </x:c>
      <x:c r="K143" t="n">
        <x:f>INT((DATE(2025,12,31)-J143)/365.25)</x:f>
        <x:v>23</x:v>
      </x:c>
      <x:c r="L143" t="str">
        <x:f>IF(K143&lt;25,"18-24",IF(K143&lt;35,"25-34",IF(K143&lt;45,"35-44",IF(K143&lt;55,"45-54","55+"))))</x:f>
        <x:v>18-24</x:v>
      </x:c>
      <x:c r="M143" s="15" t="n">
        <x:v>44933.112669456015</x:v>
      </x:c>
      <x:c r="N143" t="n">
        <x:f>(YEAR(DATE(2025,12,31))-YEAR(M143))*12+MONTH(DATE(2025,12,31))-MONTH(M143)</x:f>
        <x:v>35</x:v>
      </x:c>
      <x:c r="O143" t="str">
        <x:v>ACTIVE</x:v>
      </x:c>
      <x:c r="P143" t="str">
        <x:v>INDEPENDENT_CONTRACTOR</x:v>
      </x:c>
      <x:c r="Q143" t="str">
        <x:v>CAR</x:v>
      </x:c>
      <x:c r="R143" t="str">
        <x:v>FLEXIBLE</x:v>
      </x:c>
      <x:c r="S143" t="n">
        <x:v>31</x:v>
      </x:c>
      <x:c r="T143" t="str">
        <x:v>CLEARED</x:v>
      </x:c>
      <x:c r="U143" t="str">
        <x:v>VALID</x:v>
      </x:c>
      <x:c r="V143" s="16" t="n">
        <x:v>0.9577</x:v>
      </x:c>
      <x:c r="W143" t="str">
        <x:v>English</x:v>
      </x:c>
      <x:c r="X143"/>
      <x:c r="Y143" t="n">
        <x:v>2577</x:v>
      </x:c>
      <x:c r="Z143" s="17" t="n">
        <x:v>4.5</x:v>
      </x:c>
      <x:c r="AA143" s="16" t="n">
        <x:v>0.6121</x:v>
      </x:c>
      <x:c r="AB143" s="16" t="n">
        <x:v>0.9199</x:v>
      </x:c>
      <x:c r="AC143" s="16" t="n">
        <x:v>0.9764</x:v>
      </x:c>
      <x:c r="AD143" t="n">
        <x:v>0</x:v>
      </x:c>
      <x:c r="AE143" t="str">
        <x:f>IF(O143&lt;&gt;"ACTIVE","NOT_RATED",IF(AND(Z143&gt;=4.8,AB143&gt;=0.97,AC143&gt;=0.93,AD143=0),"ELITE",IF(AND(Z143&gt;=4.6,AB143&gt;=0.94,AC143&gt;=0.88),"HIGH_PERFORMER",IF(OR(Z143&lt;4.2,AB143&lt;0.85,AD143&gt;=2),"AT_RISK","STANDARD"))))</x:f>
        <x:v>STANDARD</x:v>
      </x:c>
      <x:c r="AF143" s="15" t="n">
        <x:v>46008</x:v>
      </x:c>
      <x:c r="AG143" t="str">
        <x:v>VERIFIED</x:v>
      </x:c>
      <x:c r="AH143" t="str">
        <x:v>COMPLETE</x:v>
      </x:c>
      <x:c r="AI143" t="str">
        <x:v>Alex Walker</x:v>
      </x:c>
      <x:c r="AJ143" t="str">
        <x:v>SIBLING</x:v>
      </x:c>
      <x:c r="AK143" t="str">
        <x:v>+1 (615) 555-0110</x:v>
      </x:c>
    </x:row>
    <x:row r="144" ht="18" customHeight="1">
      <x:c r="A144" t="str">
        <x:v>DHR-00143</x:v>
      </x:c>
      <x:c r="B144" t="str">
        <x:v>Devin Taylor</x:v>
      </x:c>
      <x:c r="C144" t="str">
        <x:v>https://api.dicebear.com/9.x/adventurer/png?seed=DHR-00143-Devin%20Taylor&amp;size=256&amp;radius=50&amp;backgroundColor=b6e3f4,c0aede,d1d4f9,ffd5dc,ffdfbf</x:v>
      </x:c>
      <x:c r="D144" t="str">
        <x:v>devin.taylor.143@example.com</x:v>
      </x:c>
      <x:c r="E144" t="str">
        <x:v>+1 (210) 555-0142</x:v>
      </x:c>
      <x:c r="F144" t="str">
        <x:v>San Antonio, TX</x:v>
      </x:c>
      <x:c r="G144" t="str">
        <x:v>San Antonio</x:v>
      </x:c>
      <x:c r="H144" t="str">
        <x:v>TX</x:v>
      </x:c>
      <x:c r="I144" s="18" t="str">
        <x:v>78205</x:v>
      </x:c>
      <x:c r="J144" s="15" t="n">
        <x:v>32924.84081206018</x:v>
      </x:c>
      <x:c r="K144" t="n">
        <x:f>INT((DATE(2025,12,31)-J144)/365.25)</x:f>
        <x:v>35</x:v>
      </x:c>
      <x:c r="L144" t="str">
        <x:f>IF(K144&lt;25,"18-24",IF(K144&lt;35,"25-34",IF(K144&lt;45,"35-44",IF(K144&lt;55,"45-54","55+"))))</x:f>
        <x:v>35-44</x:v>
      </x:c>
      <x:c r="M144" s="15" t="n">
        <x:v>45236.98852704861</x:v>
      </x:c>
      <x:c r="N144" t="n">
        <x:f>(YEAR(DATE(2025,12,31))-YEAR(M144))*12+MONTH(DATE(2025,12,31))-MONTH(M144)</x:f>
        <x:v>25</x:v>
      </x:c>
      <x:c r="O144" t="str">
        <x:v>ACTIVE</x:v>
      </x:c>
      <x:c r="P144" t="str">
        <x:v>INDEPENDENT_CONTRACTOR</x:v>
      </x:c>
      <x:c r="Q144" t="str">
        <x:v>CAR</x:v>
      </x:c>
      <x:c r="R144" t="str">
        <x:v>WEEKENDS</x:v>
      </x:c>
      <x:c r="S144" t="n">
        <x:v>18</x:v>
      </x:c>
      <x:c r="T144" t="str">
        <x:v>CLEARED</x:v>
      </x:c>
      <x:c r="U144" t="str">
        <x:v>VALID</x:v>
      </x:c>
      <x:c r="V144" s="16" t="n">
        <x:v>0.8315</x:v>
      </x:c>
      <x:c r="W144" t="str">
        <x:v>English</x:v>
      </x:c>
      <x:c r="X144"/>
      <x:c r="Y144" t="n">
        <x:v>1007</x:v>
      </x:c>
      <x:c r="Z144" s="17" t="n">
        <x:v>4.25</x:v>
      </x:c>
      <x:c r="AA144" s="16" t="n">
        <x:v>0.7123</x:v>
      </x:c>
      <x:c r="AB144" s="16" t="n">
        <x:v>0.9833</x:v>
      </x:c>
      <x:c r="AC144" s="16" t="n">
        <x:v>0.8362</x:v>
      </x:c>
      <x:c r="AD144" t="n">
        <x:v>0</x:v>
      </x:c>
      <x:c r="AE144" t="str">
        <x:f>IF(O144&lt;&gt;"ACTIVE","NOT_RATED",IF(AND(Z144&gt;=4.8,AB144&gt;=0.97,AC144&gt;=0.93,AD144=0),"ELITE",IF(AND(Z144&gt;=4.6,AB144&gt;=0.94,AC144&gt;=0.88),"HIGH_PERFORMER",IF(OR(Z144&lt;4.2,AB144&lt;0.85,AD144&gt;=2),"AT_RISK","STANDARD"))))</x:f>
        <x:v>STANDARD</x:v>
      </x:c>
      <x:c r="AF144" s="15" t="n">
        <x:v>46016</x:v>
      </x:c>
      <x:c r="AG144" t="str">
        <x:v>ON_HOLD</x:v>
      </x:c>
      <x:c r="AH144" t="str">
        <x:v>COMPLETE</x:v>
      </x:c>
      <x:c r="AI144" t="str">
        <x:v>Hayden Martin</x:v>
      </x:c>
      <x:c r="AJ144" t="str">
        <x:v>SIBLING</x:v>
      </x:c>
      <x:c r="AK144" t="str">
        <x:v>+1 (210) 555-0117</x:v>
      </x:c>
    </x:row>
    <x:row r="145" ht="18" customHeight="1">
      <x:c r="A145" t="str">
        <x:v>DHR-00144</x:v>
      </x:c>
      <x:c r="B145" t="str">
        <x:v>Devin Thomas</x:v>
      </x:c>
      <x:c r="C145" t="str">
        <x:v>https://api.dicebear.com/9.x/adventurer/png?seed=DHR-00144-Devin%20Thomas&amp;size=256&amp;radius=50&amp;backgroundColor=b6e3f4,c0aede,d1d4f9,ffd5dc,ffdfbf</x:v>
      </x:c>
      <x:c r="D145" t="str">
        <x:v>devin.thomas.144@example.com</x:v>
      </x:c>
      <x:c r="E145" t="str">
        <x:v>+1 (602) 555-0143</x:v>
      </x:c>
      <x:c r="F145" t="str">
        <x:v>Phoenix, AZ</x:v>
      </x:c>
      <x:c r="G145" t="str">
        <x:v>Phoenix</x:v>
      </x:c>
      <x:c r="H145" t="str">
        <x:v>AZ</x:v>
      </x:c>
      <x:c r="I145" s="18" t="str">
        <x:v>85004</x:v>
      </x:c>
      <x:c r="J145" s="15" t="n">
        <x:v>33843.9500287037</x:v>
      </x:c>
      <x:c r="K145" t="n">
        <x:f>INT((DATE(2025,12,31)-J145)/365.25)</x:f>
        <x:v>33</x:v>
      </x:c>
      <x:c r="L145" t="str">
        <x:f>IF(K145&lt;25,"18-24",IF(K145&lt;35,"25-34",IF(K145&lt;45,"35-44",IF(K145&lt;55,"45-54","55+"))))</x:f>
        <x:v>25-34</x:v>
      </x:c>
      <x:c r="M145" s="15" t="n">
        <x:v>45144.60181493055</x:v>
      </x:c>
      <x:c r="N145" t="n">
        <x:f>(YEAR(DATE(2025,12,31))-YEAR(M145))*12+MONTH(DATE(2025,12,31))-MONTH(M145)</x:f>
        <x:v>28</x:v>
      </x:c>
      <x:c r="O145" t="str">
        <x:v>ACTIVE</x:v>
      </x:c>
      <x:c r="P145" t="str">
        <x:v>INDEPENDENT_CONTRACTOR</x:v>
      </x:c>
      <x:c r="Q145" t="str">
        <x:v>CAR</x:v>
      </x:c>
      <x:c r="R145" t="str">
        <x:v>FLEXIBLE</x:v>
      </x:c>
      <x:c r="S145" t="n">
        <x:v>48</x:v>
      </x:c>
      <x:c r="T145" t="str">
        <x:v>CLEARED</x:v>
      </x:c>
      <x:c r="U145" t="str">
        <x:v>VALID</x:v>
      </x:c>
      <x:c r="V145" s="16" t="n">
        <x:v>0.9954</x:v>
      </x:c>
      <x:c r="W145" t="str">
        <x:v>English</x:v>
      </x:c>
      <x:c r="X145" t="str">
        <x:v>Spanish</x:v>
      </x:c>
      <x:c r="Y145" t="n">
        <x:v>4833</x:v>
      </x:c>
      <x:c r="Z145" s="17" t="n">
        <x:v>4.49</x:v>
      </x:c>
      <x:c r="AA145" s="16" t="n">
        <x:v>0.863</x:v>
      </x:c>
      <x:c r="AB145" s="16" t="n">
        <x:v>0.9797</x:v>
      </x:c>
      <x:c r="AC145" s="16" t="n">
        <x:v>0.8587</x:v>
      </x:c>
      <x:c r="AD145" t="n">
        <x:v>0</x:v>
      </x:c>
      <x:c r="AE145" t="str">
        <x:f>IF(O145&lt;&gt;"ACTIVE","NOT_RATED",IF(AND(Z145&gt;=4.8,AB145&gt;=0.97,AC145&gt;=0.93,AD145=0),"ELITE",IF(AND(Z145&gt;=4.6,AB145&gt;=0.94,AC145&gt;=0.88),"HIGH_PERFORMER",IF(OR(Z145&lt;4.2,AB145&lt;0.85,AD145&gt;=2),"AT_RISK","STANDARD"))))</x:f>
        <x:v>STANDARD</x:v>
      </x:c>
      <x:c r="AF145" s="15" t="n">
        <x:v>46010</x:v>
      </x:c>
      <x:c r="AG145" t="str">
        <x:v>VERIFIED</x:v>
      </x:c>
      <x:c r="AH145" t="str">
        <x:v>COMPLETE</x:v>
      </x:c>
      <x:c r="AI145" t="str">
        <x:v>Taylor Wilson</x:v>
      </x:c>
      <x:c r="AJ145" t="str">
        <x:v>SPOUSE_PARTNER</x:v>
      </x:c>
      <x:c r="AK145" t="str">
        <x:v>+1 (602) 555-0124</x:v>
      </x:c>
    </x:row>
    <x:row r="146" ht="18" customHeight="1">
      <x:c r="A146" t="str">
        <x:v>DHR-00145</x:v>
      </x:c>
      <x:c r="B146" t="str">
        <x:v>Devin Thompson</x:v>
      </x:c>
      <x:c r="C146" t="str">
        <x:v>https://api.dicebear.com/9.x/adventurer/png?seed=DHR-00145-Devin%20Thompson&amp;size=256&amp;radius=50&amp;backgroundColor=b6e3f4,c0aede,d1d4f9,ffd5dc,ffdfbf</x:v>
      </x:c>
      <x:c r="D146" t="str">
        <x:v>devin.thompson.145@example.com</x:v>
      </x:c>
      <x:c r="E146" t="str">
        <x:v>+1 (215) 555-0144</x:v>
      </x:c>
      <x:c r="F146" t="str">
        <x:v>Philadelphia, PA</x:v>
      </x:c>
      <x:c r="G146" t="str">
        <x:v>Philadelphia</x:v>
      </x:c>
      <x:c r="H146" t="str">
        <x:v>PA</x:v>
      </x:c>
      <x:c r="I146" s="18" t="str">
        <x:v>19103</x:v>
      </x:c>
      <x:c r="J146" s="15" t="n">
        <x:v>24367.339154293983</x:v>
      </x:c>
      <x:c r="K146" t="n">
        <x:f>INT((DATE(2025,12,31)-J146)/365.25)</x:f>
        <x:v>59</x:v>
      </x:c>
      <x:c r="L146" t="str">
        <x:f>IF(K146&lt;25,"18-24",IF(K146&lt;35,"25-34",IF(K146&lt;45,"35-44",IF(K146&lt;55,"45-54","55+"))))</x:f>
        <x:v>55+</x:v>
      </x:c>
      <x:c r="M146" s="15" t="n">
        <x:v>44691.50225424769</x:v>
      </x:c>
      <x:c r="N146" t="n">
        <x:f>(YEAR(DATE(2025,12,31))-YEAR(M146))*12+MONTH(DATE(2025,12,31))-MONTH(M146)</x:f>
        <x:v>43</x:v>
      </x:c>
      <x:c r="O146" t="str">
        <x:v>ACTIVE</x:v>
      </x:c>
      <x:c r="P146" t="str">
        <x:v>INDEPENDENT_CONTRACTOR</x:v>
      </x:c>
      <x:c r="Q146" t="str">
        <x:v>CAR</x:v>
      </x:c>
      <x:c r="R146" t="str">
        <x:v>LUNCH</x:v>
      </x:c>
      <x:c r="S146" t="n">
        <x:v>22</x:v>
      </x:c>
      <x:c r="T146" t="str">
        <x:v>CLEARED</x:v>
      </x:c>
      <x:c r="U146" t="str">
        <x:v>VALID</x:v>
      </x:c>
      <x:c r="V146" s="16" t="n">
        <x:v>0.8603</x:v>
      </x:c>
      <x:c r="W146" t="str">
        <x:v>English</x:v>
      </x:c>
      <x:c r="X146"/>
      <x:c r="Y146" t="n">
        <x:v>3841</x:v>
      </x:c>
      <x:c r="Z146" s="17" t="n">
        <x:v>4.6</x:v>
      </x:c>
      <x:c r="AA146" s="16" t="n">
        <x:v>0.9596</x:v>
      </x:c>
      <x:c r="AB146" s="16" t="n">
        <x:v>0.9181</x:v>
      </x:c>
      <x:c r="AC146" s="16" t="n">
        <x:v>0.9857</x:v>
      </x:c>
      <x:c r="AD146" t="n">
        <x:v>0</x:v>
      </x:c>
      <x:c r="AE146" t="str">
        <x:f>IF(O146&lt;&gt;"ACTIVE","NOT_RATED",IF(AND(Z146&gt;=4.8,AB146&gt;=0.97,AC146&gt;=0.93,AD146=0),"ELITE",IF(AND(Z146&gt;=4.6,AB146&gt;=0.94,AC146&gt;=0.88),"HIGH_PERFORMER",IF(OR(Z146&lt;4.2,AB146&lt;0.85,AD146&gt;=2),"AT_RISK","STANDARD"))))</x:f>
        <x:v>STANDARD</x:v>
      </x:c>
      <x:c r="AF146" s="15" t="n">
        <x:v>46016</x:v>
      </x:c>
      <x:c r="AG146" t="str">
        <x:v>VERIFIED</x:v>
      </x:c>
      <x:c r="AH146" t="str">
        <x:v>COMPLETE</x:v>
      </x:c>
      <x:c r="AI146" t="str">
        <x:v>Chris Harris</x:v>
      </x:c>
      <x:c r="AJ146" t="str">
        <x:v>PARENT</x:v>
      </x:c>
      <x:c r="AK146" t="str">
        <x:v>+1 (215) 555-0131</x:v>
      </x:c>
    </x:row>
    <x:row r="147" ht="18" customHeight="1">
      <x:c r="A147" t="str">
        <x:v>DHR-00146</x:v>
      </x:c>
      <x:c r="B147" t="str">
        <x:v>Devin Walker</x:v>
      </x:c>
      <x:c r="C147" t="str">
        <x:v>https://api.dicebear.com/9.x/adventurer/png?seed=DHR-00146-Devin%20Walker&amp;size=256&amp;radius=50&amp;backgroundColor=b6e3f4,c0aede,d1d4f9,ffd5dc,ffdfbf</x:v>
      </x:c>
      <x:c r="D147" t="str">
        <x:v>devin.walker.146@example.com</x:v>
      </x:c>
      <x:c r="E147" t="str">
        <x:v>+1 (602) 555-0145</x:v>
      </x:c>
      <x:c r="F147" t="str">
        <x:v>Phoenix, AZ</x:v>
      </x:c>
      <x:c r="G147" t="str">
        <x:v>Phoenix</x:v>
      </x:c>
      <x:c r="H147" t="str">
        <x:v>AZ</x:v>
      </x:c>
      <x:c r="I147" s="18" t="str">
        <x:v>85004</x:v>
      </x:c>
      <x:c r="J147" s="15" t="n">
        <x:v>24117.027842997686</x:v>
      </x:c>
      <x:c r="K147" t="n">
        <x:f>INT((DATE(2025,12,31)-J147)/365.25)</x:f>
        <x:v>59</x:v>
      </x:c>
      <x:c r="L147" t="str">
        <x:f>IF(K147&lt;25,"18-24",IF(K147&lt;35,"25-34",IF(K147&lt;45,"35-44",IF(K147&lt;55,"45-54","55+"))))</x:f>
        <x:v>55+</x:v>
      </x:c>
      <x:c r="M147" s="15" t="n">
        <x:v>45032.86859068287</x:v>
      </x:c>
      <x:c r="N147" t="n">
        <x:f>(YEAR(DATE(2025,12,31))-YEAR(M147))*12+MONTH(DATE(2025,12,31))-MONTH(M147)</x:f>
        <x:v>32</x:v>
      </x:c>
      <x:c r="O147" t="str">
        <x:v>ACTIVE</x:v>
      </x:c>
      <x:c r="P147" t="str">
        <x:v>INDEPENDENT_CONTRACTOR</x:v>
      </x:c>
      <x:c r="Q147" t="str">
        <x:v>CAR</x:v>
      </x:c>
      <x:c r="R147" t="str">
        <x:v>FLEXIBLE</x:v>
      </x:c>
      <x:c r="S147" t="n">
        <x:v>30</x:v>
      </x:c>
      <x:c r="T147" t="str">
        <x:v>CLEARED</x:v>
      </x:c>
      <x:c r="U147" t="str">
        <x:v>VALID</x:v>
      </x:c>
      <x:c r="V147" s="16" t="n">
        <x:v>0.9316</x:v>
      </x:c>
      <x:c r="W147" t="str">
        <x:v>Spanish</x:v>
      </x:c>
      <x:c r="X147"/>
      <x:c r="Y147" t="n">
        <x:v>2036</x:v>
      </x:c>
      <x:c r="Z147" s="17" t="n">
        <x:v>4.22</x:v>
      </x:c>
      <x:c r="AA147" s="16" t="n">
        <x:v>0.6294</x:v>
      </x:c>
      <x:c r="AB147" s="16" t="n">
        <x:v>0.9442</x:v>
      </x:c>
      <x:c r="AC147" s="16" t="n">
        <x:v>0.8716</x:v>
      </x:c>
      <x:c r="AD147" t="n">
        <x:v>0</x:v>
      </x:c>
      <x:c r="AE147" t="str">
        <x:f>IF(O147&lt;&gt;"ACTIVE","NOT_RATED",IF(AND(Z147&gt;=4.8,AB147&gt;=0.97,AC147&gt;=0.93,AD147=0),"ELITE",IF(AND(Z147&gt;=4.6,AB147&gt;=0.94,AC147&gt;=0.88),"HIGH_PERFORMER",IF(OR(Z147&lt;4.2,AB147&lt;0.85,AD147&gt;=2),"AT_RISK","STANDARD"))))</x:f>
        <x:v>STANDARD</x:v>
      </x:c>
      <x:c r="AF147" s="15" t="n">
        <x:v>46012</x:v>
      </x:c>
      <x:c r="AG147" t="str">
        <x:v>VERIFIED</x:v>
      </x:c>
      <x:c r="AH147" t="str">
        <x:v>COMPLETE</x:v>
      </x:c>
      <x:c r="AI147" t="str">
        <x:v>Alex Martin</x:v>
      </x:c>
      <x:c r="AJ147" t="str">
        <x:v>SPOUSE_PARTNER</x:v>
      </x:c>
      <x:c r="AK147" t="str">
        <x:v>+1 (602) 555-0138</x:v>
      </x:c>
    </x:row>
    <x:row r="148" ht="18" customHeight="1">
      <x:c r="A148" t="str">
        <x:v>DHR-00147</x:v>
      </x:c>
      <x:c r="B148" t="str">
        <x:v>Devin White</x:v>
      </x:c>
      <x:c r="C148" t="str">
        <x:v>https://api.dicebear.com/9.x/adventurer/png?seed=DHR-00147-Devin%20White&amp;size=256&amp;radius=50&amp;backgroundColor=b6e3f4,c0aede,d1d4f9,ffd5dc,ffdfbf</x:v>
      </x:c>
      <x:c r="D148" t="str">
        <x:v>devin.white.147@example.com</x:v>
      </x:c>
      <x:c r="E148" t="str">
        <x:v>+1 (612) 555-0146</x:v>
      </x:c>
      <x:c r="F148" t="str">
        <x:v>Minneapolis, MN</x:v>
      </x:c>
      <x:c r="G148" t="str">
        <x:v>Minneapolis</x:v>
      </x:c>
      <x:c r="H148" t="str">
        <x:v>MN</x:v>
      </x:c>
      <x:c r="I148" s="18" t="str">
        <x:v>55401</x:v>
      </x:c>
      <x:c r="J148" s="15" t="n">
        <x:v>25772.472006122684</x:v>
      </x:c>
      <x:c r="K148" t="n">
        <x:f>INT((DATE(2025,12,31)-J148)/365.25)</x:f>
        <x:v>55</x:v>
      </x:c>
      <x:c r="L148" t="str">
        <x:f>IF(K148&lt;25,"18-24",IF(K148&lt;35,"25-34",IF(K148&lt;45,"35-44",IF(K148&lt;55,"45-54","55+"))))</x:f>
        <x:v>55+</x:v>
      </x:c>
      <x:c r="M148" s="15" t="n">
        <x:v>44778.39761393519</x:v>
      </x:c>
      <x:c r="N148" t="n">
        <x:f>(YEAR(DATE(2025,12,31))-YEAR(M148))*12+MONTH(DATE(2025,12,31))-MONTH(M148)</x:f>
        <x:v>40</x:v>
      </x:c>
      <x:c r="O148" t="str">
        <x:v>ACTIVE</x:v>
      </x:c>
      <x:c r="P148" t="str">
        <x:v>INDEPENDENT_CONTRACTOR</x:v>
      </x:c>
      <x:c r="Q148" t="str">
        <x:v>BICYCLE</x:v>
      </x:c>
      <x:c r="R148" t="str">
        <x:v>DINNER</x:v>
      </x:c>
      <x:c r="S148" t="n">
        <x:v>42</x:v>
      </x:c>
      <x:c r="T148" t="str">
        <x:v>CLEARED</x:v>
      </x:c>
      <x:c r="U148" t="str">
        <x:v>NOT_REQUIRED</x:v>
      </x:c>
      <x:c r="V148" s="16" t="n">
        <x:v>0.9314</x:v>
      </x:c>
      <x:c r="W148" t="str">
        <x:v>English</x:v>
      </x:c>
      <x:c r="X148"/>
      <x:c r="Y148" t="n">
        <x:v>6923</x:v>
      </x:c>
      <x:c r="Z148" s="17" t="n">
        <x:v>4.37</x:v>
      </x:c>
      <x:c r="AA148" s="16" t="n">
        <x:v>0.9728</x:v>
      </x:c>
      <x:c r="AB148" s="16" t="n">
        <x:v>0.9932</x:v>
      </x:c>
      <x:c r="AC148" s="16" t="n">
        <x:v>0.843</x:v>
      </x:c>
      <x:c r="AD148" t="n">
        <x:v>0</x:v>
      </x:c>
      <x:c r="AE148" t="str">
        <x:f>IF(O148&lt;&gt;"ACTIVE","NOT_RATED",IF(AND(Z148&gt;=4.8,AB148&gt;=0.97,AC148&gt;=0.93,AD148=0),"ELITE",IF(AND(Z148&gt;=4.6,AB148&gt;=0.94,AC148&gt;=0.88),"HIGH_PERFORMER",IF(OR(Z148&lt;4.2,AB148&lt;0.85,AD148&gt;=2),"AT_RISK","STANDARD"))))</x:f>
        <x:v>STANDARD</x:v>
      </x:c>
      <x:c r="AF148" s="15" t="n">
        <x:v>46021</x:v>
      </x:c>
      <x:c r="AG148" t="str">
        <x:v>VERIFIED</x:v>
      </x:c>
      <x:c r="AH148" t="str">
        <x:v>COMPLETE</x:v>
      </x:c>
      <x:c r="AI148" t="str">
        <x:v>Liam Moore</x:v>
      </x:c>
      <x:c r="AJ148" t="str">
        <x:v>SPOUSE_PARTNER</x:v>
      </x:c>
      <x:c r="AK148" t="str">
        <x:v>+1 (612) 555-0145</x:v>
      </x:c>
    </x:row>
    <x:row r="149" ht="18" customHeight="1">
      <x:c r="A149" t="str">
        <x:v>DHR-00148</x:v>
      </x:c>
      <x:c r="B149" t="str">
        <x:v>Devin Williams</x:v>
      </x:c>
      <x:c r="C149" t="str">
        <x:v>https://api.dicebear.com/9.x/adventurer/png?seed=DHR-00148-Devin%20Williams&amp;size=256&amp;radius=50&amp;backgroundColor=b6e3f4,c0aede,d1d4f9,ffd5dc,ffdfbf</x:v>
      </x:c>
      <x:c r="D149" t="str">
        <x:v>devin.williams.148@example.com</x:v>
      </x:c>
      <x:c r="E149" t="str">
        <x:v>+1 (904) 555-0147</x:v>
      </x:c>
      <x:c r="F149" t="str">
        <x:v>Jacksonville, FL</x:v>
      </x:c>
      <x:c r="G149" t="str">
        <x:v>Jacksonville</x:v>
      </x:c>
      <x:c r="H149" t="str">
        <x:v>FL</x:v>
      </x:c>
      <x:c r="I149" s="18" t="str">
        <x:v>32202</x:v>
      </x:c>
      <x:c r="J149" s="15" t="n">
        <x:v>25094.668330729168</x:v>
      </x:c>
      <x:c r="K149" t="n">
        <x:f>INT((DATE(2025,12,31)-J149)/365.25)</x:f>
        <x:v>57</x:v>
      </x:c>
      <x:c r="L149" t="str">
        <x:f>IF(K149&lt;25,"18-24",IF(K149&lt;35,"25-34",IF(K149&lt;45,"35-44",IF(K149&lt;55,"45-54","55+"))))</x:f>
        <x:v>55+</x:v>
      </x:c>
      <x:c r="M149" s="15" t="n">
        <x:v>43864.4874512963</x:v>
      </x:c>
      <x:c r="N149" t="n">
        <x:f>(YEAR(DATE(2025,12,31))-YEAR(M149))*12+MONTH(DATE(2025,12,31))-MONTH(M149)</x:f>
        <x:v>70</x:v>
      </x:c>
      <x:c r="O149" t="str">
        <x:v>ACTIVE</x:v>
      </x:c>
      <x:c r="P149" t="str">
        <x:v>INDEPENDENT_CONTRACTOR</x:v>
      </x:c>
      <x:c r="Q149" t="str">
        <x:v>BICYCLE</x:v>
      </x:c>
      <x:c r="R149" t="str">
        <x:v>FLEXIBLE</x:v>
      </x:c>
      <x:c r="S149" t="n">
        <x:v>36</x:v>
      </x:c>
      <x:c r="T149" t="str">
        <x:v>CLEARED</x:v>
      </x:c>
      <x:c r="U149" t="str">
        <x:v>NOT_REQUIRED</x:v>
      </x:c>
      <x:c r="V149" s="16" t="n">
        <x:v>0.9525</x:v>
      </x:c>
      <x:c r="W149" t="str">
        <x:v>English</x:v>
      </x:c>
      <x:c r="X149"/>
      <x:c r="Y149" t="n">
        <x:v>7107</x:v>
      </x:c>
      <x:c r="Z149" s="17" t="n">
        <x:v>4.88</x:v>
      </x:c>
      <x:c r="AA149" s="16" t="n">
        <x:v>0.6723</x:v>
      </x:c>
      <x:c r="AB149" s="16" t="n">
        <x:v>0.9144</x:v>
      </x:c>
      <x:c r="AC149" s="16" t="n">
        <x:v>0.8815</x:v>
      </x:c>
      <x:c r="AD149" t="n">
        <x:v>0</x:v>
      </x:c>
      <x:c r="AE149" t="str">
        <x:f>IF(O149&lt;&gt;"ACTIVE","NOT_RATED",IF(AND(Z149&gt;=4.8,AB149&gt;=0.97,AC149&gt;=0.93,AD149=0),"ELITE",IF(AND(Z149&gt;=4.6,AB149&gt;=0.94,AC149&gt;=0.88),"HIGH_PERFORMER",IF(OR(Z149&lt;4.2,AB149&lt;0.85,AD149&gt;=2),"AT_RISK","STANDARD"))))</x:f>
        <x:v>STANDARD</x:v>
      </x:c>
      <x:c r="AF149" s="15" t="n">
        <x:v>46017</x:v>
      </x:c>
      <x:c r="AG149" t="str">
        <x:v>VERIFIED</x:v>
      </x:c>
      <x:c r="AH149" t="str">
        <x:v>COMPLETE</x:v>
      </x:c>
      <x:c r="AI149" t="str">
        <x:v>Morgan Martin</x:v>
      </x:c>
      <x:c r="AJ149" t="str">
        <x:v>FRIEND</x:v>
      </x:c>
      <x:c r="AK149" t="str">
        <x:v>+1 (904) 555-0152</x:v>
      </x:c>
    </x:row>
    <x:row r="150" ht="18" customHeight="1">
      <x:c r="A150" t="str">
        <x:v>DHR-00149</x:v>
      </x:c>
      <x:c r="B150" t="str">
        <x:v>Devin Wilson</x:v>
      </x:c>
      <x:c r="C150" t="str">
        <x:v>https://api.dicebear.com/9.x/adventurer/png?seed=DHR-00149-Devin%20Wilson&amp;size=256&amp;radius=50&amp;backgroundColor=b6e3f4,c0aede,d1d4f9,ffd5dc,ffdfbf</x:v>
      </x:c>
      <x:c r="D150" t="str">
        <x:v>devin.wilson.149@example.com</x:v>
      </x:c>
      <x:c r="E150" t="str">
        <x:v>+1 (612) 555-0148</x:v>
      </x:c>
      <x:c r="F150" t="str">
        <x:v>Minneapolis, MN</x:v>
      </x:c>
      <x:c r="G150" t="str">
        <x:v>Minneapolis</x:v>
      </x:c>
      <x:c r="H150" t="str">
        <x:v>MN</x:v>
      </x:c>
      <x:c r="I150" s="18" t="str">
        <x:v>55401</x:v>
      </x:c>
      <x:c r="J150" s="15" t="n">
        <x:v>36674.412430185184</x:v>
      </x:c>
      <x:c r="K150" t="n">
        <x:f>INT((DATE(2025,12,31)-J150)/365.25)</x:f>
        <x:v>25</x:v>
      </x:c>
      <x:c r="L150" t="str">
        <x:f>IF(K150&lt;25,"18-24",IF(K150&lt;35,"25-34",IF(K150&lt;45,"35-44",IF(K150&lt;55,"45-54","55+"))))</x:f>
        <x:v>25-34</x:v>
      </x:c>
      <x:c r="M150" s="15" t="n">
        <x:v>43943.878817164354</x:v>
      </x:c>
      <x:c r="N150" t="n">
        <x:f>(YEAR(DATE(2025,12,31))-YEAR(M150))*12+MONTH(DATE(2025,12,31))-MONTH(M150)</x:f>
        <x:v>68</x:v>
      </x:c>
      <x:c r="O150" t="str">
        <x:v>ACTIVE</x:v>
      </x:c>
      <x:c r="P150" t="str">
        <x:v>INDEPENDENT_CONTRACTOR</x:v>
      </x:c>
      <x:c r="Q150" t="str">
        <x:v>CAR</x:v>
      </x:c>
      <x:c r="R150" t="str">
        <x:v>WEEKENDS</x:v>
      </x:c>
      <x:c r="S150" t="n">
        <x:v>25</x:v>
      </x:c>
      <x:c r="T150" t="str">
        <x:v>CLEARED</x:v>
      </x:c>
      <x:c r="U150" t="str">
        <x:v>VALID</x:v>
      </x:c>
      <x:c r="V150" s="16" t="n">
        <x:v>0.8074</x:v>
      </x:c>
      <x:c r="W150" t="str">
        <x:v>English</x:v>
      </x:c>
      <x:c r="X150"/>
      <x:c r="Y150" t="n">
        <x:v>5380</x:v>
      </x:c>
      <x:c r="Z150" s="17" t="n">
        <x:v>4.25</x:v>
      </x:c>
      <x:c r="AA150" s="16" t="n">
        <x:v>0.7493</x:v>
      </x:c>
      <x:c r="AB150" s="16" t="n">
        <x:v>0.9923</x:v>
      </x:c>
      <x:c r="AC150" s="16" t="n">
        <x:v>0.8536</x:v>
      </x:c>
      <x:c r="AD150" t="n">
        <x:v>0</x:v>
      </x:c>
      <x:c r="AE150" t="str">
        <x:f>IF(O150&lt;&gt;"ACTIVE","NOT_RATED",IF(AND(Z150&gt;=4.8,AB150&gt;=0.97,AC150&gt;=0.93,AD150=0),"ELITE",IF(AND(Z150&gt;=4.6,AB150&gt;=0.94,AC150&gt;=0.88),"HIGH_PERFORMER",IF(OR(Z150&lt;4.2,AB150&lt;0.85,AD150&gt;=2),"AT_RISK","STANDARD"))))</x:f>
        <x:v>STANDARD</x:v>
      </x:c>
      <x:c r="AF150" s="15" t="n">
        <x:v>46021</x:v>
      </x:c>
      <x:c r="AG150" t="str">
        <x:v>VERIFIED</x:v>
      </x:c>
      <x:c r="AH150" t="str">
        <x:v>COMPLETE</x:v>
      </x:c>
      <x:c r="AI150" t="str">
        <x:v>Skyler Clark</x:v>
      </x:c>
      <x:c r="AJ150" t="str">
        <x:v>PARENT</x:v>
      </x:c>
      <x:c r="AK150" t="str">
        <x:v>+1 (612) 555-0159</x:v>
      </x:c>
    </x:row>
    <x:row r="151" ht="18" customHeight="1">
      <x:c r="A151" t="str">
        <x:v>DHR-00150</x:v>
      </x:c>
      <x:c r="B151" t="str">
        <x:v>Devin Young</x:v>
      </x:c>
      <x:c r="C151" t="str">
        <x:v>https://api.dicebear.com/9.x/adventurer/png?seed=DHR-00150-Devin%20Young&amp;size=256&amp;radius=50&amp;backgroundColor=b6e3f4,c0aede,d1d4f9,ffd5dc,ffdfbf</x:v>
      </x:c>
      <x:c r="D151" t="str">
        <x:v>devin.young.150@example.com</x:v>
      </x:c>
      <x:c r="E151" t="str">
        <x:v>+1 (619) 555-0149</x:v>
      </x:c>
      <x:c r="F151" t="str">
        <x:v>San Diego, CA</x:v>
      </x:c>
      <x:c r="G151" t="str">
        <x:v>San Diego</x:v>
      </x:c>
      <x:c r="H151" t="str">
        <x:v>CA</x:v>
      </x:c>
      <x:c r="I151" s="18" t="str">
        <x:v>92101</x:v>
      </x:c>
      <x:c r="J151" s="15" t="n">
        <x:v>25158.0169878125</x:v>
      </x:c>
      <x:c r="K151" t="n">
        <x:f>INT((DATE(2025,12,31)-J151)/365.25)</x:f>
        <x:v>57</x:v>
      </x:c>
      <x:c r="L151" t="str">
        <x:f>IF(K151&lt;25,"18-24",IF(K151&lt;35,"25-34",IF(K151&lt;45,"35-44",IF(K151&lt;55,"45-54","55+"))))</x:f>
        <x:v>55+</x:v>
      </x:c>
      <x:c r="M151" s="15" t="n">
        <x:v>45781.88508881944</x:v>
      </x:c>
      <x:c r="N151" t="n">
        <x:f>(YEAR(DATE(2025,12,31))-YEAR(M151))*12+MONTH(DATE(2025,12,31))-MONTH(M151)</x:f>
        <x:v>7</x:v>
      </x:c>
      <x:c r="O151" t="str">
        <x:v>ACTIVE</x:v>
      </x:c>
      <x:c r="P151" t="str">
        <x:v>INDEPENDENT_CONTRACTOR</x:v>
      </x:c>
      <x:c r="Q151" t="str">
        <x:v>CAR</x:v>
      </x:c>
      <x:c r="R151" t="str">
        <x:v>DINNER</x:v>
      </x:c>
      <x:c r="S151" t="n">
        <x:v>28</x:v>
      </x:c>
      <x:c r="T151" t="str">
        <x:v>CLEARED</x:v>
      </x:c>
      <x:c r="U151" t="str">
        <x:v>VALID</x:v>
      </x:c>
      <x:c r="V151" s="16" t="n">
        <x:v>0.8165</x:v>
      </x:c>
      <x:c r="W151" t="str">
        <x:v>English</x:v>
      </x:c>
      <x:c r="X151" t="str">
        <x:v>Vietnamese</x:v>
      </x:c>
      <x:c r="Y151" t="n">
        <x:v>989</x:v>
      </x:c>
      <x:c r="Z151" s="17" t="n">
        <x:v>4.66</x:v>
      </x:c>
      <x:c r="AA151" s="16" t="n">
        <x:v>0.9107</x:v>
      </x:c>
      <x:c r="AB151" s="16" t="n">
        <x:v>0.9036</x:v>
      </x:c>
      <x:c r="AC151" s="16" t="n">
        <x:v>0.8267</x:v>
      </x:c>
      <x:c r="AD151" t="n">
        <x:v>0</x:v>
      </x:c>
      <x:c r="AE151" t="str">
        <x:f>IF(O151&lt;&gt;"ACTIVE","NOT_RATED",IF(AND(Z151&gt;=4.8,AB151&gt;=0.97,AC151&gt;=0.93,AD151=0),"ELITE",IF(AND(Z151&gt;=4.6,AB151&gt;=0.94,AC151&gt;=0.88),"HIGH_PERFORMER",IF(OR(Z151&lt;4.2,AB151&lt;0.85,AD151&gt;=2),"AT_RISK","STANDARD"))))</x:f>
        <x:v>STANDARD</x:v>
      </x:c>
      <x:c r="AF151" s="15" t="n">
        <x:v>46020</x:v>
      </x:c>
      <x:c r="AG151" t="str">
        <x:v>VERIFIED</x:v>
      </x:c>
      <x:c r="AH151" t="str">
        <x:v>COMPLETE</x:v>
      </x:c>
      <x:c r="AI151" t="str">
        <x:v>Ava Clark</x:v>
      </x:c>
      <x:c r="AJ151" t="str">
        <x:v>FRIEND</x:v>
      </x:c>
      <x:c r="AK151" t="str">
        <x:v>+1 (619) 555-0166</x:v>
      </x:c>
    </x:row>
    <x:row r="152" ht="18" customHeight="1">
      <x:c r="A152" t="str">
        <x:v>DHR-00151</x:v>
      </x:c>
      <x:c r="B152" t="str">
        <x:v>Drew Anderson</x:v>
      </x:c>
      <x:c r="C152" t="str">
        <x:v>https://api.dicebear.com/9.x/adventurer/png?seed=DHR-00151-Drew%20Anderson&amp;size=256&amp;radius=50&amp;backgroundColor=b6e3f4,c0aede,d1d4f9,ffd5dc,ffdfbf</x:v>
      </x:c>
      <x:c r="D152" t="str">
        <x:v>drew.anderson.151@example.com</x:v>
      </x:c>
      <x:c r="E152" t="str">
        <x:v>+1 (904) 555-0150</x:v>
      </x:c>
      <x:c r="F152" t="str">
        <x:v>Jacksonville, FL</x:v>
      </x:c>
      <x:c r="G152" t="str">
        <x:v>Jacksonville</x:v>
      </x:c>
      <x:c r="H152" t="str">
        <x:v>FL</x:v>
      </x:c>
      <x:c r="I152" s="18" t="str">
        <x:v>32202</x:v>
      </x:c>
      <x:c r="J152" s="15" t="n">
        <x:v>26189.506910821758</x:v>
      </x:c>
      <x:c r="K152" t="n">
        <x:f>INT((DATE(2025,12,31)-J152)/365.25)</x:f>
        <x:v>54</x:v>
      </x:c>
      <x:c r="L152" t="str">
        <x:f>IF(K152&lt;25,"18-24",IF(K152&lt;35,"25-34",IF(K152&lt;45,"35-44",IF(K152&lt;55,"45-54","55+"))))</x:f>
        <x:v>45-54</x:v>
      </x:c>
      <x:c r="M152" s="15" t="n">
        <x:v>44445.20875362268</x:v>
      </x:c>
      <x:c r="N152" t="n">
        <x:f>(YEAR(DATE(2025,12,31))-YEAR(M152))*12+MONTH(DATE(2025,12,31))-MONTH(M152)</x:f>
        <x:v>51</x:v>
      </x:c>
      <x:c r="O152" t="str">
        <x:v>ACTIVE</x:v>
      </x:c>
      <x:c r="P152" t="str">
        <x:v>INDEPENDENT_CONTRACTOR</x:v>
      </x:c>
      <x:c r="Q152" t="str">
        <x:v>SCOOTER</x:v>
      </x:c>
      <x:c r="R152" t="str">
        <x:v>DINNER</x:v>
      </x:c>
      <x:c r="S152" t="n">
        <x:v>35</x:v>
      </x:c>
      <x:c r="T152" t="str">
        <x:v>CLEARED</x:v>
      </x:c>
      <x:c r="U152" t="str">
        <x:v>VALID</x:v>
      </x:c>
      <x:c r="V152" s="16" t="n">
        <x:v>0.9728</x:v>
      </x:c>
      <x:c r="W152" t="str">
        <x:v>English</x:v>
      </x:c>
      <x:c r="X152"/>
      <x:c r="Y152" t="n">
        <x:v>4237</x:v>
      </x:c>
      <x:c r="Z152" s="17" t="n">
        <x:v>4.76</x:v>
      </x:c>
      <x:c r="AA152" s="16" t="n">
        <x:v>0.6564</x:v>
      </x:c>
      <x:c r="AB152" s="16" t="n">
        <x:v>0.9806</x:v>
      </x:c>
      <x:c r="AC152" s="16" t="n">
        <x:v>0.8352</x:v>
      </x:c>
      <x:c r="AD152" t="n">
        <x:v>0</x:v>
      </x:c>
      <x:c r="AE152" t="str">
        <x:f>IF(O152&lt;&gt;"ACTIVE","NOT_RATED",IF(AND(Z152&gt;=4.8,AB152&gt;=0.97,AC152&gt;=0.93,AD152=0),"ELITE",IF(AND(Z152&gt;=4.6,AB152&gt;=0.94,AC152&gt;=0.88),"HIGH_PERFORMER",IF(OR(Z152&lt;4.2,AB152&lt;0.85,AD152&gt;=2),"AT_RISK","STANDARD"))))</x:f>
        <x:v>STANDARD</x:v>
      </x:c>
      <x:c r="AF152" s="15" t="n">
        <x:v>46012</x:v>
      </x:c>
      <x:c r="AG152" t="str">
        <x:v>VERIFIED</x:v>
      </x:c>
      <x:c r="AH152" t="str">
        <x:v>COMPLETE</x:v>
      </x:c>
      <x:c r="AI152" t="str">
        <x:v>Liam Garcia</x:v>
      </x:c>
      <x:c r="AJ152" t="str">
        <x:v>PARENT</x:v>
      </x:c>
      <x:c r="AK152" t="str">
        <x:v>+1 (904) 555-0173</x:v>
      </x:c>
    </x:row>
    <x:row r="153" ht="18" customHeight="1">
      <x:c r="A153" t="str">
        <x:v>DHR-00152</x:v>
      </x:c>
      <x:c r="B153" t="str">
        <x:v>Drew Brown</x:v>
      </x:c>
      <x:c r="C153" t="str">
        <x:v>https://api.dicebear.com/9.x/adventurer/png?seed=DHR-00152-Drew%20Brown&amp;size=256&amp;radius=50&amp;backgroundColor=b6e3f4,c0aede,d1d4f9,ffd5dc,ffdfbf</x:v>
      </x:c>
      <x:c r="D153" t="str">
        <x:v>drew.brown.152@example.com</x:v>
      </x:c>
      <x:c r="E153" t="str">
        <x:v>+1 (213) 555-0151</x:v>
      </x:c>
      <x:c r="F153" t="str">
        <x:v>Los Angeles, CA</x:v>
      </x:c>
      <x:c r="G153" t="str">
        <x:v>Los Angeles</x:v>
      </x:c>
      <x:c r="H153" t="str">
        <x:v>CA</x:v>
      </x:c>
      <x:c r="I153" s="18" t="str">
        <x:v>90012</x:v>
      </x:c>
      <x:c r="J153" s="15" t="n">
        <x:v>31992.917476180555</x:v>
      </x:c>
      <x:c r="K153" t="n">
        <x:f>INT((DATE(2025,12,31)-J153)/365.25)</x:f>
        <x:v>38</x:v>
      </x:c>
      <x:c r="L153" t="str">
        <x:f>IF(K153&lt;25,"18-24",IF(K153&lt;35,"25-34",IF(K153&lt;45,"35-44",IF(K153&lt;55,"45-54","55+"))))</x:f>
        <x:v>35-44</x:v>
      </x:c>
      <x:c r="M153" s="15" t="n">
        <x:v>45396.484467662034</x:v>
      </x:c>
      <x:c r="N153" t="n">
        <x:f>(YEAR(DATE(2025,12,31))-YEAR(M153))*12+MONTH(DATE(2025,12,31))-MONTH(M153)</x:f>
        <x:v>20</x:v>
      </x:c>
      <x:c r="O153" t="str">
        <x:v>ACTIVE</x:v>
      </x:c>
      <x:c r="P153" t="str">
        <x:v>INDEPENDENT_CONTRACTOR</x:v>
      </x:c>
      <x:c r="Q153" t="str">
        <x:v>CAR</x:v>
      </x:c>
      <x:c r="R153" t="str">
        <x:v>DINNER</x:v>
      </x:c>
      <x:c r="S153" t="n">
        <x:v>21</x:v>
      </x:c>
      <x:c r="T153" t="str">
        <x:v>CLEARED</x:v>
      </x:c>
      <x:c r="U153" t="str">
        <x:v>VALID</x:v>
      </x:c>
      <x:c r="V153" s="16" t="n">
        <x:v>0.7844</x:v>
      </x:c>
      <x:c r="W153" t="str">
        <x:v>English</x:v>
      </x:c>
      <x:c r="X153"/>
      <x:c r="Y153" t="n">
        <x:v>1172</x:v>
      </x:c>
      <x:c r="Z153" s="17" t="n">
        <x:v>4.63</x:v>
      </x:c>
      <x:c r="AA153" s="16" t="n">
        <x:v>0.6681</x:v>
      </x:c>
      <x:c r="AB153" s="16" t="n">
        <x:v>0.9926</x:v>
      </x:c>
      <x:c r="AC153" s="16" t="n">
        <x:v>0.8425</x:v>
      </x:c>
      <x:c r="AD153" t="n">
        <x:v>0</x:v>
      </x:c>
      <x:c r="AE153" t="str">
        <x:f>IF(O153&lt;&gt;"ACTIVE","NOT_RATED",IF(AND(Z153&gt;=4.8,AB153&gt;=0.97,AC153&gt;=0.93,AD153=0),"ELITE",IF(AND(Z153&gt;=4.6,AB153&gt;=0.94,AC153&gt;=0.88),"HIGH_PERFORMER",IF(OR(Z153&lt;4.2,AB153&lt;0.85,AD153&gt;=2),"AT_RISK","STANDARD"))))</x:f>
        <x:v>STANDARD</x:v>
      </x:c>
      <x:c r="AF153" s="15" t="n">
        <x:v>46015</x:v>
      </x:c>
      <x:c r="AG153" t="str">
        <x:v>VERIFIED</x:v>
      </x:c>
      <x:c r="AH153" t="str">
        <x:v>COMPLETE</x:v>
      </x:c>
      <x:c r="AI153" t="str">
        <x:v>Jordan Williams</x:v>
      </x:c>
      <x:c r="AJ153" t="str">
        <x:v>FRIEND</x:v>
      </x:c>
      <x:c r="AK153" t="str">
        <x:v>+1 (213) 555-0180</x:v>
      </x:c>
    </x:row>
    <x:row r="154" ht="18" customHeight="1">
      <x:c r="A154" t="str">
        <x:v>DHR-00153</x:v>
      </x:c>
      <x:c r="B154" t="str">
        <x:v>Drew Clark</x:v>
      </x:c>
      <x:c r="C154" t="str">
        <x:v>https://api.dicebear.com/9.x/adventurer/png?seed=DHR-00153-Drew%20Clark&amp;size=256&amp;radius=50&amp;backgroundColor=b6e3f4,c0aede,d1d4f9,ffd5dc,ffdfbf</x:v>
      </x:c>
      <x:c r="D154" t="str">
        <x:v>drew.clark.153@example.com</x:v>
      </x:c>
      <x:c r="E154" t="str">
        <x:v>+1 (408) 555-0152</x:v>
      </x:c>
      <x:c r="F154" t="str">
        <x:v>San Jose, CA</x:v>
      </x:c>
      <x:c r="G154" t="str">
        <x:v>San Jose</x:v>
      </x:c>
      <x:c r="H154" t="str">
        <x:v>CA</x:v>
      </x:c>
      <x:c r="I154" s="18" t="str">
        <x:v>95113</x:v>
      </x:c>
      <x:c r="J154" s="15" t="n">
        <x:v>26985.543881122685</x:v>
      </x:c>
      <x:c r="K154" t="n">
        <x:f>INT((DATE(2025,12,31)-J154)/365.25)</x:f>
        <x:v>52</x:v>
      </x:c>
      <x:c r="L154" t="str">
        <x:f>IF(K154&lt;25,"18-24",IF(K154&lt;35,"25-34",IF(K154&lt;45,"35-44",IF(K154&lt;55,"45-54","55+"))))</x:f>
        <x:v>45-54</x:v>
      </x:c>
      <x:c r="M154" s="15" t="n">
        <x:v>44473.52777606482</x:v>
      </x:c>
      <x:c r="N154" t="n">
        <x:f>(YEAR(DATE(2025,12,31))-YEAR(M154))*12+MONTH(DATE(2025,12,31))-MONTH(M154)</x:f>
        <x:v>50</x:v>
      </x:c>
      <x:c r="O154" t="str">
        <x:v>ACTIVE</x:v>
      </x:c>
      <x:c r="P154" t="str">
        <x:v>INDEPENDENT_CONTRACTOR</x:v>
      </x:c>
      <x:c r="Q154" t="str">
        <x:v>CAR</x:v>
      </x:c>
      <x:c r="R154" t="str">
        <x:v>LUNCH</x:v>
      </x:c>
      <x:c r="S154" t="n">
        <x:v>46</x:v>
      </x:c>
      <x:c r="T154" t="str">
        <x:v>CLEARED</x:v>
      </x:c>
      <x:c r="U154" t="str">
        <x:v>VALID</x:v>
      </x:c>
      <x:c r="V154" s="16" t="n">
        <x:v>0.9264</x:v>
      </x:c>
      <x:c r="W154" t="str">
        <x:v>English</x:v>
      </x:c>
      <x:c r="X154"/>
      <x:c r="Y154" t="n">
        <x:v>9182</x:v>
      </x:c>
      <x:c r="Z154" s="17" t="n">
        <x:v>4.48</x:v>
      </x:c>
      <x:c r="AA154" s="16" t="n">
        <x:v>0.893</x:v>
      </x:c>
      <x:c r="AB154" s="16" t="n">
        <x:v>0.9799</x:v>
      </x:c>
      <x:c r="AC154" s="16" t="n">
        <x:v>0.9013</x:v>
      </x:c>
      <x:c r="AD154" t="n">
        <x:v>0</x:v>
      </x:c>
      <x:c r="AE154" t="str">
        <x:f>IF(O154&lt;&gt;"ACTIVE","NOT_RATED",IF(AND(Z154&gt;=4.8,AB154&gt;=0.97,AC154&gt;=0.93,AD154=0),"ELITE",IF(AND(Z154&gt;=4.6,AB154&gt;=0.94,AC154&gt;=0.88),"HIGH_PERFORMER",IF(OR(Z154&lt;4.2,AB154&lt;0.85,AD154&gt;=2),"AT_RISK","STANDARD"))))</x:f>
        <x:v>STANDARD</x:v>
      </x:c>
      <x:c r="AF154" s="15" t="n">
        <x:v>46011</x:v>
      </x:c>
      <x:c r="AG154" t="str">
        <x:v>VERIFIED</x:v>
      </x:c>
      <x:c r="AH154" t="str">
        <x:v>COMPLETE</x:v>
      </x:c>
      <x:c r="AI154" t="str">
        <x:v>Reese Williams</x:v>
      </x:c>
      <x:c r="AJ154" t="str">
        <x:v>SPOUSE_PARTNER</x:v>
      </x:c>
      <x:c r="AK154" t="str">
        <x:v>+1 (408) 555-0187</x:v>
      </x:c>
    </x:row>
    <x:row r="155" ht="18" customHeight="1">
      <x:c r="A155" t="str">
        <x:v>DHR-00154</x:v>
      </x:c>
      <x:c r="B155" t="str">
        <x:v>Drew Davis</x:v>
      </x:c>
      <x:c r="C155" t="str">
        <x:v>https://api.dicebear.com/9.x/adventurer/png?seed=DHR-00154-Drew%20Davis&amp;size=256&amp;radius=50&amp;backgroundColor=b6e3f4,c0aede,d1d4f9,ffd5dc,ffdfbf</x:v>
      </x:c>
      <x:c r="D155" t="str">
        <x:v>drew.davis.154@example.com</x:v>
      </x:c>
      <x:c r="E155" t="str">
        <x:v>+1 (213) 555-0153</x:v>
      </x:c>
      <x:c r="F155" t="str">
        <x:v>Los Angeles, CA</x:v>
      </x:c>
      <x:c r="G155" t="str">
        <x:v>Los Angeles</x:v>
      </x:c>
      <x:c r="H155" t="str">
        <x:v>CA</x:v>
      </x:c>
      <x:c r="I155" s="18" t="str">
        <x:v>90012</x:v>
      </x:c>
      <x:c r="J155" s="15" t="n">
        <x:v>25416.14987642361</x:v>
      </x:c>
      <x:c r="K155" t="n">
        <x:f>INT((DATE(2025,12,31)-J155)/365.25)</x:f>
        <x:v>56</x:v>
      </x:c>
      <x:c r="L155" t="str">
        <x:f>IF(K155&lt;25,"18-24",IF(K155&lt;35,"25-34",IF(K155&lt;45,"35-44",IF(K155&lt;55,"45-54","55+"))))</x:f>
        <x:v>55+</x:v>
      </x:c>
      <x:c r="M155" s="15" t="n">
        <x:v>43959.83858596065</x:v>
      </x:c>
      <x:c r="N155" t="n">
        <x:f>(YEAR(DATE(2025,12,31))-YEAR(M155))*12+MONTH(DATE(2025,12,31))-MONTH(M155)</x:f>
        <x:v>67</x:v>
      </x:c>
      <x:c r="O155" t="str">
        <x:v>ACTIVE</x:v>
      </x:c>
      <x:c r="P155" t="str">
        <x:v>INDEPENDENT_CONTRACTOR</x:v>
      </x:c>
      <x:c r="Q155" t="str">
        <x:v>E_BIKE</x:v>
      </x:c>
      <x:c r="R155" t="str">
        <x:v>WEEKENDS</x:v>
      </x:c>
      <x:c r="S155" t="n">
        <x:v>34</x:v>
      </x:c>
      <x:c r="T155" t="str">
        <x:v>CLEARED</x:v>
      </x:c>
      <x:c r="U155" t="str">
        <x:v>NOT_REQUIRED</x:v>
      </x:c>
      <x:c r="V155" s="16" t="n">
        <x:v>0.88</x:v>
      </x:c>
      <x:c r="W155" t="str">
        <x:v>English</x:v>
      </x:c>
      <x:c r="X155" t="str">
        <x:v>Portuguese</x:v>
      </x:c>
      <x:c r="Y155" t="n">
        <x:v>5978</x:v>
      </x:c>
      <x:c r="Z155" s="17" t="n">
        <x:v>4.66</x:v>
      </x:c>
      <x:c r="AA155" s="16" t="n">
        <x:v>0.7949</x:v>
      </x:c>
      <x:c r="AB155" s="16" t="n">
        <x:v>0.8927</x:v>
      </x:c>
      <x:c r="AC155" s="16" t="n">
        <x:v>0.9026</x:v>
      </x:c>
      <x:c r="AD155" t="n">
        <x:v>0</x:v>
      </x:c>
      <x:c r="AE155" t="str">
        <x:f>IF(O155&lt;&gt;"ACTIVE","NOT_RATED",IF(AND(Z155&gt;=4.8,AB155&gt;=0.97,AC155&gt;=0.93,AD155=0),"ELITE",IF(AND(Z155&gt;=4.6,AB155&gt;=0.94,AC155&gt;=0.88),"HIGH_PERFORMER",IF(OR(Z155&lt;4.2,AB155&lt;0.85,AD155&gt;=2),"AT_RISK","STANDARD"))))</x:f>
        <x:v>STANDARD</x:v>
      </x:c>
      <x:c r="AF155" s="15" t="n">
        <x:v>46022</x:v>
      </x:c>
      <x:c r="AG155" t="str">
        <x:v>VERIFIED</x:v>
      </x:c>
      <x:c r="AH155" t="str">
        <x:v>COMPLETE</x:v>
      </x:c>
      <x:c r="AI155" t="str">
        <x:v>Olivia White</x:v>
      </x:c>
      <x:c r="AJ155" t="str">
        <x:v>PARENT</x:v>
      </x:c>
      <x:c r="AK155" t="str">
        <x:v>+1 (213) 555-0194</x:v>
      </x:c>
    </x:row>
    <x:row r="156" ht="18" customHeight="1">
      <x:c r="A156" t="str">
        <x:v>DHR-00155</x:v>
      </x:c>
      <x:c r="B156" t="str">
        <x:v>Drew Garcia</x:v>
      </x:c>
      <x:c r="C156" t="str">
        <x:v>https://api.dicebear.com/9.x/adventurer/png?seed=DHR-00155-Drew%20Garcia&amp;size=256&amp;radius=50&amp;backgroundColor=b6e3f4,c0aede,d1d4f9,ffd5dc,ffdfbf</x:v>
      </x:c>
      <x:c r="D156" t="str">
        <x:v>drew.garcia.155@example.com</x:v>
      </x:c>
      <x:c r="E156" t="str">
        <x:v>+1 (713) 555-0154</x:v>
      </x:c>
      <x:c r="F156" t="str">
        <x:v>Houston, TX</x:v>
      </x:c>
      <x:c r="G156" t="str">
        <x:v>Houston</x:v>
      </x:c>
      <x:c r="H156" t="str">
        <x:v>TX</x:v>
      </x:c>
      <x:c r="I156" s="18" t="str">
        <x:v>77002</x:v>
      </x:c>
      <x:c r="J156" s="15" t="n">
        <x:v>28927.774595983796</x:v>
      </x:c>
      <x:c r="K156" t="n">
        <x:f>INT((DATE(2025,12,31)-J156)/365.25)</x:f>
        <x:v>46</x:v>
      </x:c>
      <x:c r="L156" t="str">
        <x:f>IF(K156&lt;25,"18-24",IF(K156&lt;35,"25-34",IF(K156&lt;45,"35-44",IF(K156&lt;55,"45-54","55+"))))</x:f>
        <x:v>45-54</x:v>
      </x:c>
      <x:c r="M156" s="15" t="n">
        <x:v>44789.143208043984</x:v>
      </x:c>
      <x:c r="N156" t="n">
        <x:f>(YEAR(DATE(2025,12,31))-YEAR(M156))*12+MONTH(DATE(2025,12,31))-MONTH(M156)</x:f>
        <x:v>40</x:v>
      </x:c>
      <x:c r="O156" t="str">
        <x:v>ACTIVE</x:v>
      </x:c>
      <x:c r="P156" t="str">
        <x:v>INDEPENDENT_CONTRACTOR</x:v>
      </x:c>
      <x:c r="Q156" t="str">
        <x:v>CAR</x:v>
      </x:c>
      <x:c r="R156" t="str">
        <x:v>FLEXIBLE</x:v>
      </x:c>
      <x:c r="S156" t="n">
        <x:v>14</x:v>
      </x:c>
      <x:c r="T156" t="str">
        <x:v>CLEARED</x:v>
      </x:c>
      <x:c r="U156" t="str">
        <x:v>VALID</x:v>
      </x:c>
      <x:c r="V156" s="16" t="n">
        <x:v>0.9327</x:v>
      </x:c>
      <x:c r="W156" t="str">
        <x:v>English</x:v>
      </x:c>
      <x:c r="X156" t="str">
        <x:v>Portuguese</x:v>
      </x:c>
      <x:c r="Y156" t="n">
        <x:v>1598</x:v>
      </x:c>
      <x:c r="Z156" s="17" t="n">
        <x:v>4.33</x:v>
      </x:c>
      <x:c r="AA156" s="16" t="n">
        <x:v>0.842</x:v>
      </x:c>
      <x:c r="AB156" s="16" t="n">
        <x:v>0.9637</x:v>
      </x:c>
      <x:c r="AC156" s="16" t="n">
        <x:v>0.8249</x:v>
      </x:c>
      <x:c r="AD156" t="n">
        <x:v>1</x:v>
      </x:c>
      <x:c r="AE156" t="str">
        <x:f>IF(O156&lt;&gt;"ACTIVE","NOT_RATED",IF(AND(Z156&gt;=4.8,AB156&gt;=0.97,AC156&gt;=0.93,AD156=0),"ELITE",IF(AND(Z156&gt;=4.6,AB156&gt;=0.94,AC156&gt;=0.88),"HIGH_PERFORMER",IF(OR(Z156&lt;4.2,AB156&lt;0.85,AD156&gt;=2),"AT_RISK","STANDARD"))))</x:f>
        <x:v>STANDARD</x:v>
      </x:c>
      <x:c r="AF156" s="15" t="n">
        <x:v>46021</x:v>
      </x:c>
      <x:c r="AG156" t="str">
        <x:v>VERIFIED</x:v>
      </x:c>
      <x:c r="AH156" t="str">
        <x:v>COMPLETE</x:v>
      </x:c>
      <x:c r="AI156" t="str">
        <x:v>Liam Jackson</x:v>
      </x:c>
      <x:c r="AJ156" t="str">
        <x:v>FRIEND</x:v>
      </x:c>
      <x:c r="AK156" t="str">
        <x:v>+1 (713) 555-0101</x:v>
      </x:c>
    </x:row>
    <x:row r="157" ht="18" customHeight="1">
      <x:c r="A157" t="str">
        <x:v>DHR-00156</x:v>
      </x:c>
      <x:c r="B157" t="str">
        <x:v>Drew Harris</x:v>
      </x:c>
      <x:c r="C157" t="str">
        <x:v>https://api.dicebear.com/9.x/adventurer/png?seed=DHR-00156-Drew%20Harris&amp;size=256&amp;radius=50&amp;backgroundColor=b6e3f4,c0aede,d1d4f9,ffd5dc,ffdfbf</x:v>
      </x:c>
      <x:c r="D157" t="str">
        <x:v>drew.harris.156@example.com</x:v>
      </x:c>
      <x:c r="E157" t="str">
        <x:v>+1 (704) 555-0155</x:v>
      </x:c>
      <x:c r="F157" t="str">
        <x:v>Charlotte, NC</x:v>
      </x:c>
      <x:c r="G157" t="str">
        <x:v>Charlotte</x:v>
      </x:c>
      <x:c r="H157" t="str">
        <x:v>NC</x:v>
      </x:c>
      <x:c r="I157" s="18" t="str">
        <x:v>28202</x:v>
      </x:c>
      <x:c r="J157" s="15" t="n">
        <x:v>34782.046291875</x:v>
      </x:c>
      <x:c r="K157" t="n">
        <x:f>INT((DATE(2025,12,31)-J157)/365.25)</x:f>
        <x:v>30</x:v>
      </x:c>
      <x:c r="L157" t="str">
        <x:f>IF(K157&lt;25,"18-24",IF(K157&lt;35,"25-34",IF(K157&lt;45,"35-44",IF(K157&lt;55,"45-54","55+"))))</x:f>
        <x:v>25-34</x:v>
      </x:c>
      <x:c r="M157" s="15" t="n">
        <x:v>45860.665370636576</x:v>
      </x:c>
      <x:c r="N157" t="n">
        <x:f>(YEAR(DATE(2025,12,31))-YEAR(M157))*12+MONTH(DATE(2025,12,31))-MONTH(M157)</x:f>
        <x:v>5</x:v>
      </x:c>
      <x:c r="O157" t="str">
        <x:v>ACTIVE</x:v>
      </x:c>
      <x:c r="P157" t="str">
        <x:v>INDEPENDENT_CONTRACTOR</x:v>
      </x:c>
      <x:c r="Q157" t="str">
        <x:v>CAR</x:v>
      </x:c>
      <x:c r="R157" t="str">
        <x:v>FLEXIBLE</x:v>
      </x:c>
      <x:c r="S157" t="n">
        <x:v>21</x:v>
      </x:c>
      <x:c r="T157" t="str">
        <x:v>CLEARED</x:v>
      </x:c>
      <x:c r="U157" t="str">
        <x:v>VALID</x:v>
      </x:c>
      <x:c r="V157" s="16" t="n">
        <x:v>0.9757</x:v>
      </x:c>
      <x:c r="W157" t="str">
        <x:v>Portuguese</x:v>
      </x:c>
      <x:c r="X157" t="str">
        <x:v>English</x:v>
      </x:c>
      <x:c r="Y157" t="n">
        <x:v>241</x:v>
      </x:c>
      <x:c r="Z157" s="17" t="n">
        <x:v>4.71</x:v>
      </x:c>
      <x:c r="AA157" s="16" t="n">
        <x:v>0.7577</x:v>
      </x:c>
      <x:c r="AB157" s="16" t="n">
        <x:v>0.9041</x:v>
      </x:c>
      <x:c r="AC157" s="16" t="n">
        <x:v>0.9387</x:v>
      </x:c>
      <x:c r="AD157" t="n">
        <x:v>0</x:v>
      </x:c>
      <x:c r="AE157" t="str">
        <x:f>IF(O157&lt;&gt;"ACTIVE","NOT_RATED",IF(AND(Z157&gt;=4.8,AB157&gt;=0.97,AC157&gt;=0.93,AD157=0),"ELITE",IF(AND(Z157&gt;=4.6,AB157&gt;=0.94,AC157&gt;=0.88),"HIGH_PERFORMER",IF(OR(Z157&lt;4.2,AB157&lt;0.85,AD157&gt;=2),"AT_RISK","STANDARD"))))</x:f>
        <x:v>STANDARD</x:v>
      </x:c>
      <x:c r="AF157" s="15" t="n">
        <x:v>46020</x:v>
      </x:c>
      <x:c r="AG157" t="str">
        <x:v>VERIFIED</x:v>
      </x:c>
      <x:c r="AH157" t="str">
        <x:v>COMPLETE</x:v>
      </x:c>
      <x:c r="AI157" t="str">
        <x:v>Jesse Perez</x:v>
      </x:c>
      <x:c r="AJ157" t="str">
        <x:v>SPOUSE_PARTNER</x:v>
      </x:c>
      <x:c r="AK157" t="str">
        <x:v>+1 (704) 555-0108</x:v>
      </x:c>
    </x:row>
    <x:row r="158" ht="18" customHeight="1">
      <x:c r="A158" t="str">
        <x:v>DHR-00157</x:v>
      </x:c>
      <x:c r="B158" t="str">
        <x:v>Drew Jackson</x:v>
      </x:c>
      <x:c r="C158" t="str">
        <x:v>https://api.dicebear.com/9.x/adventurer/png?seed=DHR-00157-Drew%20Jackson&amp;size=256&amp;radius=50&amp;backgroundColor=b6e3f4,c0aede,d1d4f9,ffd5dc,ffdfbf</x:v>
      </x:c>
      <x:c r="D158" t="str">
        <x:v>drew.jackson.157@example.com</x:v>
      </x:c>
      <x:c r="E158" t="str">
        <x:v>+1 (704) 555-0156</x:v>
      </x:c>
      <x:c r="F158" t="str">
        <x:v>Charlotte, NC</x:v>
      </x:c>
      <x:c r="G158" t="str">
        <x:v>Charlotte</x:v>
      </x:c>
      <x:c r="H158" t="str">
        <x:v>NC</x:v>
      </x:c>
      <x:c r="I158" s="18" t="str">
        <x:v>28202</x:v>
      </x:c>
      <x:c r="J158" s="15" t="n">
        <x:v>35351.465659560185</x:v>
      </x:c>
      <x:c r="K158" t="n">
        <x:f>INT((DATE(2025,12,31)-J158)/365.25)</x:f>
        <x:v>29</x:v>
      </x:c>
      <x:c r="L158" t="str">
        <x:f>IF(K158&lt;25,"18-24",IF(K158&lt;35,"25-34",IF(K158&lt;45,"35-44",IF(K158&lt;55,"45-54","55+"))))</x:f>
        <x:v>25-34</x:v>
      </x:c>
      <x:c r="M158" s="15" t="n">
        <x:v>44144.836911516206</x:v>
      </x:c>
      <x:c r="N158" t="n">
        <x:f>(YEAR(DATE(2025,12,31))-YEAR(M158))*12+MONTH(DATE(2025,12,31))-MONTH(M158)</x:f>
        <x:v>61</x:v>
      </x:c>
      <x:c r="O158" t="str">
        <x:v>ACTIVE</x:v>
      </x:c>
      <x:c r="P158" t="str">
        <x:v>INDEPENDENT_CONTRACTOR</x:v>
      </x:c>
      <x:c r="Q158" t="str">
        <x:v>CAR</x:v>
      </x:c>
      <x:c r="R158" t="str">
        <x:v>FLEXIBLE</x:v>
      </x:c>
      <x:c r="S158" t="n">
        <x:v>20</x:v>
      </x:c>
      <x:c r="T158" t="str">
        <x:v>REVIEW_REQUIRED</x:v>
      </x:c>
      <x:c r="U158" t="str">
        <x:v>VALID</x:v>
      </x:c>
      <x:c r="V158" s="16" t="n">
        <x:v>0.9853</x:v>
      </x:c>
      <x:c r="W158" t="str">
        <x:v>English</x:v>
      </x:c>
      <x:c r="X158"/>
      <x:c r="Y158" t="n">
        <x:v>4379</x:v>
      </x:c>
      <x:c r="Z158" s="17" t="n">
        <x:v>4.68</x:v>
      </x:c>
      <x:c r="AA158" s="16" t="n">
        <x:v>0.7265</x:v>
      </x:c>
      <x:c r="AB158" s="16" t="n">
        <x:v>0.9066</x:v>
      </x:c>
      <x:c r="AC158" s="16" t="n">
        <x:v>0.9471</x:v>
      </x:c>
      <x:c r="AD158" t="n">
        <x:v>0</x:v>
      </x:c>
      <x:c r="AE158" t="str">
        <x:f>IF(O158&lt;&gt;"ACTIVE","NOT_RATED",IF(AND(Z158&gt;=4.8,AB158&gt;=0.97,AC158&gt;=0.93,AD158=0),"ELITE",IF(AND(Z158&gt;=4.6,AB158&gt;=0.94,AC158&gt;=0.88),"HIGH_PERFORMER",IF(OR(Z158&lt;4.2,AB158&lt;0.85,AD158&gt;=2),"AT_RISK","STANDARD"))))</x:f>
        <x:v>STANDARD</x:v>
      </x:c>
      <x:c r="AF158" s="15" t="n">
        <x:v>46014</x:v>
      </x:c>
      <x:c r="AG158" t="str">
        <x:v>VERIFIED</x:v>
      </x:c>
      <x:c r="AH158" t="str">
        <x:v>COMPLETE</x:v>
      </x:c>
      <x:c r="AI158" t="str">
        <x:v>Devin Clark</x:v>
      </x:c>
      <x:c r="AJ158" t="str">
        <x:v>SPOUSE_PARTNER</x:v>
      </x:c>
      <x:c r="AK158" t="str">
        <x:v>+1 (704) 555-0115</x:v>
      </x:c>
    </x:row>
    <x:row r="159" ht="18" customHeight="1">
      <x:c r="A159" t="str">
        <x:v>DHR-00158</x:v>
      </x:c>
      <x:c r="B159" t="str">
        <x:v>Drew Johnson</x:v>
      </x:c>
      <x:c r="C159" t="str">
        <x:v>https://api.dicebear.com/9.x/adventurer/png?seed=DHR-00158-Drew%20Johnson&amp;size=256&amp;radius=50&amp;backgroundColor=b6e3f4,c0aede,d1d4f9,ffd5dc,ffdfbf</x:v>
      </x:c>
      <x:c r="D159" t="str">
        <x:v>drew.johnson.158@example.com</x:v>
      </x:c>
      <x:c r="E159" t="str">
        <x:v>+1 (713) 555-0157</x:v>
      </x:c>
      <x:c r="F159" t="str">
        <x:v>Houston, TX</x:v>
      </x:c>
      <x:c r="G159" t="str">
        <x:v>Houston</x:v>
      </x:c>
      <x:c r="H159" t="str">
        <x:v>TX</x:v>
      </x:c>
      <x:c r="I159" s="18" t="str">
        <x:v>77002</x:v>
      </x:c>
      <x:c r="J159" s="15" t="n">
        <x:v>38678.50970753472</x:v>
      </x:c>
      <x:c r="K159" t="n">
        <x:f>INT((DATE(2025,12,31)-J159)/365.25)</x:f>
        <x:v>20</x:v>
      </x:c>
      <x:c r="L159" t="str">
        <x:f>IF(K159&lt;25,"18-24",IF(K159&lt;35,"25-34",IF(K159&lt;45,"35-44",IF(K159&lt;55,"45-54","55+"))))</x:f>
        <x:v>18-24</x:v>
      </x:c>
      <x:c r="M159" s="15" t="n">
        <x:v>45822.26444912037</x:v>
      </x:c>
      <x:c r="N159" t="n">
        <x:f>(YEAR(DATE(2025,12,31))-YEAR(M159))*12+MONTH(DATE(2025,12,31))-MONTH(M159)</x:f>
        <x:v>6</x:v>
      </x:c>
      <x:c r="O159" t="str">
        <x:v>ACTIVE</x:v>
      </x:c>
      <x:c r="P159" t="str">
        <x:v>INDEPENDENT_CONTRACTOR</x:v>
      </x:c>
      <x:c r="Q159" t="str">
        <x:v>CAR</x:v>
      </x:c>
      <x:c r="R159" t="str">
        <x:v>DINNER</x:v>
      </x:c>
      <x:c r="S159" t="n">
        <x:v>34</x:v>
      </x:c>
      <x:c r="T159" t="str">
        <x:v>CLEARED</x:v>
      </x:c>
      <x:c r="U159" t="str">
        <x:v>VALID</x:v>
      </x:c>
      <x:c r="V159" s="16" t="n">
        <x:v>0.7906</x:v>
      </x:c>
      <x:c r="W159" t="str">
        <x:v>Mandarin</x:v>
      </x:c>
      <x:c r="X159"/>
      <x:c r="Y159" t="n">
        <x:v>639</x:v>
      </x:c>
      <x:c r="Z159" s="17" t="n">
        <x:v>4.38</x:v>
      </x:c>
      <x:c r="AA159" s="16" t="n">
        <x:v>0.7208</x:v>
      </x:c>
      <x:c r="AB159" s="16" t="n">
        <x:v>0.9632</x:v>
      </x:c>
      <x:c r="AC159" s="16" t="n">
        <x:v>0.9204</x:v>
      </x:c>
      <x:c r="AD159" t="n">
        <x:v>0</x:v>
      </x:c>
      <x:c r="AE159" t="str">
        <x:f>IF(O159&lt;&gt;"ACTIVE","NOT_RATED",IF(AND(Z159&gt;=4.8,AB159&gt;=0.97,AC159&gt;=0.93,AD159=0),"ELITE",IF(AND(Z159&gt;=4.6,AB159&gt;=0.94,AC159&gt;=0.88),"HIGH_PERFORMER",IF(OR(Z159&lt;4.2,AB159&lt;0.85,AD159&gt;=2),"AT_RISK","STANDARD"))))</x:f>
        <x:v>STANDARD</x:v>
      </x:c>
      <x:c r="AF159" s="15" t="n">
        <x:v>46022</x:v>
      </x:c>
      <x:c r="AG159" t="str">
        <x:v>VERIFIED</x:v>
      </x:c>
      <x:c r="AH159" t="str">
        <x:v>COMPLETE</x:v>
      </x:c>
      <x:c r="AI159" t="str">
        <x:v>Noah Jackson</x:v>
      </x:c>
      <x:c r="AJ159" t="str">
        <x:v>OTHER</x:v>
      </x:c>
      <x:c r="AK159" t="str">
        <x:v>+1 (713) 555-0122</x:v>
      </x:c>
    </x:row>
    <x:row r="160" ht="18" customHeight="1">
      <x:c r="A160" t="str">
        <x:v>DHR-00159</x:v>
      </x:c>
      <x:c r="B160" t="str">
        <x:v>Drew Jones</x:v>
      </x:c>
      <x:c r="C160" t="str">
        <x:v>https://api.dicebear.com/9.x/adventurer/png?seed=DHR-00159-Drew%20Jones&amp;size=256&amp;radius=50&amp;backgroundColor=b6e3f4,c0aede,d1d4f9,ffd5dc,ffdfbf</x:v>
      </x:c>
      <x:c r="D160" t="str">
        <x:v>drew.jones.159@example.com</x:v>
      </x:c>
      <x:c r="E160" t="str">
        <x:v>+1 (210) 555-0158</x:v>
      </x:c>
      <x:c r="F160" t="str">
        <x:v>San Antonio, TX</x:v>
      </x:c>
      <x:c r="G160" t="str">
        <x:v>San Antonio</x:v>
      </x:c>
      <x:c r="H160" t="str">
        <x:v>TX</x:v>
      </x:c>
      <x:c r="I160" s="18" t="str">
        <x:v>78205</x:v>
      </x:c>
      <x:c r="J160" s="15" t="n">
        <x:v>29007.079124652777</x:v>
      </x:c>
      <x:c r="K160" t="n">
        <x:f>INT((DATE(2025,12,31)-J160)/365.25)</x:f>
        <x:v>46</x:v>
      </x:c>
      <x:c r="L160" t="str">
        <x:f>IF(K160&lt;25,"18-24",IF(K160&lt;35,"25-34",IF(K160&lt;45,"35-44",IF(K160&lt;55,"45-54","55+"))))</x:f>
        <x:v>45-54</x:v>
      </x:c>
      <x:c r="M160" s="15" t="n">
        <x:v>44218.91890916666</x:v>
      </x:c>
      <x:c r="N160" t="n">
        <x:f>(YEAR(DATE(2025,12,31))-YEAR(M160))*12+MONTH(DATE(2025,12,31))-MONTH(M160)</x:f>
        <x:v>59</x:v>
      </x:c>
      <x:c r="O160" t="str">
        <x:v>ACTIVE</x:v>
      </x:c>
      <x:c r="P160" t="str">
        <x:v>INDEPENDENT_CONTRACTOR</x:v>
      </x:c>
      <x:c r="Q160" t="str">
        <x:v>CAR</x:v>
      </x:c>
      <x:c r="R160" t="str">
        <x:v>DINNER</x:v>
      </x:c>
      <x:c r="S160" t="n">
        <x:v>25</x:v>
      </x:c>
      <x:c r="T160" t="str">
        <x:v>CLEARED</x:v>
      </x:c>
      <x:c r="U160" t="str">
        <x:v>VALID</x:v>
      </x:c>
      <x:c r="V160" s="16" t="n">
        <x:v>0.8966</x:v>
      </x:c>
      <x:c r="W160" t="str">
        <x:v>English</x:v>
      </x:c>
      <x:c r="X160"/>
      <x:c r="Y160" t="n">
        <x:v>5177</x:v>
      </x:c>
      <x:c r="Z160" s="17" t="n">
        <x:v>4.9</x:v>
      </x:c>
      <x:c r="AA160" s="16" t="n">
        <x:v>0.8485</x:v>
      </x:c>
      <x:c r="AB160" s="16" t="n">
        <x:v>0.9424</x:v>
      </x:c>
      <x:c r="AC160" s="16" t="n">
        <x:v>0.9479</x:v>
      </x:c>
      <x:c r="AD160" t="n">
        <x:v>0</x:v>
      </x:c>
      <x:c r="AE160" t="str">
        <x:f>IF(O160&lt;&gt;"ACTIVE","NOT_RATED",IF(AND(Z160&gt;=4.8,AB160&gt;=0.97,AC160&gt;=0.93,AD160=0),"ELITE",IF(AND(Z160&gt;=4.6,AB160&gt;=0.94,AC160&gt;=0.88),"HIGH_PERFORMER",IF(OR(Z160&lt;4.2,AB160&lt;0.85,AD160&gt;=2),"AT_RISK","STANDARD"))))</x:f>
        <x:v>HIGH_PERFORMER</x:v>
      </x:c>
      <x:c r="AF160" s="15" t="n">
        <x:v>46013</x:v>
      </x:c>
      <x:c r="AG160" t="str">
        <x:v>VERIFIED</x:v>
      </x:c>
      <x:c r="AH160" t="str">
        <x:v>COMPLETE</x:v>
      </x:c>
      <x:c r="AI160" t="str">
        <x:v>Cameron Clark</x:v>
      </x:c>
      <x:c r="AJ160" t="str">
        <x:v>FRIEND</x:v>
      </x:c>
      <x:c r="AK160" t="str">
        <x:v>+1 (210) 555-0129</x:v>
      </x:c>
    </x:row>
    <x:row r="161" ht="18" customHeight="1">
      <x:c r="A161" t="str">
        <x:v>DHR-00160</x:v>
      </x:c>
      <x:c r="B161" t="str">
        <x:v>Drew Lee</x:v>
      </x:c>
      <x:c r="C161" t="str">
        <x:v>https://api.dicebear.com/9.x/adventurer/png?seed=DHR-00160-Drew%20Lee&amp;size=256&amp;radius=50&amp;backgroundColor=b6e3f4,c0aede,d1d4f9,ffd5dc,ffdfbf</x:v>
      </x:c>
      <x:c r="D161" t="str">
        <x:v>drew.lee.160@example.com</x:v>
      </x:c>
      <x:c r="E161" t="str">
        <x:v>+1 (713) 555-0159</x:v>
      </x:c>
      <x:c r="F161" t="str">
        <x:v>Houston, TX</x:v>
      </x:c>
      <x:c r="G161" t="str">
        <x:v>Houston</x:v>
      </x:c>
      <x:c r="H161" t="str">
        <x:v>TX</x:v>
      </x:c>
      <x:c r="I161" s="18" t="str">
        <x:v>77002</x:v>
      </x:c>
      <x:c r="J161" s="15" t="n">
        <x:v>36088.51345895833</x:v>
      </x:c>
      <x:c r="K161" t="n">
        <x:f>INT((DATE(2025,12,31)-J161)/365.25)</x:f>
        <x:v>27</x:v>
      </x:c>
      <x:c r="L161" t="str">
        <x:f>IF(K161&lt;25,"18-24",IF(K161&lt;35,"25-34",IF(K161&lt;45,"35-44",IF(K161&lt;55,"45-54","55+"))))</x:f>
        <x:v>25-34</x:v>
      </x:c>
      <x:c r="M161" s="15" t="n">
        <x:v>44219.23895579861</x:v>
      </x:c>
      <x:c r="N161" t="n">
        <x:f>(YEAR(DATE(2025,12,31))-YEAR(M161))*12+MONTH(DATE(2025,12,31))-MONTH(M161)</x:f>
        <x:v>59</x:v>
      </x:c>
      <x:c r="O161" t="str">
        <x:v>ACTIVE</x:v>
      </x:c>
      <x:c r="P161" t="str">
        <x:v>INDEPENDENT_CONTRACTOR</x:v>
      </x:c>
      <x:c r="Q161" t="str">
        <x:v>CAR</x:v>
      </x:c>
      <x:c r="R161" t="str">
        <x:v>WEEKENDS</x:v>
      </x:c>
      <x:c r="S161" t="n">
        <x:v>44</x:v>
      </x:c>
      <x:c r="T161" t="str">
        <x:v>CLEARED</x:v>
      </x:c>
      <x:c r="U161" t="str">
        <x:v>VALID</x:v>
      </x:c>
      <x:c r="V161" s="16" t="n">
        <x:v>0.877</x:v>
      </x:c>
      <x:c r="W161" t="str">
        <x:v>Spanish</x:v>
      </x:c>
      <x:c r="X161"/>
      <x:c r="Y161" t="n">
        <x:v>6601</x:v>
      </x:c>
      <x:c r="Z161" s="17" t="n">
        <x:v>4.94</x:v>
      </x:c>
      <x:c r="AA161" s="16" t="n">
        <x:v>0.7514</x:v>
      </x:c>
      <x:c r="AB161" s="16" t="n">
        <x:v>0.9364</x:v>
      </x:c>
      <x:c r="AC161" s="16" t="n">
        <x:v>0.9571</x:v>
      </x:c>
      <x:c r="AD161" t="n">
        <x:v>0</x:v>
      </x:c>
      <x:c r="AE161" t="str">
        <x:f>IF(O161&lt;&gt;"ACTIVE","NOT_RATED",IF(AND(Z161&gt;=4.8,AB161&gt;=0.97,AC161&gt;=0.93,AD161=0),"ELITE",IF(AND(Z161&gt;=4.6,AB161&gt;=0.94,AC161&gt;=0.88),"HIGH_PERFORMER",IF(OR(Z161&lt;4.2,AB161&lt;0.85,AD161&gt;=2),"AT_RISK","STANDARD"))))</x:f>
        <x:v>STANDARD</x:v>
      </x:c>
      <x:c r="AF161" s="15" t="n">
        <x:v>46008</x:v>
      </x:c>
      <x:c r="AG161" t="str">
        <x:v>VERIFIED</x:v>
      </x:c>
      <x:c r="AH161" t="str">
        <x:v>COMPLETE</x:v>
      </x:c>
      <x:c r="AI161" t="str">
        <x:v>Jordan Wilson</x:v>
      </x:c>
      <x:c r="AJ161" t="str">
        <x:v>SPOUSE_PARTNER</x:v>
      </x:c>
      <x:c r="AK161" t="str">
        <x:v>+1 (713) 555-0136</x:v>
      </x:c>
    </x:row>
    <x:row r="162" ht="18" customHeight="1">
      <x:c r="A162" t="str">
        <x:v>DHR-00161</x:v>
      </x:c>
      <x:c r="B162" t="str">
        <x:v>Drew Lewis</x:v>
      </x:c>
      <x:c r="C162" t="str">
        <x:v>https://api.dicebear.com/9.x/adventurer/png?seed=DHR-00161-Drew%20Lewis&amp;size=256&amp;radius=50&amp;backgroundColor=b6e3f4,c0aede,d1d4f9,ffd5dc,ffdfbf</x:v>
      </x:c>
      <x:c r="D162" t="str">
        <x:v>drew.lewis.161@example.com</x:v>
      </x:c>
      <x:c r="E162" t="str">
        <x:v>+1 (512) 555-0160</x:v>
      </x:c>
      <x:c r="F162" t="str">
        <x:v>Austin, TX</x:v>
      </x:c>
      <x:c r="G162" t="str">
        <x:v>Austin</x:v>
      </x:c>
      <x:c r="H162" t="str">
        <x:v>TX</x:v>
      </x:c>
      <x:c r="I162" s="18" t="str">
        <x:v>78701</x:v>
      </x:c>
      <x:c r="J162" s="15" t="n">
        <x:v>32898.5226540625</x:v>
      </x:c>
      <x:c r="K162" t="n">
        <x:f>INT((DATE(2025,12,31)-J162)/365.25)</x:f>
        <x:v>35</x:v>
      </x:c>
      <x:c r="L162" t="str">
        <x:f>IF(K162&lt;25,"18-24",IF(K162&lt;35,"25-34",IF(K162&lt;45,"35-44",IF(K162&lt;55,"45-54","55+"))))</x:f>
        <x:v>35-44</x:v>
      </x:c>
      <x:c r="M162" s="15" t="n">
        <x:v>44791.87696140046</x:v>
      </x:c>
      <x:c r="N162" t="n">
        <x:f>(YEAR(DATE(2025,12,31))-YEAR(M162))*12+MONTH(DATE(2025,12,31))-MONTH(M162)</x:f>
        <x:v>40</x:v>
      </x:c>
      <x:c r="O162" t="str">
        <x:v>ACTIVE</x:v>
      </x:c>
      <x:c r="P162" t="str">
        <x:v>INDEPENDENT_CONTRACTOR</x:v>
      </x:c>
      <x:c r="Q162" t="str">
        <x:v>CAR</x:v>
      </x:c>
      <x:c r="R162" t="str">
        <x:v>LUNCH</x:v>
      </x:c>
      <x:c r="S162" t="n">
        <x:v>20</x:v>
      </x:c>
      <x:c r="T162" t="str">
        <x:v>CLEARED</x:v>
      </x:c>
      <x:c r="U162" t="str">
        <x:v>VALID</x:v>
      </x:c>
      <x:c r="V162" s="16" t="n">
        <x:v>0.8752</x:v>
      </x:c>
      <x:c r="W162" t="str">
        <x:v>English</x:v>
      </x:c>
      <x:c r="X162"/>
      <x:c r="Y162" t="n">
        <x:v>1527</x:v>
      </x:c>
      <x:c r="Z162" s="17" t="n">
        <x:v>4.88</x:v>
      </x:c>
      <x:c r="AA162" s="16" t="n">
        <x:v>0.6116</x:v>
      </x:c>
      <x:c r="AB162" s="16" t="n">
        <x:v>0.998</x:v>
      </x:c>
      <x:c r="AC162" s="16" t="n">
        <x:v>0.8617</x:v>
      </x:c>
      <x:c r="AD162" t="n">
        <x:v>0</x:v>
      </x:c>
      <x:c r="AE162" t="str">
        <x:f>IF(O162&lt;&gt;"ACTIVE","NOT_RATED",IF(AND(Z162&gt;=4.8,AB162&gt;=0.97,AC162&gt;=0.93,AD162=0),"ELITE",IF(AND(Z162&gt;=4.6,AB162&gt;=0.94,AC162&gt;=0.88),"HIGH_PERFORMER",IF(OR(Z162&lt;4.2,AB162&lt;0.85,AD162&gt;=2),"AT_RISK","STANDARD"))))</x:f>
        <x:v>STANDARD</x:v>
      </x:c>
      <x:c r="AF162" s="15" t="n">
        <x:v>46021</x:v>
      </x:c>
      <x:c r="AG162" t="str">
        <x:v>VERIFIED</x:v>
      </x:c>
      <x:c r="AH162" t="str">
        <x:v>COMPLETE</x:v>
      </x:c>
      <x:c r="AI162" t="str">
        <x:v>Devin White</x:v>
      </x:c>
      <x:c r="AJ162" t="str">
        <x:v>FRIEND</x:v>
      </x:c>
      <x:c r="AK162" t="str">
        <x:v>+1 (512) 555-0143</x:v>
      </x:c>
    </x:row>
    <x:row r="163" ht="18" customHeight="1">
      <x:c r="A163" t="str">
        <x:v>DHR-00162</x:v>
      </x:c>
      <x:c r="B163" t="str">
        <x:v>Drew Martin</x:v>
      </x:c>
      <x:c r="C163" t="str">
        <x:v>https://api.dicebear.com/9.x/adventurer/png?seed=DHR-00162-Drew%20Martin&amp;size=256&amp;radius=50&amp;backgroundColor=b6e3f4,c0aede,d1d4f9,ffd5dc,ffdfbf</x:v>
      </x:c>
      <x:c r="D163" t="str">
        <x:v>drew.martin.162@example.com</x:v>
      </x:c>
      <x:c r="E163" t="str">
        <x:v>+1 (303) 555-0161</x:v>
      </x:c>
      <x:c r="F163" t="str">
        <x:v>Denver, CO</x:v>
      </x:c>
      <x:c r="G163" t="str">
        <x:v>Denver</x:v>
      </x:c>
      <x:c r="H163" t="str">
        <x:v>CO</x:v>
      </x:c>
      <x:c r="I163" s="18" t="str">
        <x:v>80202</x:v>
      </x:c>
      <x:c r="J163" s="15" t="n">
        <x:v>28106.585230833334</x:v>
      </x:c>
      <x:c r="K163" t="n">
        <x:f>INT((DATE(2025,12,31)-J163)/365.25)</x:f>
        <x:v>49</x:v>
      </x:c>
      <x:c r="L163" t="str">
        <x:f>IF(K163&lt;25,"18-24",IF(K163&lt;35,"25-34",IF(K163&lt;45,"35-44",IF(K163&lt;55,"45-54","55+"))))</x:f>
        <x:v>45-54</x:v>
      </x:c>
      <x:c r="M163" s="15" t="n">
        <x:v>43757.20393350694</x:v>
      </x:c>
      <x:c r="N163" t="n">
        <x:f>(YEAR(DATE(2025,12,31))-YEAR(M163))*12+MONTH(DATE(2025,12,31))-MONTH(M163)</x:f>
        <x:v>74</x:v>
      </x:c>
      <x:c r="O163" t="str">
        <x:v>ACTIVE</x:v>
      </x:c>
      <x:c r="P163" t="str">
        <x:v>INDEPENDENT_CONTRACTOR</x:v>
      </x:c>
      <x:c r="Q163" t="str">
        <x:v>CAR</x:v>
      </x:c>
      <x:c r="R163" t="str">
        <x:v>DINNER</x:v>
      </x:c>
      <x:c r="S163" t="n">
        <x:v>42</x:v>
      </x:c>
      <x:c r="T163" t="str">
        <x:v>CLEARED</x:v>
      </x:c>
      <x:c r="U163" t="str">
        <x:v>VALID</x:v>
      </x:c>
      <x:c r="V163" s="16" t="n">
        <x:v>0.7954</x:v>
      </x:c>
      <x:c r="W163" t="str">
        <x:v>English</x:v>
      </x:c>
      <x:c r="X163"/>
      <x:c r="Y163" t="n">
        <x:v>6179</x:v>
      </x:c>
      <x:c r="Z163" s="17" t="n">
        <x:v>4.54</x:v>
      </x:c>
      <x:c r="AA163" s="16" t="n">
        <x:v>0.8326</x:v>
      </x:c>
      <x:c r="AB163" s="16" t="n">
        <x:v>0.9861</x:v>
      </x:c>
      <x:c r="AC163" s="16" t="n">
        <x:v>0.8835</x:v>
      </x:c>
      <x:c r="AD163" t="n">
        <x:v>0</x:v>
      </x:c>
      <x:c r="AE163" t="str">
        <x:f>IF(O163&lt;&gt;"ACTIVE","NOT_RATED",IF(AND(Z163&gt;=4.8,AB163&gt;=0.97,AC163&gt;=0.93,AD163=0),"ELITE",IF(AND(Z163&gt;=4.6,AB163&gt;=0.94,AC163&gt;=0.88),"HIGH_PERFORMER",IF(OR(Z163&lt;4.2,AB163&lt;0.85,AD163&gt;=2),"AT_RISK","STANDARD"))))</x:f>
        <x:v>STANDARD</x:v>
      </x:c>
      <x:c r="AF163" s="15" t="n">
        <x:v>46020</x:v>
      </x:c>
      <x:c r="AG163" t="str">
        <x:v>VERIFIED</x:v>
      </x:c>
      <x:c r="AH163" t="str">
        <x:v>COMPLETE</x:v>
      </x:c>
      <x:c r="AI163" t="str">
        <x:v>Lucas Perez</x:v>
      </x:c>
      <x:c r="AJ163" t="str">
        <x:v>SPOUSE_PARTNER</x:v>
      </x:c>
      <x:c r="AK163" t="str">
        <x:v>+1 (303) 555-0150</x:v>
      </x:c>
    </x:row>
    <x:row r="164" ht="18" customHeight="1">
      <x:c r="A164" t="str">
        <x:v>DHR-00163</x:v>
      </x:c>
      <x:c r="B164" t="str">
        <x:v>Drew Martinez</x:v>
      </x:c>
      <x:c r="C164" t="str">
        <x:v>https://api.dicebear.com/9.x/adventurer/png?seed=DHR-00163-Drew%20Martinez&amp;size=256&amp;radius=50&amp;backgroundColor=b6e3f4,c0aede,d1d4f9,ffd5dc,ffdfbf</x:v>
      </x:c>
      <x:c r="D164" t="str">
        <x:v>drew.martinez.163@example.com</x:v>
      </x:c>
      <x:c r="E164" t="str">
        <x:v>+1 (212) 555-0162</x:v>
      </x:c>
      <x:c r="F164" t="str">
        <x:v>New York, NY</x:v>
      </x:c>
      <x:c r="G164" t="str">
        <x:v>New York</x:v>
      </x:c>
      <x:c r="H164" t="str">
        <x:v>NY</x:v>
      </x:c>
      <x:c r="I164" s="18" t="str">
        <x:v>10001</x:v>
      </x:c>
      <x:c r="J164" s="15" t="n">
        <x:v>24311.085295868055</x:v>
      </x:c>
      <x:c r="K164" t="n">
        <x:f>INT((DATE(2025,12,31)-J164)/365.25)</x:f>
        <x:v>59</x:v>
      </x:c>
      <x:c r="L164" t="str">
        <x:f>IF(K164&lt;25,"18-24",IF(K164&lt;35,"25-34",IF(K164&lt;45,"35-44",IF(K164&lt;55,"45-54","55+"))))</x:f>
        <x:v>55+</x:v>
      </x:c>
      <x:c r="M164" s="15" t="n">
        <x:v>45592.60965111111</x:v>
      </x:c>
      <x:c r="N164" t="n">
        <x:f>(YEAR(DATE(2025,12,31))-YEAR(M164))*12+MONTH(DATE(2025,12,31))-MONTH(M164)</x:f>
        <x:v>14</x:v>
      </x:c>
      <x:c r="O164" t="str">
        <x:v>ACTIVE</x:v>
      </x:c>
      <x:c r="P164" t="str">
        <x:v>INDEPENDENT_CONTRACTOR</x:v>
      </x:c>
      <x:c r="Q164" t="str">
        <x:v>CAR</x:v>
      </x:c>
      <x:c r="R164" t="str">
        <x:v>WEEKENDS</x:v>
      </x:c>
      <x:c r="S164" t="n">
        <x:v>34</x:v>
      </x:c>
      <x:c r="T164" t="str">
        <x:v>CLEARED</x:v>
      </x:c>
      <x:c r="U164" t="str">
        <x:v>VALID</x:v>
      </x:c>
      <x:c r="V164" s="16" t="n">
        <x:v>0.8961</x:v>
      </x:c>
      <x:c r="W164" t="str">
        <x:v>English</x:v>
      </x:c>
      <x:c r="X164"/>
      <x:c r="Y164" t="n">
        <x:v>1450</x:v>
      </x:c>
      <x:c r="Z164" s="17" t="n">
        <x:v>4.44</x:v>
      </x:c>
      <x:c r="AA164" s="16" t="n">
        <x:v>0.9259</x:v>
      </x:c>
      <x:c r="AB164" s="16" t="n">
        <x:v>0.8956</x:v>
      </x:c>
      <x:c r="AC164" s="16" t="n">
        <x:v>0.9302</x:v>
      </x:c>
      <x:c r="AD164" t="n">
        <x:v>0</x:v>
      </x:c>
      <x:c r="AE164" t="str">
        <x:f>IF(O164&lt;&gt;"ACTIVE","NOT_RATED",IF(AND(Z164&gt;=4.8,AB164&gt;=0.97,AC164&gt;=0.93,AD164=0),"ELITE",IF(AND(Z164&gt;=4.6,AB164&gt;=0.94,AC164&gt;=0.88),"HIGH_PERFORMER",IF(OR(Z164&lt;4.2,AB164&lt;0.85,AD164&gt;=2),"AT_RISK","STANDARD"))))</x:f>
        <x:v>STANDARD</x:v>
      </x:c>
      <x:c r="AF164" s="15" t="n">
        <x:v>46020</x:v>
      </x:c>
      <x:c r="AG164" t="str">
        <x:v>VERIFIED</x:v>
      </x:c>
      <x:c r="AH164" t="str">
        <x:v>COMPLETE</x:v>
      </x:c>
      <x:c r="AI164" t="str">
        <x:v>Alex Lewis</x:v>
      </x:c>
      <x:c r="AJ164" t="str">
        <x:v>PARENT</x:v>
      </x:c>
      <x:c r="AK164" t="str">
        <x:v>+1 (212) 555-0157</x:v>
      </x:c>
    </x:row>
    <x:row r="165" ht="18" customHeight="1">
      <x:c r="A165" t="str">
        <x:v>DHR-00164</x:v>
      </x:c>
      <x:c r="B165" t="str">
        <x:v>Drew Miller</x:v>
      </x:c>
      <x:c r="C165" t="str">
        <x:v>https://api.dicebear.com/9.x/adventurer/png?seed=DHR-00164-Drew%20Miller&amp;size=256&amp;radius=50&amp;backgroundColor=b6e3f4,c0aede,d1d4f9,ffd5dc,ffdfbf</x:v>
      </x:c>
      <x:c r="D165" t="str">
        <x:v>drew.miller.164@example.com</x:v>
      </x:c>
      <x:c r="E165" t="str">
        <x:v>+1 (312) 555-0163</x:v>
      </x:c>
      <x:c r="F165" t="str">
        <x:v>Chicago, IL</x:v>
      </x:c>
      <x:c r="G165" t="str">
        <x:v>Chicago</x:v>
      </x:c>
      <x:c r="H165" t="str">
        <x:v>IL</x:v>
      </x:c>
      <x:c r="I165" s="18" t="str">
        <x:v>60601</x:v>
      </x:c>
      <x:c r="J165" s="15" t="n">
        <x:v>24115.025784537036</x:v>
      </x:c>
      <x:c r="K165" t="n">
        <x:f>INT((DATE(2025,12,31)-J165)/365.25)</x:f>
        <x:v>59</x:v>
      </x:c>
      <x:c r="L165" t="str">
        <x:f>IF(K165&lt;25,"18-24",IF(K165&lt;35,"25-34",IF(K165&lt;45,"35-44",IF(K165&lt;55,"45-54","55+"))))</x:f>
        <x:v>55+</x:v>
      </x:c>
      <x:c r="M165" s="15" t="n">
        <x:v>45320.286848993055</x:v>
      </x:c>
      <x:c r="N165" t="n">
        <x:f>(YEAR(DATE(2025,12,31))-YEAR(M165))*12+MONTH(DATE(2025,12,31))-MONTH(M165)</x:f>
        <x:v>23</x:v>
      </x:c>
      <x:c r="O165" t="str">
        <x:v>ACTIVE</x:v>
      </x:c>
      <x:c r="P165" t="str">
        <x:v>INDEPENDENT_CONTRACTOR</x:v>
      </x:c>
      <x:c r="Q165" t="str">
        <x:v>CAR</x:v>
      </x:c>
      <x:c r="R165" t="str">
        <x:v>FLEXIBLE</x:v>
      </x:c>
      <x:c r="S165" t="n">
        <x:v>11</x:v>
      </x:c>
      <x:c r="T165" t="str">
        <x:v>CLEARED</x:v>
      </x:c>
      <x:c r="U165" t="str">
        <x:v>VALID</x:v>
      </x:c>
      <x:c r="V165" s="16" t="n">
        <x:v>0.8964</x:v>
      </x:c>
      <x:c r="W165" t="str">
        <x:v>Spanish</x:v>
      </x:c>
      <x:c r="X165"/>
      <x:c r="Y165" t="n">
        <x:v>559</x:v>
      </x:c>
      <x:c r="Z165" s="17" t="n">
        <x:v>4.85</x:v>
      </x:c>
      <x:c r="AA165" s="16" t="n">
        <x:v>0.6781</x:v>
      </x:c>
      <x:c r="AB165" s="16" t="n">
        <x:v>0.9497</x:v>
      </x:c>
      <x:c r="AC165" s="16" t="n">
        <x:v>0.9467</x:v>
      </x:c>
      <x:c r="AD165" t="n">
        <x:v>0</x:v>
      </x:c>
      <x:c r="AE165" t="str">
        <x:f>IF(O165&lt;&gt;"ACTIVE","NOT_RATED",IF(AND(Z165&gt;=4.8,AB165&gt;=0.97,AC165&gt;=0.93,AD165=0),"ELITE",IF(AND(Z165&gt;=4.6,AB165&gt;=0.94,AC165&gt;=0.88),"HIGH_PERFORMER",IF(OR(Z165&lt;4.2,AB165&lt;0.85,AD165&gt;=2),"AT_RISK","STANDARD"))))</x:f>
        <x:v>HIGH_PERFORMER</x:v>
      </x:c>
      <x:c r="AF165" s="15" t="n">
        <x:v>46011</x:v>
      </x:c>
      <x:c r="AG165" t="str">
        <x:v>VERIFIED</x:v>
      </x:c>
      <x:c r="AH165" t="str">
        <x:v>COMPLETE</x:v>
      </x:c>
      <x:c r="AI165" t="str">
        <x:v>Skyler Lewis</x:v>
      </x:c>
      <x:c r="AJ165" t="str">
        <x:v>SPOUSE_PARTNER</x:v>
      </x:c>
      <x:c r="AK165" t="str">
        <x:v>+1 (312) 555-0164</x:v>
      </x:c>
    </x:row>
    <x:row r="166" ht="18" customHeight="1">
      <x:c r="A166" t="str">
        <x:v>DHR-00165</x:v>
      </x:c>
      <x:c r="B166" t="str">
        <x:v>Drew Moore</x:v>
      </x:c>
      <x:c r="C166" t="str">
        <x:v>https://api.dicebear.com/9.x/adventurer/png?seed=DHR-00165-Drew%20Moore&amp;size=256&amp;radius=50&amp;backgroundColor=b6e3f4,c0aede,d1d4f9,ffd5dc,ffdfbf</x:v>
      </x:c>
      <x:c r="D166" t="str">
        <x:v>drew.moore.165@example.com</x:v>
      </x:c>
      <x:c r="E166" t="str">
        <x:v>+1 (404) 555-0164</x:v>
      </x:c>
      <x:c r="F166" t="str">
        <x:v>Atlanta, GA</x:v>
      </x:c>
      <x:c r="G166" t="str">
        <x:v>Atlanta</x:v>
      </x:c>
      <x:c r="H166" t="str">
        <x:v>GA</x:v>
      </x:c>
      <x:c r="I166" s="18" t="str">
        <x:v>30303</x:v>
      </x:c>
      <x:c r="J166" s="15" t="n">
        <x:v>23799.113594143517</x:v>
      </x:c>
      <x:c r="K166" t="n">
        <x:f>INT((DATE(2025,12,31)-J166)/365.25)</x:f>
        <x:v>60</x:v>
      </x:c>
      <x:c r="L166" t="str">
        <x:f>IF(K166&lt;25,"18-24",IF(K166&lt;35,"25-34",IF(K166&lt;45,"35-44",IF(K166&lt;55,"45-54","55+"))))</x:f>
        <x:v>55+</x:v>
      </x:c>
      <x:c r="M166" s="15" t="n">
        <x:v>45525.64625233796</x:v>
      </x:c>
      <x:c r="N166" t="n">
        <x:f>(YEAR(DATE(2025,12,31))-YEAR(M166))*12+MONTH(DATE(2025,12,31))-MONTH(M166)</x:f>
        <x:v>16</x:v>
      </x:c>
      <x:c r="O166" t="str">
        <x:v>ACTIVE</x:v>
      </x:c>
      <x:c r="P166" t="str">
        <x:v>INDEPENDENT_CONTRACTOR</x:v>
      </x:c>
      <x:c r="Q166" t="str">
        <x:v>CAR</x:v>
      </x:c>
      <x:c r="R166" t="str">
        <x:v>WEEKENDS</x:v>
      </x:c>
      <x:c r="S166" t="n">
        <x:v>45</x:v>
      </x:c>
      <x:c r="T166" t="str">
        <x:v>CLEARED</x:v>
      </x:c>
      <x:c r="U166" t="str">
        <x:v>VALID</x:v>
      </x:c>
      <x:c r="V166" s="16" t="n">
        <x:v>0.9245</x:v>
      </x:c>
      <x:c r="W166" t="str">
        <x:v>English</x:v>
      </x:c>
      <x:c r="X166"/>
      <x:c r="Y166" t="n">
        <x:v>2033</x:v>
      </x:c>
      <x:c r="Z166" s="17" t="n">
        <x:v>4.92</x:v>
      </x:c>
      <x:c r="AA166" s="16" t="n">
        <x:v>0.8206</x:v>
      </x:c>
      <x:c r="AB166" s="16" t="n">
        <x:v>0.9005</x:v>
      </x:c>
      <x:c r="AC166" s="16" t="n">
        <x:v>0.8132</x:v>
      </x:c>
      <x:c r="AD166" t="n">
        <x:v>0</x:v>
      </x:c>
      <x:c r="AE166" t="str">
        <x:f>IF(O166&lt;&gt;"ACTIVE","NOT_RATED",IF(AND(Z166&gt;=4.8,AB166&gt;=0.97,AC166&gt;=0.93,AD166=0),"ELITE",IF(AND(Z166&gt;=4.6,AB166&gt;=0.94,AC166&gt;=0.88),"HIGH_PERFORMER",IF(OR(Z166&lt;4.2,AB166&lt;0.85,AD166&gt;=2),"AT_RISK","STANDARD"))))</x:f>
        <x:v>STANDARD</x:v>
      </x:c>
      <x:c r="AF166" s="15" t="n">
        <x:v>46013</x:v>
      </x:c>
      <x:c r="AG166" t="str">
        <x:v>VERIFIED</x:v>
      </x:c>
      <x:c r="AH166" t="str">
        <x:v>COMPLETE</x:v>
      </x:c>
      <x:c r="AI166" t="str">
        <x:v>Lucas Miller</x:v>
      </x:c>
      <x:c r="AJ166" t="str">
        <x:v>PARENT</x:v>
      </x:c>
      <x:c r="AK166" t="str">
        <x:v>+1 (404) 555-0171</x:v>
      </x:c>
    </x:row>
    <x:row r="167" ht="18" customHeight="1">
      <x:c r="A167" t="str">
        <x:v>DHR-00166</x:v>
      </x:c>
      <x:c r="B167" t="str">
        <x:v>Drew Perez</x:v>
      </x:c>
      <x:c r="C167" t="str">
        <x:v>https://api.dicebear.com/9.x/adventurer/png?seed=DHR-00166-Drew%20Perez&amp;size=256&amp;radius=50&amp;backgroundColor=b6e3f4,c0aede,d1d4f9,ffd5dc,ffdfbf</x:v>
      </x:c>
      <x:c r="D167" t="str">
        <x:v>drew.perez.166@example.com</x:v>
      </x:c>
      <x:c r="E167" t="str">
        <x:v>+1 (702) 555-0165</x:v>
      </x:c>
      <x:c r="F167" t="str">
        <x:v>Las Vegas, NV</x:v>
      </x:c>
      <x:c r="G167" t="str">
        <x:v>Las Vegas</x:v>
      </x:c>
      <x:c r="H167" t="str">
        <x:v>NV</x:v>
      </x:c>
      <x:c r="I167" s="18" t="str">
        <x:v>89101</x:v>
      </x:c>
      <x:c r="J167" s="15" t="n">
        <x:v>34077.75909237268</x:v>
      </x:c>
      <x:c r="K167" t="n">
        <x:f>INT((DATE(2025,12,31)-J167)/365.25)</x:f>
        <x:v>32</x:v>
      </x:c>
      <x:c r="L167" t="str">
        <x:f>IF(K167&lt;25,"18-24",IF(K167&lt;35,"25-34",IF(K167&lt;45,"35-44",IF(K167&lt;55,"45-54","55+"))))</x:f>
        <x:v>25-34</x:v>
      </x:c>
      <x:c r="M167" s="15" t="n">
        <x:v>44283.50469869213</x:v>
      </x:c>
      <x:c r="N167" t="n">
        <x:f>(YEAR(DATE(2025,12,31))-YEAR(M167))*12+MONTH(DATE(2025,12,31))-MONTH(M167)</x:f>
        <x:v>57</x:v>
      </x:c>
      <x:c r="O167" t="str">
        <x:v>ACTIVE</x:v>
      </x:c>
      <x:c r="P167" t="str">
        <x:v>INDEPENDENT_CONTRACTOR</x:v>
      </x:c>
      <x:c r="Q167" t="str">
        <x:v>CAR</x:v>
      </x:c>
      <x:c r="R167" t="str">
        <x:v>LUNCH</x:v>
      </x:c>
      <x:c r="S167" t="n">
        <x:v>28</x:v>
      </x:c>
      <x:c r="T167" t="str">
        <x:v>CLEARED</x:v>
      </x:c>
      <x:c r="U167" t="str">
        <x:v>VALID</x:v>
      </x:c>
      <x:c r="V167" s="16" t="n">
        <x:v>0.9868</x:v>
      </x:c>
      <x:c r="W167" t="str">
        <x:v>English</x:v>
      </x:c>
      <x:c r="X167"/>
      <x:c r="Y167" t="n">
        <x:v>3816</x:v>
      </x:c>
      <x:c r="Z167" s="17" t="n">
        <x:v>4.95</x:v>
      </x:c>
      <x:c r="AA167" s="16" t="n">
        <x:v>0.6766</x:v>
      </x:c>
      <x:c r="AB167" s="16" t="n">
        <x:v>0.9046</x:v>
      </x:c>
      <x:c r="AC167" s="16" t="n">
        <x:v>0.8694</x:v>
      </x:c>
      <x:c r="AD167" t="n">
        <x:v>0</x:v>
      </x:c>
      <x:c r="AE167" t="str">
        <x:f>IF(O167&lt;&gt;"ACTIVE","NOT_RATED",IF(AND(Z167&gt;=4.8,AB167&gt;=0.97,AC167&gt;=0.93,AD167=0),"ELITE",IF(AND(Z167&gt;=4.6,AB167&gt;=0.94,AC167&gt;=0.88),"HIGH_PERFORMER",IF(OR(Z167&lt;4.2,AB167&lt;0.85,AD167&gt;=2),"AT_RISK","STANDARD"))))</x:f>
        <x:v>STANDARD</x:v>
      </x:c>
      <x:c r="AF167" s="15" t="n">
        <x:v>46018</x:v>
      </x:c>
      <x:c r="AG167" t="str">
        <x:v>VERIFIED</x:v>
      </x:c>
      <x:c r="AH167" t="str">
        <x:v>COMPLETE</x:v>
      </x:c>
      <x:c r="AI167" t="str">
        <x:v>Reese Moore</x:v>
      </x:c>
      <x:c r="AJ167" t="str">
        <x:v>SIBLING</x:v>
      </x:c>
      <x:c r="AK167" t="str">
        <x:v>+1 (702) 555-0178</x:v>
      </x:c>
    </x:row>
    <x:row r="168" ht="18" customHeight="1">
      <x:c r="A168" t="str">
        <x:v>DHR-00167</x:v>
      </x:c>
      <x:c r="B168" t="str">
        <x:v>Drew Rodriguez</x:v>
      </x:c>
      <x:c r="C168" t="str">
        <x:v>https://api.dicebear.com/9.x/adventurer/png?seed=DHR-00167-Drew%20Rodriguez&amp;size=256&amp;radius=50&amp;backgroundColor=b6e3f4,c0aede,d1d4f9,ffd5dc,ffdfbf</x:v>
      </x:c>
      <x:c r="D168" t="str">
        <x:v>drew.rodriguez.167@example.com</x:v>
      </x:c>
      <x:c r="E168" t="str">
        <x:v>+1 (213) 555-0166</x:v>
      </x:c>
      <x:c r="F168" t="str">
        <x:v>Los Angeles, CA</x:v>
      </x:c>
      <x:c r="G168" t="str">
        <x:v>Los Angeles</x:v>
      </x:c>
      <x:c r="H168" t="str">
        <x:v>CA</x:v>
      </x:c>
      <x:c r="I168" s="18" t="str">
        <x:v>90012</x:v>
      </x:c>
      <x:c r="J168" s="15" t="n">
        <x:v>25306.703093287037</x:v>
      </x:c>
      <x:c r="K168" t="n">
        <x:f>INT((DATE(2025,12,31)-J168)/365.25)</x:f>
        <x:v>56</x:v>
      </x:c>
      <x:c r="L168" t="str">
        <x:f>IF(K168&lt;25,"18-24",IF(K168&lt;35,"25-34",IF(K168&lt;45,"35-44",IF(K168&lt;55,"45-54","55+"))))</x:f>
        <x:v>55+</x:v>
      </x:c>
      <x:c r="M168" s="15" t="n">
        <x:v>44794.47335548611</x:v>
      </x:c>
      <x:c r="N168" t="n">
        <x:f>(YEAR(DATE(2025,12,31))-YEAR(M168))*12+MONTH(DATE(2025,12,31))-MONTH(M168)</x:f>
        <x:v>40</x:v>
      </x:c>
      <x:c r="O168" t="str">
        <x:v>PAUSED</x:v>
      </x:c>
      <x:c r="P168" t="str">
        <x:v>INDEPENDENT_CONTRACTOR</x:v>
      </x:c>
      <x:c r="Q168" t="str">
        <x:v>CAR</x:v>
      </x:c>
      <x:c r="R168" t="str">
        <x:v>LUNCH</x:v>
      </x:c>
      <x:c r="S168" t="n">
        <x:v>17</x:v>
      </x:c>
      <x:c r="T168" t="str">
        <x:v>CLEARED</x:v>
      </x:c>
      <x:c r="U168" t="str">
        <x:v>VALID</x:v>
      </x:c>
      <x:c r="V168" s="16" t="n">
        <x:v>0.9027</x:v>
      </x:c>
      <x:c r="W168" t="str">
        <x:v>French</x:v>
      </x:c>
      <x:c r="X168"/>
      <x:c r="Y168" t="n">
        <x:v>2099</x:v>
      </x:c>
      <x:c r="Z168" s="17" t="n">
        <x:v>4.74</x:v>
      </x:c>
      <x:c r="AA168" s="16" t="n">
        <x:v>0.7755</x:v>
      </x:c>
      <x:c r="AB168" s="16" t="n">
        <x:v>0.9304</x:v>
      </x:c>
      <x:c r="AC168" s="16" t="n">
        <x:v>0.9274</x:v>
      </x:c>
      <x:c r="AD168" t="n">
        <x:v>0</x:v>
      </x:c>
      <x:c r="AE168" t="str">
        <x:f>IF(O168&lt;&gt;"ACTIVE","NOT_RATED",IF(AND(Z168&gt;=4.8,AB168&gt;=0.97,AC168&gt;=0.93,AD168=0),"ELITE",IF(AND(Z168&gt;=4.6,AB168&gt;=0.94,AC168&gt;=0.88),"HIGH_PERFORMER",IF(OR(Z168&lt;4.2,AB168&lt;0.85,AD168&gt;=2),"AT_RISK","STANDARD"))))</x:f>
        <x:v>NOT_RATED</x:v>
      </x:c>
      <x:c r="AF168" s="15" t="n">
        <x:v>45947</x:v>
      </x:c>
      <x:c r="AG168" t="str">
        <x:v>VERIFIED</x:v>
      </x:c>
      <x:c r="AH168" t="str">
        <x:v>COMPLETE</x:v>
      </x:c>
      <x:c r="AI168" t="str">
        <x:v>Taylor Garcia</x:v>
      </x:c>
      <x:c r="AJ168" t="str">
        <x:v>SPOUSE_PARTNER</x:v>
      </x:c>
      <x:c r="AK168" t="str">
        <x:v>+1 (213) 555-0185</x:v>
      </x:c>
    </x:row>
    <x:row r="169" ht="18" customHeight="1">
      <x:c r="A169" t="str">
        <x:v>DHR-00168</x:v>
      </x:c>
      <x:c r="B169" t="str">
        <x:v>Drew Taylor</x:v>
      </x:c>
      <x:c r="C169" t="str">
        <x:v>https://api.dicebear.com/9.x/adventurer/png?seed=DHR-00168-Drew%20Taylor&amp;size=256&amp;radius=50&amp;backgroundColor=b6e3f4,c0aede,d1d4f9,ffd5dc,ffdfbf</x:v>
      </x:c>
      <x:c r="D169" t="str">
        <x:v>drew.taylor.168@example.com</x:v>
      </x:c>
      <x:c r="E169" t="str">
        <x:v>+1 (602) 555-0167</x:v>
      </x:c>
      <x:c r="F169" t="str">
        <x:v>Phoenix, AZ</x:v>
      </x:c>
      <x:c r="G169" t="str">
        <x:v>Phoenix</x:v>
      </x:c>
      <x:c r="H169" t="str">
        <x:v>AZ</x:v>
      </x:c>
      <x:c r="I169" s="18" t="str">
        <x:v>85004</x:v>
      </x:c>
      <x:c r="J169" s="15" t="n">
        <x:v>24432.15510515046</x:v>
      </x:c>
      <x:c r="K169" t="n">
        <x:f>INT((DATE(2025,12,31)-J169)/365.25)</x:f>
        <x:v>59</x:v>
      </x:c>
      <x:c r="L169" t="str">
        <x:f>IF(K169&lt;25,"18-24",IF(K169&lt;35,"25-34",IF(K169&lt;45,"35-44",IF(K169&lt;55,"45-54","55+"))))</x:f>
        <x:v>55+</x:v>
      </x:c>
      <x:c r="M169" s="15" t="n">
        <x:v>44580.98199984954</x:v>
      </x:c>
      <x:c r="N169" t="n">
        <x:f>(YEAR(DATE(2025,12,31))-YEAR(M169))*12+MONTH(DATE(2025,12,31))-MONTH(M169)</x:f>
        <x:v>47</x:v>
      </x:c>
      <x:c r="O169" t="str">
        <x:v>ACTIVE</x:v>
      </x:c>
      <x:c r="P169" t="str">
        <x:v>INDEPENDENT_CONTRACTOR</x:v>
      </x:c>
      <x:c r="Q169" t="str">
        <x:v>CAR</x:v>
      </x:c>
      <x:c r="R169" t="str">
        <x:v>DINNER</x:v>
      </x:c>
      <x:c r="S169" t="n">
        <x:v>38</x:v>
      </x:c>
      <x:c r="T169" t="str">
        <x:v>CLEARED</x:v>
      </x:c>
      <x:c r="U169" t="str">
        <x:v>VALID</x:v>
      </x:c>
      <x:c r="V169" s="16" t="n">
        <x:v>0.8824</x:v>
      </x:c>
      <x:c r="W169" t="str">
        <x:v>English</x:v>
      </x:c>
      <x:c r="X169"/>
      <x:c r="Y169" t="n">
        <x:v>5681</x:v>
      </x:c>
      <x:c r="Z169" s="17" t="n">
        <x:v>4.12</x:v>
      </x:c>
      <x:c r="AA169" s="16" t="n">
        <x:v>0.9758</x:v>
      </x:c>
      <x:c r="AB169" s="16" t="n">
        <x:v>0.9648</x:v>
      </x:c>
      <x:c r="AC169" s="16" t="n">
        <x:v>0.916</x:v>
      </x:c>
      <x:c r="AD169" t="n">
        <x:v>1</x:v>
      </x:c>
      <x:c r="AE169" t="str">
        <x:f>IF(O169&lt;&gt;"ACTIVE","NOT_RATED",IF(AND(Z169&gt;=4.8,AB169&gt;=0.97,AC169&gt;=0.93,AD169=0),"ELITE",IF(AND(Z169&gt;=4.6,AB169&gt;=0.94,AC169&gt;=0.88),"HIGH_PERFORMER",IF(OR(Z169&lt;4.2,AB169&lt;0.85,AD169&gt;=2),"AT_RISK","STANDARD"))))</x:f>
        <x:v>AT_RISK</x:v>
      </x:c>
      <x:c r="AF169" s="15" t="n">
        <x:v>46008</x:v>
      </x:c>
      <x:c r="AG169" t="str">
        <x:v>VERIFIED</x:v>
      </x:c>
      <x:c r="AH169" t="str">
        <x:v>COMPLETE</x:v>
      </x:c>
      <x:c r="AI169" t="str">
        <x:v>Ethan Wilson</x:v>
      </x:c>
      <x:c r="AJ169" t="str">
        <x:v>FRIEND</x:v>
      </x:c>
      <x:c r="AK169" t="str">
        <x:v>+1 (602) 555-0192</x:v>
      </x:c>
    </x:row>
    <x:row r="170" ht="18" customHeight="1">
      <x:c r="A170" t="str">
        <x:v>DHR-00169</x:v>
      </x:c>
      <x:c r="B170" t="str">
        <x:v>Drew Thomas</x:v>
      </x:c>
      <x:c r="C170" t="str">
        <x:v>https://api.dicebear.com/9.x/adventurer/png?seed=DHR-00169-Drew%20Thomas&amp;size=256&amp;radius=50&amp;backgroundColor=b6e3f4,c0aede,d1d4f9,ffd5dc,ffdfbf</x:v>
      </x:c>
      <x:c r="D170" t="str">
        <x:v>drew.thomas.169@example.com</x:v>
      </x:c>
      <x:c r="E170" t="str">
        <x:v>+1 (503) 555-0168</x:v>
      </x:c>
      <x:c r="F170" t="str">
        <x:v>Portland, OR</x:v>
      </x:c>
      <x:c r="G170" t="str">
        <x:v>Portland</x:v>
      </x:c>
      <x:c r="H170" t="str">
        <x:v>OR</x:v>
      </x:c>
      <x:c r="I170" s="18" t="str">
        <x:v>97205</x:v>
      </x:c>
      <x:c r="J170" s="15" t="n">
        <x:v>32964.42750320602</x:v>
      </x:c>
      <x:c r="K170" t="n">
        <x:f>INT((DATE(2025,12,31)-J170)/365.25)</x:f>
        <x:v>35</x:v>
      </x:c>
      <x:c r="L170" t="str">
        <x:f>IF(K170&lt;25,"18-24",IF(K170&lt;35,"25-34",IF(K170&lt;45,"35-44",IF(K170&lt;55,"45-54","55+"))))</x:f>
        <x:v>35-44</x:v>
      </x:c>
      <x:c r="M170" s="15" t="n">
        <x:v>45077.95849570602</x:v>
      </x:c>
      <x:c r="N170" t="n">
        <x:f>(YEAR(DATE(2025,12,31))-YEAR(M170))*12+MONTH(DATE(2025,12,31))-MONTH(M170)</x:f>
        <x:v>31</x:v>
      </x:c>
      <x:c r="O170" t="str">
        <x:v>OFFBOARDED</x:v>
      </x:c>
      <x:c r="P170" t="str">
        <x:v>INDEPENDENT_CONTRACTOR</x:v>
      </x:c>
      <x:c r="Q170" t="str">
        <x:v>CAR</x:v>
      </x:c>
      <x:c r="R170" t="str">
        <x:v>DINNER</x:v>
      </x:c>
      <x:c r="S170" t="n">
        <x:v>17</x:v>
      </x:c>
      <x:c r="T170" t="str">
        <x:v>EXPIRED</x:v>
      </x:c>
      <x:c r="U170" t="str">
        <x:v>EXPIRING_SOON</x:v>
      </x:c>
      <x:c r="V170" s="16" t="n">
        <x:v>0.8703</x:v>
      </x:c>
      <x:c r="W170" t="str">
        <x:v>Mandarin</x:v>
      </x:c>
      <x:c r="X170" t="str">
        <x:v>French</x:v>
      </x:c>
      <x:c r="Y170" t="n">
        <x:v>1237</x:v>
      </x:c>
      <x:c r="Z170" s="17" t="n">
        <x:v>4.47</x:v>
      </x:c>
      <x:c r="AA170" s="16" t="n">
        <x:v>0.6118</x:v>
      </x:c>
      <x:c r="AB170" s="16" t="n">
        <x:v>0.9486</x:v>
      </x:c>
      <x:c r="AC170" s="16" t="n">
        <x:v>0.8518</x:v>
      </x:c>
      <x:c r="AD170" t="n">
        <x:v>0</x:v>
      </x:c>
      <x:c r="AE170" t="str">
        <x:f>IF(O170&lt;&gt;"ACTIVE","NOT_RATED",IF(AND(Z170&gt;=4.8,AB170&gt;=0.97,AC170&gt;=0.93,AD170=0),"ELITE",IF(AND(Z170&gt;=4.6,AB170&gt;=0.94,AC170&gt;=0.88),"HIGH_PERFORMER",IF(OR(Z170&lt;4.2,AB170&lt;0.85,AD170&gt;=2),"AT_RISK","STANDARD"))))</x:f>
        <x:v>NOT_RATED</x:v>
      </x:c>
      <x:c r="AF170" s="15" t="n">
        <x:v>45709</x:v>
      </x:c>
      <x:c r="AG170" t="str">
        <x:v>VERIFIED</x:v>
      </x:c>
      <x:c r="AH170" t="str">
        <x:v>COMPLETE</x:v>
      </x:c>
      <x:c r="AI170" t="str">
        <x:v>Morgan Moore</x:v>
      </x:c>
      <x:c r="AJ170" t="str">
        <x:v>PARENT</x:v>
      </x:c>
      <x:c r="AK170" t="str">
        <x:v>+1 (503) 555-0199</x:v>
      </x:c>
    </x:row>
    <x:row r="171" ht="18" customHeight="1">
      <x:c r="A171" t="str">
        <x:v>DHR-00170</x:v>
      </x:c>
      <x:c r="B171" t="str">
        <x:v>Drew Thompson</x:v>
      </x:c>
      <x:c r="C171" t="str">
        <x:v>https://api.dicebear.com/9.x/adventurer/png?seed=DHR-00170-Drew%20Thompson&amp;size=256&amp;radius=50&amp;backgroundColor=b6e3f4,c0aede,d1d4f9,ffd5dc,ffdfbf</x:v>
      </x:c>
      <x:c r="D171" t="str">
        <x:v>drew.thompson.170@example.com</x:v>
      </x:c>
      <x:c r="E171" t="str">
        <x:v>+1 (210) 555-0169</x:v>
      </x:c>
      <x:c r="F171" t="str">
        <x:v>San Antonio, TX</x:v>
      </x:c>
      <x:c r="G171" t="str">
        <x:v>San Antonio</x:v>
      </x:c>
      <x:c r="H171" t="str">
        <x:v>TX</x:v>
      </x:c>
      <x:c r="I171" s="18" t="str">
        <x:v>78205</x:v>
      </x:c>
      <x:c r="J171" s="15" t="n">
        <x:v>34980.95147880787</x:v>
      </x:c>
      <x:c r="K171" t="n">
        <x:f>INT((DATE(2025,12,31)-J171)/365.25)</x:f>
        <x:v>30</x:v>
      </x:c>
      <x:c r="L171" t="str">
        <x:f>IF(K171&lt;25,"18-24",IF(K171&lt;35,"25-34",IF(K171&lt;45,"35-44",IF(K171&lt;55,"45-54","55+"))))</x:f>
        <x:v>25-34</x:v>
      </x:c>
      <x:c r="M171" s="15" t="n">
        <x:v>44815.42927959491</x:v>
      </x:c>
      <x:c r="N171" t="n">
        <x:f>(YEAR(DATE(2025,12,31))-YEAR(M171))*12+MONTH(DATE(2025,12,31))-MONTH(M171)</x:f>
        <x:v>39</x:v>
      </x:c>
      <x:c r="O171" t="str">
        <x:v>ACTIVE</x:v>
      </x:c>
      <x:c r="P171" t="str">
        <x:v>INDEPENDENT_CONTRACTOR</x:v>
      </x:c>
      <x:c r="Q171" t="str">
        <x:v>SCOOTER</x:v>
      </x:c>
      <x:c r="R171" t="str">
        <x:v>FLEXIBLE</x:v>
      </x:c>
      <x:c r="S171" t="n">
        <x:v>37</x:v>
      </x:c>
      <x:c r="T171" t="str">
        <x:v>CLEARED</x:v>
      </x:c>
      <x:c r="U171" t="str">
        <x:v>VALID</x:v>
      </x:c>
      <x:c r="V171" s="16" t="n">
        <x:v>0.7847</x:v>
      </x:c>
      <x:c r="W171" t="str">
        <x:v>Spanish</x:v>
      </x:c>
      <x:c r="X171"/>
      <x:c r="Y171" t="n">
        <x:v>4244</x:v>
      </x:c>
      <x:c r="Z171" s="17" t="n">
        <x:v>4.52</x:v>
      </x:c>
      <x:c r="AA171" s="16" t="n">
        <x:v>0.8907</x:v>
      </x:c>
      <x:c r="AB171" s="16" t="n">
        <x:v>0.9234</x:v>
      </x:c>
      <x:c r="AC171" s="16" t="n">
        <x:v>0.8814</x:v>
      </x:c>
      <x:c r="AD171" t="n">
        <x:v>0</x:v>
      </x:c>
      <x:c r="AE171" t="str">
        <x:f>IF(O171&lt;&gt;"ACTIVE","NOT_RATED",IF(AND(Z171&gt;=4.8,AB171&gt;=0.97,AC171&gt;=0.93,AD171=0),"ELITE",IF(AND(Z171&gt;=4.6,AB171&gt;=0.94,AC171&gt;=0.88),"HIGH_PERFORMER",IF(OR(Z171&lt;4.2,AB171&lt;0.85,AD171&gt;=2),"AT_RISK","STANDARD"))))</x:f>
        <x:v>STANDARD</x:v>
      </x:c>
      <x:c r="AF171" s="15" t="n">
        <x:v>46010</x:v>
      </x:c>
      <x:c r="AG171" t="str">
        <x:v>VERIFIED</x:v>
      </x:c>
      <x:c r="AH171" t="str">
        <x:v>COMPLETE</x:v>
      </x:c>
      <x:c r="AI171" t="str">
        <x:v>Emma White</x:v>
      </x:c>
      <x:c r="AJ171" t="str">
        <x:v>SIBLING</x:v>
      </x:c>
      <x:c r="AK171" t="str">
        <x:v>+1 (210) 555-0106</x:v>
      </x:c>
    </x:row>
    <x:row r="172" ht="18" customHeight="1">
      <x:c r="A172" t="str">
        <x:v>DHR-00171</x:v>
      </x:c>
      <x:c r="B172" t="str">
        <x:v>Drew Walker</x:v>
      </x:c>
      <x:c r="C172" t="str">
        <x:v>https://api.dicebear.com/9.x/adventurer/png?seed=DHR-00171-Drew%20Walker&amp;size=256&amp;radius=50&amp;backgroundColor=b6e3f4,c0aede,d1d4f9,ffd5dc,ffdfbf</x:v>
      </x:c>
      <x:c r="D172" t="str">
        <x:v>drew.walker.171@example.com</x:v>
      </x:c>
      <x:c r="E172" t="str">
        <x:v>+1 (415) 555-0170</x:v>
      </x:c>
      <x:c r="F172" t="str">
        <x:v>San Francisco, CA</x:v>
      </x:c>
      <x:c r="G172" t="str">
        <x:v>San Francisco</x:v>
      </x:c>
      <x:c r="H172" t="str">
        <x:v>CA</x:v>
      </x:c>
      <x:c r="I172" s="18" t="str">
        <x:v>94103</x:v>
      </x:c>
      <x:c r="J172" s="15" t="n">
        <x:v>23755.6019725</x:v>
      </x:c>
      <x:c r="K172" t="n">
        <x:f>INT((DATE(2025,12,31)-J172)/365.25)</x:f>
        <x:v>60</x:v>
      </x:c>
      <x:c r="L172" t="str">
        <x:f>IF(K172&lt;25,"18-24",IF(K172&lt;35,"25-34",IF(K172&lt;45,"35-44",IF(K172&lt;55,"45-54","55+"))))</x:f>
        <x:v>55+</x:v>
      </x:c>
      <x:c r="M172" s="15" t="n">
        <x:v>44575.46847898148</x:v>
      </x:c>
      <x:c r="N172" t="n">
        <x:f>(YEAR(DATE(2025,12,31))-YEAR(M172))*12+MONTH(DATE(2025,12,31))-MONTH(M172)</x:f>
        <x:v>47</x:v>
      </x:c>
      <x:c r="O172" t="str">
        <x:v>ACTIVE</x:v>
      </x:c>
      <x:c r="P172" t="str">
        <x:v>INDEPENDENT_CONTRACTOR</x:v>
      </x:c>
      <x:c r="Q172" t="str">
        <x:v>CAR</x:v>
      </x:c>
      <x:c r="R172" t="str">
        <x:v>FLEXIBLE</x:v>
      </x:c>
      <x:c r="S172" t="n">
        <x:v>47</x:v>
      </x:c>
      <x:c r="T172" t="str">
        <x:v>CLEARED</x:v>
      </x:c>
      <x:c r="U172" t="str">
        <x:v>VALID</x:v>
      </x:c>
      <x:c r="V172" s="16" t="n">
        <x:v>0.8199</x:v>
      </x:c>
      <x:c r="W172" t="str">
        <x:v>English</x:v>
      </x:c>
      <x:c r="X172"/>
      <x:c r="Y172" t="n">
        <x:v>5312</x:v>
      </x:c>
      <x:c r="Z172" s="17" t="n">
        <x:v>4.48</x:v>
      </x:c>
      <x:c r="AA172" s="16" t="n">
        <x:v>0.8749</x:v>
      </x:c>
      <x:c r="AB172" s="16" t="n">
        <x:v>0.9627</x:v>
      </x:c>
      <x:c r="AC172" s="16" t="n">
        <x:v>0.8672</x:v>
      </x:c>
      <x:c r="AD172" t="n">
        <x:v>0</x:v>
      </x:c>
      <x:c r="AE172" t="str">
        <x:f>IF(O172&lt;&gt;"ACTIVE","NOT_RATED",IF(AND(Z172&gt;=4.8,AB172&gt;=0.97,AC172&gt;=0.93,AD172=0),"ELITE",IF(AND(Z172&gt;=4.6,AB172&gt;=0.94,AC172&gt;=0.88),"HIGH_PERFORMER",IF(OR(Z172&lt;4.2,AB172&lt;0.85,AD172&gt;=2),"AT_RISK","STANDARD"))))</x:f>
        <x:v>STANDARD</x:v>
      </x:c>
      <x:c r="AF172" s="15" t="n">
        <x:v>46022</x:v>
      </x:c>
      <x:c r="AG172" t="str">
        <x:v>VERIFIED</x:v>
      </x:c>
      <x:c r="AH172" t="str">
        <x:v>COMPLETE</x:v>
      </x:c>
      <x:c r="AI172" t="str">
        <x:v>Ethan Moore</x:v>
      </x:c>
      <x:c r="AJ172" t="str">
        <x:v>SPOUSE_PARTNER</x:v>
      </x:c>
      <x:c r="AK172" t="str">
        <x:v>+1 (415) 555-0113</x:v>
      </x:c>
    </x:row>
    <x:row r="173" ht="18" customHeight="1">
      <x:c r="A173" t="str">
        <x:v>DHR-00172</x:v>
      </x:c>
      <x:c r="B173" t="str">
        <x:v>Drew White</x:v>
      </x:c>
      <x:c r="C173" t="str">
        <x:v>https://api.dicebear.com/9.x/adventurer/png?seed=DHR-00172-Drew%20White&amp;size=256&amp;radius=50&amp;backgroundColor=b6e3f4,c0aede,d1d4f9,ffd5dc,ffdfbf</x:v>
      </x:c>
      <x:c r="D173" t="str">
        <x:v>drew.white.172@example.com</x:v>
      </x:c>
      <x:c r="E173" t="str">
        <x:v>+1 (212) 555-0171</x:v>
      </x:c>
      <x:c r="F173" t="str">
        <x:v>New York, NY</x:v>
      </x:c>
      <x:c r="G173" t="str">
        <x:v>New York</x:v>
      </x:c>
      <x:c r="H173" t="str">
        <x:v>NY</x:v>
      </x:c>
      <x:c r="I173" s="18" t="str">
        <x:v>10001</x:v>
      </x:c>
      <x:c r="J173" s="15" t="n">
        <x:v>31125.243356898147</x:v>
      </x:c>
      <x:c r="K173" t="n">
        <x:f>INT((DATE(2025,12,31)-J173)/365.25)</x:f>
        <x:v>40</x:v>
      </x:c>
      <x:c r="L173" t="str">
        <x:f>IF(K173&lt;25,"18-24",IF(K173&lt;35,"25-34",IF(K173&lt;45,"35-44",IF(K173&lt;55,"45-54","55+"))))</x:f>
        <x:v>35-44</x:v>
      </x:c>
      <x:c r="M173" s="15" t="n">
        <x:v>44219.28318684028</x:v>
      </x:c>
      <x:c r="N173" t="n">
        <x:f>(YEAR(DATE(2025,12,31))-YEAR(M173))*12+MONTH(DATE(2025,12,31))-MONTH(M173)</x:f>
        <x:v>59</x:v>
      </x:c>
      <x:c r="O173" t="str">
        <x:v>ACTIVE</x:v>
      </x:c>
      <x:c r="P173" t="str">
        <x:v>INDEPENDENT_CONTRACTOR</x:v>
      </x:c>
      <x:c r="Q173" t="str">
        <x:v>CAR</x:v>
      </x:c>
      <x:c r="R173" t="str">
        <x:v>FLEXIBLE</x:v>
      </x:c>
      <x:c r="S173" t="n">
        <x:v>20</x:v>
      </x:c>
      <x:c r="T173" t="str">
        <x:v>CLEARED</x:v>
      </x:c>
      <x:c r="U173" t="str">
        <x:v>VALID</x:v>
      </x:c>
      <x:c r="V173" s="16" t="n">
        <x:v>0.9576</x:v>
      </x:c>
      <x:c r="W173" t="str">
        <x:v>Spanish</x:v>
      </x:c>
      <x:c r="X173"/>
      <x:c r="Y173" t="n">
        <x:v>2912</x:v>
      </x:c>
      <x:c r="Z173" s="17" t="n">
        <x:v>4.63</x:v>
      </x:c>
      <x:c r="AA173" s="16" t="n">
        <x:v>0.7914</x:v>
      </x:c>
      <x:c r="AB173" s="16" t="n">
        <x:v>0.998</x:v>
      </x:c>
      <x:c r="AC173" s="16" t="n">
        <x:v>0.8582</x:v>
      </x:c>
      <x:c r="AD173" t="n">
        <x:v>0</x:v>
      </x:c>
      <x:c r="AE173" t="str">
        <x:f>IF(O173&lt;&gt;"ACTIVE","NOT_RATED",IF(AND(Z173&gt;=4.8,AB173&gt;=0.97,AC173&gt;=0.93,AD173=0),"ELITE",IF(AND(Z173&gt;=4.6,AB173&gt;=0.94,AC173&gt;=0.88),"HIGH_PERFORMER",IF(OR(Z173&lt;4.2,AB173&lt;0.85,AD173&gt;=2),"AT_RISK","STANDARD"))))</x:f>
        <x:v>STANDARD</x:v>
      </x:c>
      <x:c r="AF173" s="15" t="n">
        <x:v>46010</x:v>
      </x:c>
      <x:c r="AG173" t="str">
        <x:v>VERIFIED</x:v>
      </x:c>
      <x:c r="AH173" t="str">
        <x:v>COMPLETE</x:v>
      </x:c>
      <x:c r="AI173" t="str">
        <x:v>Parker White</x:v>
      </x:c>
      <x:c r="AJ173" t="str">
        <x:v>PARENT</x:v>
      </x:c>
      <x:c r="AK173" t="str">
        <x:v>+1 (212) 555-0120</x:v>
      </x:c>
    </x:row>
    <x:row r="174" ht="18" customHeight="1">
      <x:c r="A174" t="str">
        <x:v>DHR-00173</x:v>
      </x:c>
      <x:c r="B174" t="str">
        <x:v>Drew Williams</x:v>
      </x:c>
      <x:c r="C174" t="str">
        <x:v>https://api.dicebear.com/9.x/adventurer/png?seed=DHR-00173-Drew%20Williams&amp;size=256&amp;radius=50&amp;backgroundColor=b6e3f4,c0aede,d1d4f9,ffd5dc,ffdfbf</x:v>
      </x:c>
      <x:c r="D174" t="str">
        <x:v>drew.williams.173@example.com</x:v>
      </x:c>
      <x:c r="E174" t="str">
        <x:v>+1 (206) 555-0172</x:v>
      </x:c>
      <x:c r="F174" t="str">
        <x:v>Seattle, WA</x:v>
      </x:c>
      <x:c r="G174" t="str">
        <x:v>Seattle</x:v>
      </x:c>
      <x:c r="H174" t="str">
        <x:v>WA</x:v>
      </x:c>
      <x:c r="I174" s="18" t="str">
        <x:v>98101</x:v>
      </x:c>
      <x:c r="J174" s="15" t="n">
        <x:v>30597.225046516203</x:v>
      </x:c>
      <x:c r="K174" t="n">
        <x:f>INT((DATE(2025,12,31)-J174)/365.25)</x:f>
        <x:v>42</x:v>
      </x:c>
      <x:c r="L174" t="str">
        <x:f>IF(K174&lt;25,"18-24",IF(K174&lt;35,"25-34",IF(K174&lt;45,"35-44",IF(K174&lt;55,"45-54","55+"))))</x:f>
        <x:v>35-44</x:v>
      </x:c>
      <x:c r="M174" s="15" t="n">
        <x:v>45254.810520162035</x:v>
      </x:c>
      <x:c r="N174" t="n">
        <x:f>(YEAR(DATE(2025,12,31))-YEAR(M174))*12+MONTH(DATE(2025,12,31))-MONTH(M174)</x:f>
        <x:v>25</x:v>
      </x:c>
      <x:c r="O174" t="str">
        <x:v>ACTIVE</x:v>
      </x:c>
      <x:c r="P174" t="str">
        <x:v>INDEPENDENT_CONTRACTOR</x:v>
      </x:c>
      <x:c r="Q174" t="str">
        <x:v>CAR</x:v>
      </x:c>
      <x:c r="R174" t="str">
        <x:v>FLEXIBLE</x:v>
      </x:c>
      <x:c r="S174" t="n">
        <x:v>20</x:v>
      </x:c>
      <x:c r="T174" t="str">
        <x:v>CLEARED</x:v>
      </x:c>
      <x:c r="U174" t="str">
        <x:v>VALID</x:v>
      </x:c>
      <x:c r="V174" s="16" t="n">
        <x:v>0.7916</x:v>
      </x:c>
      <x:c r="W174" t="str">
        <x:v>English</x:v>
      </x:c>
      <x:c r="X174"/>
      <x:c r="Y174" t="n">
        <x:v>1050</x:v>
      </x:c>
      <x:c r="Z174" s="17" t="n">
        <x:v>4.24</x:v>
      </x:c>
      <x:c r="AA174" s="16" t="n">
        <x:v>0.6246</x:v>
      </x:c>
      <x:c r="AB174" s="16" t="n">
        <x:v>0.9339</x:v>
      </x:c>
      <x:c r="AC174" s="16" t="n">
        <x:v>0.8863</x:v>
      </x:c>
      <x:c r="AD174" t="n">
        <x:v>0</x:v>
      </x:c>
      <x:c r="AE174" t="str">
        <x:f>IF(O174&lt;&gt;"ACTIVE","NOT_RATED",IF(AND(Z174&gt;=4.8,AB174&gt;=0.97,AC174&gt;=0.93,AD174=0),"ELITE",IF(AND(Z174&gt;=4.6,AB174&gt;=0.94,AC174&gt;=0.88),"HIGH_PERFORMER",IF(OR(Z174&lt;4.2,AB174&lt;0.85,AD174&gt;=2),"AT_RISK","STANDARD"))))</x:f>
        <x:v>STANDARD</x:v>
      </x:c>
      <x:c r="AF174" s="15" t="n">
        <x:v>46016</x:v>
      </x:c>
      <x:c r="AG174" t="str">
        <x:v>VERIFIED</x:v>
      </x:c>
      <x:c r="AH174" t="str">
        <x:v>COMPLETE</x:v>
      </x:c>
      <x:c r="AI174" t="str">
        <x:v>Chris Harris</x:v>
      </x:c>
      <x:c r="AJ174" t="str">
        <x:v>SIBLING</x:v>
      </x:c>
      <x:c r="AK174" t="str">
        <x:v>+1 (206) 555-0127</x:v>
      </x:c>
    </x:row>
    <x:row r="175" ht="18" customHeight="1">
      <x:c r="A175" t="str">
        <x:v>DHR-00174</x:v>
      </x:c>
      <x:c r="B175" t="str">
        <x:v>Drew Young</x:v>
      </x:c>
      <x:c r="C175" t="str">
        <x:v>https://api.dicebear.com/9.x/adventurer/png?seed=DHR-00174-Drew%20Young&amp;size=256&amp;radius=50&amp;backgroundColor=b6e3f4,c0aede,d1d4f9,ffd5dc,ffdfbf</x:v>
      </x:c>
      <x:c r="D175" t="str">
        <x:v>drew.young.174@example.com</x:v>
      </x:c>
      <x:c r="E175" t="str">
        <x:v>+1 (210) 555-0173</x:v>
      </x:c>
      <x:c r="F175" t="str">
        <x:v>San Antonio, TX</x:v>
      </x:c>
      <x:c r="G175" t="str">
        <x:v>San Antonio</x:v>
      </x:c>
      <x:c r="H175" t="str">
        <x:v>TX</x:v>
      </x:c>
      <x:c r="I175" s="18" t="str">
        <x:v>78205</x:v>
      </x:c>
      <x:c r="J175" s="15" t="n">
        <x:v>27234.57100855324</x:v>
      </x:c>
      <x:c r="K175" t="n">
        <x:f>INT((DATE(2025,12,31)-J175)/365.25)</x:f>
        <x:v>51</x:v>
      </x:c>
      <x:c r="L175" t="str">
        <x:f>IF(K175&lt;25,"18-24",IF(K175&lt;35,"25-34",IF(K175&lt;45,"35-44",IF(K175&lt;55,"45-54","55+"))))</x:f>
        <x:v>45-54</x:v>
      </x:c>
      <x:c r="M175" s="15" t="n">
        <x:v>44902.3796841088</x:v>
      </x:c>
      <x:c r="N175" t="n">
        <x:f>(YEAR(DATE(2025,12,31))-YEAR(M175))*12+MONTH(DATE(2025,12,31))-MONTH(M175)</x:f>
        <x:v>36</x:v>
      </x:c>
      <x:c r="O175" t="str">
        <x:v>ACTIVE</x:v>
      </x:c>
      <x:c r="P175" t="str">
        <x:v>INDEPENDENT_CONTRACTOR</x:v>
      </x:c>
      <x:c r="Q175" t="str">
        <x:v>CAR</x:v>
      </x:c>
      <x:c r="R175" t="str">
        <x:v>FLEXIBLE</x:v>
      </x:c>
      <x:c r="S175" t="n">
        <x:v>11</x:v>
      </x:c>
      <x:c r="T175" t="str">
        <x:v>CLEARED</x:v>
      </x:c>
      <x:c r="U175" t="str">
        <x:v>VALID</x:v>
      </x:c>
      <x:c r="V175" s="16" t="n">
        <x:v>0.8206</x:v>
      </x:c>
      <x:c r="W175" t="str">
        <x:v>English</x:v>
      </x:c>
      <x:c r="X175"/>
      <x:c r="Y175" t="n">
        <x:v>1547</x:v>
      </x:c>
      <x:c r="Z175" s="17" t="n">
        <x:v>4.84</x:v>
      </x:c>
      <x:c r="AA175" s="16" t="n">
        <x:v>0.8691</x:v>
      </x:c>
      <x:c r="AB175" s="16" t="n">
        <x:v>0.9845</x:v>
      </x:c>
      <x:c r="AC175" s="16" t="n">
        <x:v>0.8882</x:v>
      </x:c>
      <x:c r="AD175" t="n">
        <x:v>1</x:v>
      </x:c>
      <x:c r="AE175" t="str">
        <x:f>IF(O175&lt;&gt;"ACTIVE","NOT_RATED",IF(AND(Z175&gt;=4.8,AB175&gt;=0.97,AC175&gt;=0.93,AD175=0),"ELITE",IF(AND(Z175&gt;=4.6,AB175&gt;=0.94,AC175&gt;=0.88),"HIGH_PERFORMER",IF(OR(Z175&lt;4.2,AB175&lt;0.85,AD175&gt;=2),"AT_RISK","STANDARD"))))</x:f>
        <x:v>HIGH_PERFORMER</x:v>
      </x:c>
      <x:c r="AF175" s="15" t="n">
        <x:v>46014</x:v>
      </x:c>
      <x:c r="AG175" t="str">
        <x:v>ON_HOLD</x:v>
      </x:c>
      <x:c r="AH175" t="str">
        <x:v>COMPLETE</x:v>
      </x:c>
      <x:c r="AI175" t="str">
        <x:v>Liam Davis</x:v>
      </x:c>
      <x:c r="AJ175" t="str">
        <x:v>SIBLING</x:v>
      </x:c>
      <x:c r="AK175" t="str">
        <x:v>+1 (210) 555-0134</x:v>
      </x:c>
    </x:row>
    <x:row r="176" ht="18" customHeight="1">
      <x:c r="A176" t="str">
        <x:v>DHR-00175</x:v>
      </x:c>
      <x:c r="B176" t="str">
        <x:v>Emma Anderson</x:v>
      </x:c>
      <x:c r="C176" t="str">
        <x:v>https://api.dicebear.com/9.x/adventurer/png?seed=DHR-00175-Emma%20Anderson&amp;size=256&amp;radius=50&amp;backgroundColor=b6e3f4,c0aede,d1d4f9,ffd5dc,ffdfbf</x:v>
      </x:c>
      <x:c r="D176" t="str">
        <x:v>emma.anderson.175@example.com</x:v>
      </x:c>
      <x:c r="E176" t="str">
        <x:v>+1 (512) 555-0174</x:v>
      </x:c>
      <x:c r="F176" t="str">
        <x:v>Austin, TX</x:v>
      </x:c>
      <x:c r="G176" t="str">
        <x:v>Austin</x:v>
      </x:c>
      <x:c r="H176" t="str">
        <x:v>TX</x:v>
      </x:c>
      <x:c r="I176" s="18" t="str">
        <x:v>78701</x:v>
      </x:c>
      <x:c r="J176" s="15" t="n">
        <x:v>33933.66473567129</x:v>
      </x:c>
      <x:c r="K176" t="n">
        <x:f>INT((DATE(2025,12,31)-J176)/365.25)</x:f>
        <x:v>33</x:v>
      </x:c>
      <x:c r="L176" t="str">
        <x:f>IF(K176&lt;25,"18-24",IF(K176&lt;35,"25-34",IF(K176&lt;45,"35-44",IF(K176&lt;55,"45-54","55+"))))</x:f>
        <x:v>25-34</x:v>
      </x:c>
      <x:c r="M176" s="15" t="n">
        <x:v>45575.24690696759</x:v>
      </x:c>
      <x:c r="N176" t="n">
        <x:f>(YEAR(DATE(2025,12,31))-YEAR(M176))*12+MONTH(DATE(2025,12,31))-MONTH(M176)</x:f>
        <x:v>14</x:v>
      </x:c>
      <x:c r="O176" t="str">
        <x:v>ACTIVE</x:v>
      </x:c>
      <x:c r="P176" t="str">
        <x:v>INDEPENDENT_CONTRACTOR</x:v>
      </x:c>
      <x:c r="Q176" t="str">
        <x:v>CAR</x:v>
      </x:c>
      <x:c r="R176" t="str">
        <x:v>FLEXIBLE</x:v>
      </x:c>
      <x:c r="S176" t="n">
        <x:v>10</x:v>
      </x:c>
      <x:c r="T176" t="str">
        <x:v>CLEARED</x:v>
      </x:c>
      <x:c r="U176" t="str">
        <x:v>VALID</x:v>
      </x:c>
      <x:c r="V176" s="16" t="n">
        <x:v>0.9152</x:v>
      </x:c>
      <x:c r="W176" t="str">
        <x:v>English</x:v>
      </x:c>
      <x:c r="X176"/>
      <x:c r="Y176" t="n">
        <x:v>535</x:v>
      </x:c>
      <x:c r="Z176" s="17" t="n">
        <x:v>4.54</x:v>
      </x:c>
      <x:c r="AA176" s="16" t="n">
        <x:v>0.5931</x:v>
      </x:c>
      <x:c r="AB176" s="16" t="n">
        <x:v>0.8672</x:v>
      </x:c>
      <x:c r="AC176" s="16" t="n">
        <x:v>0.8536</x:v>
      </x:c>
      <x:c r="AD176" t="n">
        <x:v>0</x:v>
      </x:c>
      <x:c r="AE176" t="str">
        <x:f>IF(O176&lt;&gt;"ACTIVE","NOT_RATED",IF(AND(Z176&gt;=4.8,AB176&gt;=0.97,AC176&gt;=0.93,AD176=0),"ELITE",IF(AND(Z176&gt;=4.6,AB176&gt;=0.94,AC176&gt;=0.88),"HIGH_PERFORMER",IF(OR(Z176&lt;4.2,AB176&lt;0.85,AD176&gt;=2),"AT_RISK","STANDARD"))))</x:f>
        <x:v>STANDARD</x:v>
      </x:c>
      <x:c r="AF176" s="15" t="n">
        <x:v>46013</x:v>
      </x:c>
      <x:c r="AG176" t="str">
        <x:v>VERIFIED</x:v>
      </x:c>
      <x:c r="AH176" t="str">
        <x:v>COMPLETE</x:v>
      </x:c>
      <x:c r="AI176" t="str">
        <x:v>Avery Jones</x:v>
      </x:c>
      <x:c r="AJ176" t="str">
        <x:v>SPOUSE_PARTNER</x:v>
      </x:c>
      <x:c r="AK176" t="str">
        <x:v>+1 (512) 555-0141</x:v>
      </x:c>
    </x:row>
    <x:row r="177" ht="18" customHeight="1">
      <x:c r="A177" t="str">
        <x:v>DHR-00176</x:v>
      </x:c>
      <x:c r="B177" t="str">
        <x:v>Emma Brown</x:v>
      </x:c>
      <x:c r="C177" t="str">
        <x:v>https://api.dicebear.com/9.x/adventurer/png?seed=DHR-00176-Emma%20Brown&amp;size=256&amp;radius=50&amp;backgroundColor=b6e3f4,c0aede,d1d4f9,ffd5dc,ffdfbf</x:v>
      </x:c>
      <x:c r="D177" t="str">
        <x:v>emma.brown.176@example.com</x:v>
      </x:c>
      <x:c r="E177" t="str">
        <x:v>+1 (415) 555-0175</x:v>
      </x:c>
      <x:c r="F177" t="str">
        <x:v>San Francisco, CA</x:v>
      </x:c>
      <x:c r="G177" t="str">
        <x:v>San Francisco</x:v>
      </x:c>
      <x:c r="H177" t="str">
        <x:v>CA</x:v>
      </x:c>
      <x:c r="I177" s="18" t="str">
        <x:v>94103</x:v>
      </x:c>
      <x:c r="J177" s="15" t="n">
        <x:v>31016.074095925927</x:v>
      </x:c>
      <x:c r="K177" t="n">
        <x:f>INT((DATE(2025,12,31)-J177)/365.25)</x:f>
        <x:v>41</x:v>
      </x:c>
      <x:c r="L177" t="str">
        <x:f>IF(K177&lt;25,"18-24",IF(K177&lt;35,"25-34",IF(K177&lt;45,"35-44",IF(K177&lt;55,"45-54","55+"))))</x:f>
        <x:v>35-44</x:v>
      </x:c>
      <x:c r="M177" s="15" t="n">
        <x:v>44718.646215636574</x:v>
      </x:c>
      <x:c r="N177" t="n">
        <x:f>(YEAR(DATE(2025,12,31))-YEAR(M177))*12+MONTH(DATE(2025,12,31))-MONTH(M177)</x:f>
        <x:v>42</x:v>
      </x:c>
      <x:c r="O177" t="str">
        <x:v>ACTIVE</x:v>
      </x:c>
      <x:c r="P177" t="str">
        <x:v>INDEPENDENT_CONTRACTOR</x:v>
      </x:c>
      <x:c r="Q177" t="str">
        <x:v>CAR</x:v>
      </x:c>
      <x:c r="R177" t="str">
        <x:v>FLEXIBLE</x:v>
      </x:c>
      <x:c r="S177" t="n">
        <x:v>22</x:v>
      </x:c>
      <x:c r="T177" t="str">
        <x:v>CLEARED</x:v>
      </x:c>
      <x:c r="U177" t="str">
        <x:v>VALID</x:v>
      </x:c>
      <x:c r="V177" s="16" t="n">
        <x:v>0.8254</x:v>
      </x:c>
      <x:c r="W177" t="str">
        <x:v>English</x:v>
      </x:c>
      <x:c r="X177" t="str">
        <x:v>Spanish</x:v>
      </x:c>
      <x:c r="Y177" t="n">
        <x:v>1574</x:v>
      </x:c>
      <x:c r="Z177" s="17" t="n">
        <x:v>4.64</x:v>
      </x:c>
      <x:c r="AA177" s="16" t="n">
        <x:v>0.8002</x:v>
      </x:c>
      <x:c r="AB177" s="16" t="n">
        <x:v>0.998</x:v>
      </x:c>
      <x:c r="AC177" s="16" t="n">
        <x:v>0.8758</x:v>
      </x:c>
      <x:c r="AD177" t="n">
        <x:v>0</x:v>
      </x:c>
      <x:c r="AE177" t="str">
        <x:f>IF(O177&lt;&gt;"ACTIVE","NOT_RATED",IF(AND(Z177&gt;=4.8,AB177&gt;=0.97,AC177&gt;=0.93,AD177=0),"ELITE",IF(AND(Z177&gt;=4.6,AB177&gt;=0.94,AC177&gt;=0.88),"HIGH_PERFORMER",IF(OR(Z177&lt;4.2,AB177&lt;0.85,AD177&gt;=2),"AT_RISK","STANDARD"))))</x:f>
        <x:v>STANDARD</x:v>
      </x:c>
      <x:c r="AF177" s="15" t="n">
        <x:v>46012</x:v>
      </x:c>
      <x:c r="AG177" t="str">
        <x:v>VERIFIED</x:v>
      </x:c>
      <x:c r="AH177" t="str">
        <x:v>COMPLETE</x:v>
      </x:c>
      <x:c r="AI177" t="str">
        <x:v>Noah Johnson</x:v>
      </x:c>
      <x:c r="AJ177" t="str">
        <x:v>PARENT</x:v>
      </x:c>
      <x:c r="AK177" t="str">
        <x:v>+1 (415) 555-0148</x:v>
      </x:c>
    </x:row>
    <x:row r="178" ht="18" customHeight="1">
      <x:c r="A178" t="str">
        <x:v>DHR-00177</x:v>
      </x:c>
      <x:c r="B178" t="str">
        <x:v>Emma Clark</x:v>
      </x:c>
      <x:c r="C178" t="str">
        <x:v>https://api.dicebear.com/9.x/adventurer/png?seed=DHR-00177-Emma%20Clark&amp;size=256&amp;radius=50&amp;backgroundColor=b6e3f4,c0aede,d1d4f9,ffd5dc,ffdfbf</x:v>
      </x:c>
      <x:c r="D178" t="str">
        <x:v>emma.clark.177@example.com</x:v>
      </x:c>
      <x:c r="E178" t="str">
        <x:v>+1 (404) 555-0176</x:v>
      </x:c>
      <x:c r="F178" t="str">
        <x:v>Atlanta, GA</x:v>
      </x:c>
      <x:c r="G178" t="str">
        <x:v>Atlanta</x:v>
      </x:c>
      <x:c r="H178" t="str">
        <x:v>GA</x:v>
      </x:c>
      <x:c r="I178" s="18" t="str">
        <x:v>30303</x:v>
      </x:c>
      <x:c r="J178" s="15" t="n">
        <x:v>31098.17925490741</x:v>
      </x:c>
      <x:c r="K178" t="n">
        <x:f>INT((DATE(2025,12,31)-J178)/365.25)</x:f>
        <x:v>40</x:v>
      </x:c>
      <x:c r="L178" t="str">
        <x:f>IF(K178&lt;25,"18-24",IF(K178&lt;35,"25-34",IF(K178&lt;45,"35-44",IF(K178&lt;55,"45-54","55+"))))</x:f>
        <x:v>35-44</x:v>
      </x:c>
      <x:c r="M178" s="15" t="n">
        <x:v>45118.0839225</x:v>
      </x:c>
      <x:c r="N178" t="n">
        <x:f>(YEAR(DATE(2025,12,31))-YEAR(M178))*12+MONTH(DATE(2025,12,31))-MONTH(M178)</x:f>
        <x:v>29</x:v>
      </x:c>
      <x:c r="O178" t="str">
        <x:v>ACTIVE</x:v>
      </x:c>
      <x:c r="P178" t="str">
        <x:v>INDEPENDENT_CONTRACTOR</x:v>
      </x:c>
      <x:c r="Q178" t="str">
        <x:v>CAR</x:v>
      </x:c>
      <x:c r="R178" t="str">
        <x:v>DINNER</x:v>
      </x:c>
      <x:c r="S178" t="n">
        <x:v>40</x:v>
      </x:c>
      <x:c r="T178" t="str">
        <x:v>REVIEW_REQUIRED</x:v>
      </x:c>
      <x:c r="U178" t="str">
        <x:v>VALID</x:v>
      </x:c>
      <x:c r="V178" s="16" t="n">
        <x:v>0.914</x:v>
      </x:c>
      <x:c r="W178" t="str">
        <x:v>English</x:v>
      </x:c>
      <x:c r="X178"/>
      <x:c r="Y178" t="n">
        <x:v>2181</x:v>
      </x:c>
      <x:c r="Z178" s="17" t="n">
        <x:v>4.42</x:v>
      </x:c>
      <x:c r="AA178" s="16" t="n">
        <x:v>0.8588</x:v>
      </x:c>
      <x:c r="AB178" s="16" t="n">
        <x:v>0.9941</x:v>
      </x:c>
      <x:c r="AC178" s="16" t="n">
        <x:v>0.9072</x:v>
      </x:c>
      <x:c r="AD178" t="n">
        <x:v>0</x:v>
      </x:c>
      <x:c r="AE178" t="str">
        <x:f>IF(O178&lt;&gt;"ACTIVE","NOT_RATED",IF(AND(Z178&gt;=4.8,AB178&gt;=0.97,AC178&gt;=0.93,AD178=0),"ELITE",IF(AND(Z178&gt;=4.6,AB178&gt;=0.94,AC178&gt;=0.88),"HIGH_PERFORMER",IF(OR(Z178&lt;4.2,AB178&lt;0.85,AD178&gt;=2),"AT_RISK","STANDARD"))))</x:f>
        <x:v>STANDARD</x:v>
      </x:c>
      <x:c r="AF178" s="15" t="n">
        <x:v>46009</x:v>
      </x:c>
      <x:c r="AG178" t="str">
        <x:v>VERIFIED</x:v>
      </x:c>
      <x:c r="AH178" t="str">
        <x:v>COMPLETE</x:v>
      </x:c>
      <x:c r="AI178" t="str">
        <x:v>Parker Wilson</x:v>
      </x:c>
      <x:c r="AJ178" t="str">
        <x:v>PARENT</x:v>
      </x:c>
      <x:c r="AK178" t="str">
        <x:v>+1 (404) 555-0155</x:v>
      </x:c>
    </x:row>
    <x:row r="179" ht="18" customHeight="1">
      <x:c r="A179" t="str">
        <x:v>DHR-00178</x:v>
      </x:c>
      <x:c r="B179" t="str">
        <x:v>Emma Garcia</x:v>
      </x:c>
      <x:c r="C179" t="str">
        <x:v>https://api.dicebear.com/9.x/adventurer/png?seed=DHR-00178-Emma%20Garcia&amp;size=256&amp;radius=50&amp;backgroundColor=b6e3f4,c0aede,d1d4f9,ffd5dc,ffdfbf</x:v>
      </x:c>
      <x:c r="D179" t="str">
        <x:v>emma.garcia.178@example.com</x:v>
      </x:c>
      <x:c r="E179" t="str">
        <x:v>+1 (213) 555-0177</x:v>
      </x:c>
      <x:c r="F179" t="str">
        <x:v>Los Angeles, CA</x:v>
      </x:c>
      <x:c r="G179" t="str">
        <x:v>Los Angeles</x:v>
      </x:c>
      <x:c r="H179" t="str">
        <x:v>CA</x:v>
      </x:c>
      <x:c r="I179" s="18" t="str">
        <x:v>90012</x:v>
      </x:c>
      <x:c r="J179" s="15" t="n">
        <x:v>27090.74905590278</x:v>
      </x:c>
      <x:c r="K179" t="n">
        <x:f>INT((DATE(2025,12,31)-J179)/365.25)</x:f>
        <x:v>51</x:v>
      </x:c>
      <x:c r="L179" t="str">
        <x:f>IF(K179&lt;25,"18-24",IF(K179&lt;35,"25-34",IF(K179&lt;45,"35-44",IF(K179&lt;55,"45-54","55+"))))</x:f>
        <x:v>45-54</x:v>
      </x:c>
      <x:c r="M179" s="15" t="n">
        <x:v>45236.404637962965</x:v>
      </x:c>
      <x:c r="N179" t="n">
        <x:f>(YEAR(DATE(2025,12,31))-YEAR(M179))*12+MONTH(DATE(2025,12,31))-MONTH(M179)</x:f>
        <x:v>25</x:v>
      </x:c>
      <x:c r="O179" t="str">
        <x:v>ACTIVE</x:v>
      </x:c>
      <x:c r="P179" t="str">
        <x:v>INDEPENDENT_CONTRACTOR</x:v>
      </x:c>
      <x:c r="Q179" t="str">
        <x:v>CAR</x:v>
      </x:c>
      <x:c r="R179" t="str">
        <x:v>LUNCH</x:v>
      </x:c>
      <x:c r="S179" t="n">
        <x:v>33</x:v>
      </x:c>
      <x:c r="T179" t="str">
        <x:v>CLEARED</x:v>
      </x:c>
      <x:c r="U179" t="str">
        <x:v>VALID</x:v>
      </x:c>
      <x:c r="V179" s="16" t="n">
        <x:v>0.9113</x:v>
      </x:c>
      <x:c r="W179" t="str">
        <x:v>English</x:v>
      </x:c>
      <x:c r="X179"/>
      <x:c r="Y179" t="n">
        <x:v>1876</x:v>
      </x:c>
      <x:c r="Z179" s="17" t="n">
        <x:v>4.23</x:v>
      </x:c>
      <x:c r="AA179" s="16" t="n">
        <x:v>0.6758</x:v>
      </x:c>
      <x:c r="AB179" s="16" t="n">
        <x:v>0.9634</x:v>
      </x:c>
      <x:c r="AC179" s="16" t="n">
        <x:v>0.8501</x:v>
      </x:c>
      <x:c r="AD179" t="n">
        <x:v>0</x:v>
      </x:c>
      <x:c r="AE179" t="str">
        <x:f>IF(O179&lt;&gt;"ACTIVE","NOT_RATED",IF(AND(Z179&gt;=4.8,AB179&gt;=0.97,AC179&gt;=0.93,AD179=0),"ELITE",IF(AND(Z179&gt;=4.6,AB179&gt;=0.94,AC179&gt;=0.88),"HIGH_PERFORMER",IF(OR(Z179&lt;4.2,AB179&lt;0.85,AD179&gt;=2),"AT_RISK","STANDARD"))))</x:f>
        <x:v>STANDARD</x:v>
      </x:c>
      <x:c r="AF179" s="15" t="n">
        <x:v>46013</x:v>
      </x:c>
      <x:c r="AG179" t="str">
        <x:v>VERIFIED</x:v>
      </x:c>
      <x:c r="AH179" t="str">
        <x:v>COMPLETE</x:v>
      </x:c>
      <x:c r="AI179" t="str">
        <x:v>Ethan Moore</x:v>
      </x:c>
      <x:c r="AJ179" t="str">
        <x:v>SIBLING</x:v>
      </x:c>
      <x:c r="AK179" t="str">
        <x:v>+1 (213) 555-0162</x:v>
      </x:c>
    </x:row>
    <x:row r="180" ht="18" customHeight="1">
      <x:c r="A180" t="str">
        <x:v>DHR-00179</x:v>
      </x:c>
      <x:c r="B180" t="str">
        <x:v>Emma Harris</x:v>
      </x:c>
      <x:c r="C180" t="str">
        <x:v>https://api.dicebear.com/9.x/adventurer/png?seed=DHR-00179-Emma%20Harris&amp;size=256&amp;radius=50&amp;backgroundColor=b6e3f4,c0aede,d1d4f9,ffd5dc,ffdfbf</x:v>
      </x:c>
      <x:c r="D180" t="str">
        <x:v>emma.harris.179@example.com</x:v>
      </x:c>
      <x:c r="E180" t="str">
        <x:v>+1 (404) 555-0178</x:v>
      </x:c>
      <x:c r="F180" t="str">
        <x:v>Atlanta, GA</x:v>
      </x:c>
      <x:c r="G180" t="str">
        <x:v>Atlanta</x:v>
      </x:c>
      <x:c r="H180" t="str">
        <x:v>GA</x:v>
      </x:c>
      <x:c r="I180" s="18" t="str">
        <x:v>30303</x:v>
      </x:c>
      <x:c r="J180" s="15" t="n">
        <x:v>37865.45691178241</x:v>
      </x:c>
      <x:c r="K180" t="n">
        <x:f>INT((DATE(2025,12,31)-J180)/365.25)</x:f>
        <x:v>22</x:v>
      </x:c>
      <x:c r="L180" t="str">
        <x:f>IF(K180&lt;25,"18-24",IF(K180&lt;35,"25-34",IF(K180&lt;45,"35-44",IF(K180&lt;55,"45-54","55+"))))</x:f>
        <x:v>18-24</x:v>
      </x:c>
      <x:c r="M180" s="15" t="n">
        <x:v>45850.68551846065</x:v>
      </x:c>
      <x:c r="N180" t="n">
        <x:f>(YEAR(DATE(2025,12,31))-YEAR(M180))*12+MONTH(DATE(2025,12,31))-MONTH(M180)</x:f>
        <x:v>5</x:v>
      </x:c>
      <x:c r="O180" t="str">
        <x:v>ACTIVE</x:v>
      </x:c>
      <x:c r="P180" t="str">
        <x:v>INDEPENDENT_CONTRACTOR</x:v>
      </x:c>
      <x:c r="Q180" t="str">
        <x:v>CAR</x:v>
      </x:c>
      <x:c r="R180" t="str">
        <x:v>DINNER</x:v>
      </x:c>
      <x:c r="S180" t="n">
        <x:v>26</x:v>
      </x:c>
      <x:c r="T180" t="str">
        <x:v>CLEARED</x:v>
      </x:c>
      <x:c r="U180" t="str">
        <x:v>VALID</x:v>
      </x:c>
      <x:c r="V180" s="16" t="n">
        <x:v>0.9184</x:v>
      </x:c>
      <x:c r="W180" t="str">
        <x:v>English</x:v>
      </x:c>
      <x:c r="X180" t="str">
        <x:v>Spanish</x:v>
      </x:c>
      <x:c r="Y180" t="n">
        <x:v>431</x:v>
      </x:c>
      <x:c r="Z180" s="17" t="n">
        <x:v>4.12</x:v>
      </x:c>
      <x:c r="AA180" s="16" t="n">
        <x:v>0.9314</x:v>
      </x:c>
      <x:c r="AB180" s="16" t="n">
        <x:v>0.9704</x:v>
      </x:c>
      <x:c r="AC180" s="16" t="n">
        <x:v>0.8952</x:v>
      </x:c>
      <x:c r="AD180" t="n">
        <x:v>1</x:v>
      </x:c>
      <x:c r="AE180" t="str">
        <x:f>IF(O180&lt;&gt;"ACTIVE","NOT_RATED",IF(AND(Z180&gt;=4.8,AB180&gt;=0.97,AC180&gt;=0.93,AD180=0),"ELITE",IF(AND(Z180&gt;=4.6,AB180&gt;=0.94,AC180&gt;=0.88),"HIGH_PERFORMER",IF(OR(Z180&lt;4.2,AB180&lt;0.85,AD180&gt;=2),"AT_RISK","STANDARD"))))</x:f>
        <x:v>AT_RISK</x:v>
      </x:c>
      <x:c r="AF180" s="15" t="n">
        <x:v>46011</x:v>
      </x:c>
      <x:c r="AG180" t="str">
        <x:v>VERIFIED</x:v>
      </x:c>
      <x:c r="AH180" t="str">
        <x:v>COMPLETE</x:v>
      </x:c>
      <x:c r="AI180" t="str">
        <x:v>Olivia Miller</x:v>
      </x:c>
      <x:c r="AJ180" t="str">
        <x:v>PARENT</x:v>
      </x:c>
      <x:c r="AK180" t="str">
        <x:v>+1 (404) 555-0169</x:v>
      </x:c>
    </x:row>
    <x:row r="181" ht="18" customHeight="1">
      <x:c r="A181" t="str">
        <x:v>DHR-00180</x:v>
      </x:c>
      <x:c r="B181" t="str">
        <x:v>Emma Jackson</x:v>
      </x:c>
      <x:c r="C181" t="str">
        <x:v>https://api.dicebear.com/9.x/adventurer/png?seed=DHR-00180-Emma%20Jackson&amp;size=256&amp;radius=50&amp;backgroundColor=b6e3f4,c0aede,d1d4f9,ffd5dc,ffdfbf</x:v>
      </x:c>
      <x:c r="D181" t="str">
        <x:v>emma.jackson.180@example.com</x:v>
      </x:c>
      <x:c r="E181" t="str">
        <x:v>+1 (404) 555-0179</x:v>
      </x:c>
      <x:c r="F181" t="str">
        <x:v>Atlanta, GA</x:v>
      </x:c>
      <x:c r="G181" t="str">
        <x:v>Atlanta</x:v>
      </x:c>
      <x:c r="H181" t="str">
        <x:v>GA</x:v>
      </x:c>
      <x:c r="I181" s="18" t="str">
        <x:v>30303</x:v>
      </x:c>
      <x:c r="J181" s="15" t="n">
        <x:v>30461.241104212964</x:v>
      </x:c>
      <x:c r="K181" t="n">
        <x:f>INT((DATE(2025,12,31)-J181)/365.25)</x:f>
        <x:v>42</x:v>
      </x:c>
      <x:c r="L181" t="str">
        <x:f>IF(K181&lt;25,"18-24",IF(K181&lt;35,"25-34",IF(K181&lt;45,"35-44",IF(K181&lt;55,"45-54","55+"))))</x:f>
        <x:v>35-44</x:v>
      </x:c>
      <x:c r="M181" s="15" t="n">
        <x:v>43775.13016905093</x:v>
      </x:c>
      <x:c r="N181" t="n">
        <x:f>(YEAR(DATE(2025,12,31))-YEAR(M181))*12+MONTH(DATE(2025,12,31))-MONTH(M181)</x:f>
        <x:v>73</x:v>
      </x:c>
      <x:c r="O181" t="str">
        <x:v>ACTIVE</x:v>
      </x:c>
      <x:c r="P181" t="str">
        <x:v>INDEPENDENT_CONTRACTOR</x:v>
      </x:c>
      <x:c r="Q181" t="str">
        <x:v>BICYCLE</x:v>
      </x:c>
      <x:c r="R181" t="str">
        <x:v>LUNCH</x:v>
      </x:c>
      <x:c r="S181" t="n">
        <x:v>37</x:v>
      </x:c>
      <x:c r="T181" t="str">
        <x:v>CLEARED</x:v>
      </x:c>
      <x:c r="U181" t="str">
        <x:v>NOT_REQUIRED</x:v>
      </x:c>
      <x:c r="V181" s="16" t="n">
        <x:v>0.8727</x:v>
      </x:c>
      <x:c r="W181" t="str">
        <x:v>Arabic</x:v>
      </x:c>
      <x:c r="X181"/>
      <x:c r="Y181" t="n">
        <x:v>8266</x:v>
      </x:c>
      <x:c r="Z181" s="17" t="n">
        <x:v>4.64</x:v>
      </x:c>
      <x:c r="AA181" s="16" t="n">
        <x:v>0.8864</x:v>
      </x:c>
      <x:c r="AB181" s="16" t="n">
        <x:v>0.9501</x:v>
      </x:c>
      <x:c r="AC181" s="16" t="n">
        <x:v>0.8929</x:v>
      </x:c>
      <x:c r="AD181" t="n">
        <x:v>0</x:v>
      </x:c>
      <x:c r="AE181" t="str">
        <x:f>IF(O181&lt;&gt;"ACTIVE","NOT_RATED",IF(AND(Z181&gt;=4.8,AB181&gt;=0.97,AC181&gt;=0.93,AD181=0),"ELITE",IF(AND(Z181&gt;=4.6,AB181&gt;=0.94,AC181&gt;=0.88),"HIGH_PERFORMER",IF(OR(Z181&lt;4.2,AB181&lt;0.85,AD181&gt;=2),"AT_RISK","STANDARD"))))</x:f>
        <x:v>HIGH_PERFORMER</x:v>
      </x:c>
      <x:c r="AF181" s="15" t="n">
        <x:v>46013</x:v>
      </x:c>
      <x:c r="AG181" t="str">
        <x:v>VERIFIED</x:v>
      </x:c>
      <x:c r="AH181" t="str">
        <x:v>COMPLETE</x:v>
      </x:c>
      <x:c r="AI181" t="str">
        <x:v>Sam Clark</x:v>
      </x:c>
      <x:c r="AJ181" t="str">
        <x:v>FRIEND</x:v>
      </x:c>
      <x:c r="AK181" t="str">
        <x:v>+1 (404) 555-0176</x:v>
      </x:c>
    </x:row>
    <x:row r="182" ht="18" customHeight="1">
      <x:c r="A182" t="str">
        <x:v>DHR-00181</x:v>
      </x:c>
      <x:c r="B182" t="str">
        <x:v>Emma Johnson</x:v>
      </x:c>
      <x:c r="C182" t="str">
        <x:v>https://api.dicebear.com/9.x/adventurer/png?seed=DHR-00181-Emma%20Johnson&amp;size=256&amp;radius=50&amp;backgroundColor=b6e3f4,c0aede,d1d4f9,ffd5dc,ffdfbf</x:v>
      </x:c>
      <x:c r="D182" t="str">
        <x:v>emma.johnson.181@example.com</x:v>
      </x:c>
      <x:c r="E182" t="str">
        <x:v>+1 (206) 555-0180</x:v>
      </x:c>
      <x:c r="F182" t="str">
        <x:v>Seattle, WA</x:v>
      </x:c>
      <x:c r="G182" t="str">
        <x:v>Seattle</x:v>
      </x:c>
      <x:c r="H182" t="str">
        <x:v>WA</x:v>
      </x:c>
      <x:c r="I182" s="18" t="str">
        <x:v>98101</x:v>
      </x:c>
      <x:c r="J182" s="15" t="n">
        <x:v>31944.225563171298</x:v>
      </x:c>
      <x:c r="K182" t="n">
        <x:f>INT((DATE(2025,12,31)-J182)/365.25)</x:f>
        <x:v>38</x:v>
      </x:c>
      <x:c r="L182" t="str">
        <x:f>IF(K182&lt;25,"18-24",IF(K182&lt;35,"25-34",IF(K182&lt;45,"35-44",IF(K182&lt;55,"45-54","55+"))))</x:f>
        <x:v>35-44</x:v>
      </x:c>
      <x:c r="M182" s="15" t="n">
        <x:v>43561.23198314815</x:v>
      </x:c>
      <x:c r="N182" t="n">
        <x:f>(YEAR(DATE(2025,12,31))-YEAR(M182))*12+MONTH(DATE(2025,12,31))-MONTH(M182)</x:f>
        <x:v>80</x:v>
      </x:c>
      <x:c r="O182" t="str">
        <x:v>OFFBOARDED</x:v>
      </x:c>
      <x:c r="P182" t="str">
        <x:v>INDEPENDENT_CONTRACTOR</x:v>
      </x:c>
      <x:c r="Q182" t="str">
        <x:v>BICYCLE</x:v>
      </x:c>
      <x:c r="R182" t="str">
        <x:v>DINNER</x:v>
      </x:c>
      <x:c r="S182" t="n">
        <x:v>25</x:v>
      </x:c>
      <x:c r="T182" t="str">
        <x:v>CLEARED</x:v>
      </x:c>
      <x:c r="U182" t="str">
        <x:v>NOT_REQUIRED</x:v>
      </x:c>
      <x:c r="V182" s="16" t="n">
        <x:v>0.787</x:v>
      </x:c>
      <x:c r="W182" t="str">
        <x:v>English</x:v>
      </x:c>
      <x:c r="X182"/>
      <x:c r="Y182" t="n">
        <x:v>4844</x:v>
      </x:c>
      <x:c r="Z182" s="17" t="n">
        <x:v>4.52</x:v>
      </x:c>
      <x:c r="AA182" s="16" t="n">
        <x:v>0.9375</x:v>
      </x:c>
      <x:c r="AB182" s="16" t="n">
        <x:v>0.9658</x:v>
      </x:c>
      <x:c r="AC182" s="16" t="n">
        <x:v>0.8675</x:v>
      </x:c>
      <x:c r="AD182" t="n">
        <x:v>0</x:v>
      </x:c>
      <x:c r="AE182" t="str">
        <x:f>IF(O182&lt;&gt;"ACTIVE","NOT_RATED",IF(AND(Z182&gt;=4.8,AB182&gt;=0.97,AC182&gt;=0.93,AD182=0),"ELITE",IF(AND(Z182&gt;=4.6,AB182&gt;=0.94,AC182&gt;=0.88),"HIGH_PERFORMER",IF(OR(Z182&lt;4.2,AB182&lt;0.85,AD182&gt;=2),"AT_RISK","STANDARD"))))</x:f>
        <x:v>NOT_RATED</x:v>
      </x:c>
      <x:c r="AF182" s="15" t="n">
        <x:v>45706</x:v>
      </x:c>
      <x:c r="AG182" t="str">
        <x:v>VERIFIED</x:v>
      </x:c>
      <x:c r="AH182" t="str">
        <x:v>COMPLETE</x:v>
      </x:c>
      <x:c r="AI182" t="str">
        <x:v>Taylor Young</x:v>
      </x:c>
      <x:c r="AJ182" t="str">
        <x:v>PARENT</x:v>
      </x:c>
      <x:c r="AK182" t="str">
        <x:v>+1 (206) 555-0183</x:v>
      </x:c>
    </x:row>
    <x:row r="183" ht="18" customHeight="1">
      <x:c r="A183" t="str">
        <x:v>DHR-00182</x:v>
      </x:c>
      <x:c r="B183" t="str">
        <x:v>Emma Jones</x:v>
      </x:c>
      <x:c r="C183" t="str">
        <x:v>https://api.dicebear.com/9.x/adventurer/png?seed=DHR-00182-Emma%20Jones&amp;size=256&amp;radius=50&amp;backgroundColor=b6e3f4,c0aede,d1d4f9,ffd5dc,ffdfbf</x:v>
      </x:c>
      <x:c r="D183" t="str">
        <x:v>emma.jones.182@example.com</x:v>
      </x:c>
      <x:c r="E183" t="str">
        <x:v>+1 (512) 555-0181</x:v>
      </x:c>
      <x:c r="F183" t="str">
        <x:v>Austin, TX</x:v>
      </x:c>
      <x:c r="G183" t="str">
        <x:v>Austin</x:v>
      </x:c>
      <x:c r="H183" t="str">
        <x:v>TX</x:v>
      </x:c>
      <x:c r="I183" s="18" t="str">
        <x:v>78701</x:v>
      </x:c>
      <x:c r="J183" s="15" t="n">
        <x:v>24913.357997037037</x:v>
      </x:c>
      <x:c r="K183" t="n">
        <x:f>INT((DATE(2025,12,31)-J183)/365.25)</x:f>
        <x:v>57</x:v>
      </x:c>
      <x:c r="L183" t="str">
        <x:f>IF(K183&lt;25,"18-24",IF(K183&lt;35,"25-34",IF(K183&lt;45,"35-44",IF(K183&lt;55,"45-54","55+"))))</x:f>
        <x:v>55+</x:v>
      </x:c>
      <x:c r="M183" s="15" t="n">
        <x:v>43565.50874783565</x:v>
      </x:c>
      <x:c r="N183" t="n">
        <x:f>(YEAR(DATE(2025,12,31))-YEAR(M183))*12+MONTH(DATE(2025,12,31))-MONTH(M183)</x:f>
        <x:v>80</x:v>
      </x:c>
      <x:c r="O183" t="str">
        <x:v>PAUSED</x:v>
      </x:c>
      <x:c r="P183" t="str">
        <x:v>INDEPENDENT_CONTRACTOR</x:v>
      </x:c>
      <x:c r="Q183" t="str">
        <x:v>BICYCLE</x:v>
      </x:c>
      <x:c r="R183" t="str">
        <x:v>DINNER</x:v>
      </x:c>
      <x:c r="S183" t="n">
        <x:v>37</x:v>
      </x:c>
      <x:c r="T183" t="str">
        <x:v>CLEARED</x:v>
      </x:c>
      <x:c r="U183" t="str">
        <x:v>NOT_REQUIRED</x:v>
      </x:c>
      <x:c r="V183" s="16" t="n">
        <x:v>0.9312</x:v>
      </x:c>
      <x:c r="W183" t="str">
        <x:v>Spanish</x:v>
      </x:c>
      <x:c r="X183" t="str">
        <x:v>Vietnamese</x:v>
      </x:c>
      <x:c r="Y183" t="n">
        <x:v>7684</x:v>
      </x:c>
      <x:c r="Z183" s="17" t="n">
        <x:v>4.54</x:v>
      </x:c>
      <x:c r="AA183" s="16" t="n">
        <x:v>0.9278</x:v>
      </x:c>
      <x:c r="AB183" s="16" t="n">
        <x:v>0.9456</x:v>
      </x:c>
      <x:c r="AC183" s="16" t="n">
        <x:v>0.9371</x:v>
      </x:c>
      <x:c r="AD183" t="n">
        <x:v>0</x:v>
      </x:c>
      <x:c r="AE183" t="str">
        <x:f>IF(O183&lt;&gt;"ACTIVE","NOT_RATED",IF(AND(Z183&gt;=4.8,AB183&gt;=0.97,AC183&gt;=0.93,AD183=0),"ELITE",IF(AND(Z183&gt;=4.6,AB183&gt;=0.94,AC183&gt;=0.88),"HIGH_PERFORMER",IF(OR(Z183&lt;4.2,AB183&lt;0.85,AD183&gt;=2),"AT_RISK","STANDARD"))))</x:f>
        <x:v>NOT_RATED</x:v>
      </x:c>
      <x:c r="AF183" s="15" t="n">
        <x:v>46001</x:v>
      </x:c>
      <x:c r="AG183" t="str">
        <x:v>VERIFIED</x:v>
      </x:c>
      <x:c r="AH183" t="str">
        <x:v>COMPLETE</x:v>
      </x:c>
      <x:c r="AI183" t="str">
        <x:v>Jamie Martin</x:v>
      </x:c>
      <x:c r="AJ183" t="str">
        <x:v>SPOUSE_PARTNER</x:v>
      </x:c>
      <x:c r="AK183" t="str">
        <x:v>+1 (512) 555-0190</x:v>
      </x:c>
    </x:row>
    <x:row r="184" ht="18" customHeight="1">
      <x:c r="A184" t="str">
        <x:v>DHR-00183</x:v>
      </x:c>
      <x:c r="B184" t="str">
        <x:v>Emma Lee</x:v>
      </x:c>
      <x:c r="C184" t="str">
        <x:v>https://api.dicebear.com/9.x/adventurer/png?seed=DHR-00183-Emma%20Lee&amp;size=256&amp;radius=50&amp;backgroundColor=b6e3f4,c0aede,d1d4f9,ffd5dc,ffdfbf</x:v>
      </x:c>
      <x:c r="D184" t="str">
        <x:v>emma.lee.183@example.com</x:v>
      </x:c>
      <x:c r="E184" t="str">
        <x:v>+1 (206) 555-0182</x:v>
      </x:c>
      <x:c r="F184" t="str">
        <x:v>Seattle, WA</x:v>
      </x:c>
      <x:c r="G184" t="str">
        <x:v>Seattle</x:v>
      </x:c>
      <x:c r="H184" t="str">
        <x:v>WA</x:v>
      </x:c>
      <x:c r="I184" s="18" t="str">
        <x:v>98101</x:v>
      </x:c>
      <x:c r="J184" s="15" t="n">
        <x:v>25911.96763152778</x:v>
      </x:c>
      <x:c r="K184" t="n">
        <x:f>INT((DATE(2025,12,31)-J184)/365.25)</x:f>
        <x:v>55</x:v>
      </x:c>
      <x:c r="L184" t="str">
        <x:f>IF(K184&lt;25,"18-24",IF(K184&lt;35,"25-34",IF(K184&lt;45,"35-44",IF(K184&lt;55,"45-54","55+"))))</x:f>
        <x:v>55+</x:v>
      </x:c>
      <x:c r="M184" s="15" t="n">
        <x:v>44716.70234884259</x:v>
      </x:c>
      <x:c r="N184" t="n">
        <x:f>(YEAR(DATE(2025,12,31))-YEAR(M184))*12+MONTH(DATE(2025,12,31))-MONTH(M184)</x:f>
        <x:v>42</x:v>
      </x:c>
      <x:c r="O184" t="str">
        <x:v>ACTIVE</x:v>
      </x:c>
      <x:c r="P184" t="str">
        <x:v>INDEPENDENT_CONTRACTOR</x:v>
      </x:c>
      <x:c r="Q184" t="str">
        <x:v>E_BIKE</x:v>
      </x:c>
      <x:c r="R184" t="str">
        <x:v>LUNCH</x:v>
      </x:c>
      <x:c r="S184" t="n">
        <x:v>27</x:v>
      </x:c>
      <x:c r="T184" t="str">
        <x:v>CLEARED</x:v>
      </x:c>
      <x:c r="U184" t="str">
        <x:v>NOT_REQUIRED</x:v>
      </x:c>
      <x:c r="V184" s="16" t="n">
        <x:v>0.9153</x:v>
      </x:c>
      <x:c r="W184" t="str">
        <x:v>English</x:v>
      </x:c>
      <x:c r="X184"/>
      <x:c r="Y184" t="n">
        <x:v>3225</x:v>
      </x:c>
      <x:c r="Z184" s="17" t="n">
        <x:v>4.35</x:v>
      </x:c>
      <x:c r="AA184" s="16" t="n">
        <x:v>0.9709</x:v>
      </x:c>
      <x:c r="AB184" s="16" t="n">
        <x:v>0.9015</x:v>
      </x:c>
      <x:c r="AC184" s="16" t="n">
        <x:v>0.8223</x:v>
      </x:c>
      <x:c r="AD184" t="n">
        <x:v>0</x:v>
      </x:c>
      <x:c r="AE184" t="str">
        <x:f>IF(O184&lt;&gt;"ACTIVE","NOT_RATED",IF(AND(Z184&gt;=4.8,AB184&gt;=0.97,AC184&gt;=0.93,AD184=0),"ELITE",IF(AND(Z184&gt;=4.6,AB184&gt;=0.94,AC184&gt;=0.88),"HIGH_PERFORMER",IF(OR(Z184&lt;4.2,AB184&lt;0.85,AD184&gt;=2),"AT_RISK","STANDARD"))))</x:f>
        <x:v>STANDARD</x:v>
      </x:c>
      <x:c r="AF184" s="15" t="n">
        <x:v>46022</x:v>
      </x:c>
      <x:c r="AG184" t="str">
        <x:v>VERIFIED</x:v>
      </x:c>
      <x:c r="AH184" t="str">
        <x:v>COMPLETE</x:v>
      </x:c>
      <x:c r="AI184" t="str">
        <x:v>Jesse Lee</x:v>
      </x:c>
      <x:c r="AJ184" t="str">
        <x:v>SIBLING</x:v>
      </x:c>
      <x:c r="AK184" t="str">
        <x:v>+1 (206) 555-0197</x:v>
      </x:c>
    </x:row>
    <x:row r="185" ht="18" customHeight="1">
      <x:c r="A185" t="str">
        <x:v>DHR-00184</x:v>
      </x:c>
      <x:c r="B185" t="str">
        <x:v>Emma Lewis</x:v>
      </x:c>
      <x:c r="C185" t="str">
        <x:v>https://api.dicebear.com/9.x/adventurer/png?seed=DHR-00184-Emma%20Lewis&amp;size=256&amp;radius=50&amp;backgroundColor=b6e3f4,c0aede,d1d4f9,ffd5dc,ffdfbf</x:v>
      </x:c>
      <x:c r="D185" t="str">
        <x:v>emma.lewis.184@example.com</x:v>
      </x:c>
      <x:c r="E185" t="str">
        <x:v>+1 (213) 555-0183</x:v>
      </x:c>
      <x:c r="F185" t="str">
        <x:v>Los Angeles, CA</x:v>
      </x:c>
      <x:c r="G185" t="str">
        <x:v>Los Angeles</x:v>
      </x:c>
      <x:c r="H185" t="str">
        <x:v>CA</x:v>
      </x:c>
      <x:c r="I185" s="18" t="str">
        <x:v>90012</x:v>
      </x:c>
      <x:c r="J185" s="15" t="n">
        <x:v>33172.85724902778</x:v>
      </x:c>
      <x:c r="K185" t="n">
        <x:f>INT((DATE(2025,12,31)-J185)/365.25)</x:f>
        <x:v>35</x:v>
      </x:c>
      <x:c r="L185" t="str">
        <x:f>IF(K185&lt;25,"18-24",IF(K185&lt;35,"25-34",IF(K185&lt;45,"35-44",IF(K185&lt;55,"45-54","55+"))))</x:f>
        <x:v>35-44</x:v>
      </x:c>
      <x:c r="M185" s="15" t="n">
        <x:v>44871.94679317129</x:v>
      </x:c>
      <x:c r="N185" t="n">
        <x:f>(YEAR(DATE(2025,12,31))-YEAR(M185))*12+MONTH(DATE(2025,12,31))-MONTH(M185)</x:f>
        <x:v>37</x:v>
      </x:c>
      <x:c r="O185" t="str">
        <x:v>PAUSED</x:v>
      </x:c>
      <x:c r="P185" t="str">
        <x:v>INDEPENDENT_CONTRACTOR</x:v>
      </x:c>
      <x:c r="Q185" t="str">
        <x:v>CAR</x:v>
      </x:c>
      <x:c r="R185" t="str">
        <x:v>FLEXIBLE</x:v>
      </x:c>
      <x:c r="S185" t="n">
        <x:v>8</x:v>
      </x:c>
      <x:c r="T185" t="str">
        <x:v>CLEARED</x:v>
      </x:c>
      <x:c r="U185" t="str">
        <x:v>VALID</x:v>
      </x:c>
      <x:c r="V185" s="16" t="n">
        <x:v>0.8598</x:v>
      </x:c>
      <x:c r="W185" t="str">
        <x:v>English</x:v>
      </x:c>
      <x:c r="X185"/>
      <x:c r="Y185" t="n">
        <x:v>903</x:v>
      </x:c>
      <x:c r="Z185" s="17" t="n">
        <x:v>4.41</x:v>
      </x:c>
      <x:c r="AA185" s="16" t="n">
        <x:v>0.737</x:v>
      </x:c>
      <x:c r="AB185" s="16" t="n">
        <x:v>0.9777</x:v>
      </x:c>
      <x:c r="AC185" s="16" t="n">
        <x:v>0.9619</x:v>
      </x:c>
      <x:c r="AD185" t="n">
        <x:v>0</x:v>
      </x:c>
      <x:c r="AE185" t="str">
        <x:f>IF(O185&lt;&gt;"ACTIVE","NOT_RATED",IF(AND(Z185&gt;=4.8,AB185&gt;=0.97,AC185&gt;=0.93,AD185=0),"ELITE",IF(AND(Z185&gt;=4.6,AB185&gt;=0.94,AC185&gt;=0.88),"HIGH_PERFORMER",IF(OR(Z185&lt;4.2,AB185&lt;0.85,AD185&gt;=2),"AT_RISK","STANDARD"))))</x:f>
        <x:v>NOT_RATED</x:v>
      </x:c>
      <x:c r="AF185" s="15" t="n">
        <x:v>45926</x:v>
      </x:c>
      <x:c r="AG185" t="str">
        <x:v>VERIFIED</x:v>
      </x:c>
      <x:c r="AH185" t="str">
        <x:v>COMPLETE</x:v>
      </x:c>
      <x:c r="AI185" t="str">
        <x:v>Noah Davis</x:v>
      </x:c>
      <x:c r="AJ185" t="str">
        <x:v>SPOUSE_PARTNER</x:v>
      </x:c>
      <x:c r="AK185" t="str">
        <x:v>+1 (213) 555-0104</x:v>
      </x:c>
    </x:row>
    <x:row r="186" ht="18" customHeight="1">
      <x:c r="A186" t="str">
        <x:v>DHR-00185</x:v>
      </x:c>
      <x:c r="B186" t="str">
        <x:v>Emma Martin</x:v>
      </x:c>
      <x:c r="C186" t="str">
        <x:v>https://api.dicebear.com/9.x/adventurer/png?seed=DHR-00185-Emma%20Martin&amp;size=256&amp;radius=50&amp;backgroundColor=b6e3f4,c0aede,d1d4f9,ffd5dc,ffdfbf</x:v>
      </x:c>
      <x:c r="D186" t="str">
        <x:v>emma.martin.185@example.com</x:v>
      </x:c>
      <x:c r="E186" t="str">
        <x:v>+1 (303) 555-0184</x:v>
      </x:c>
      <x:c r="F186" t="str">
        <x:v>Denver, CO</x:v>
      </x:c>
      <x:c r="G186" t="str">
        <x:v>Denver</x:v>
      </x:c>
      <x:c r="H186" t="str">
        <x:v>CO</x:v>
      </x:c>
      <x:c r="I186" s="18" t="str">
        <x:v>80202</x:v>
      </x:c>
      <x:c r="J186" s="15" t="n">
        <x:v>26093.148704652776</x:v>
      </x:c>
      <x:c r="K186" t="n">
        <x:f>INT((DATE(2025,12,31)-J186)/365.25)</x:f>
        <x:v>54</x:v>
      </x:c>
      <x:c r="L186" t="str">
        <x:f>IF(K186&lt;25,"18-24",IF(K186&lt;35,"25-34",IF(K186&lt;45,"35-44",IF(K186&lt;55,"45-54","55+"))))</x:f>
        <x:v>45-54</x:v>
      </x:c>
      <x:c r="M186" s="15" t="n">
        <x:v>45142.728626331016</x:v>
      </x:c>
      <x:c r="N186" t="n">
        <x:f>(YEAR(DATE(2025,12,31))-YEAR(M186))*12+MONTH(DATE(2025,12,31))-MONTH(M186)</x:f>
        <x:v>28</x:v>
      </x:c>
      <x:c r="O186" t="str">
        <x:v>ACTIVE</x:v>
      </x:c>
      <x:c r="P186" t="str">
        <x:v>INDEPENDENT_CONTRACTOR</x:v>
      </x:c>
      <x:c r="Q186" t="str">
        <x:v>CAR</x:v>
      </x:c>
      <x:c r="R186" t="str">
        <x:v>DINNER</x:v>
      </x:c>
      <x:c r="S186" t="n">
        <x:v>20</x:v>
      </x:c>
      <x:c r="T186" t="str">
        <x:v>PENDING</x:v>
      </x:c>
      <x:c r="U186" t="str">
        <x:v>VALID</x:v>
      </x:c>
      <x:c r="V186" s="16" t="n">
        <x:v>0.972</x:v>
      </x:c>
      <x:c r="W186" t="str">
        <x:v>English</x:v>
      </x:c>
      <x:c r="X186"/>
      <x:c r="Y186" t="n">
        <x:v>1750</x:v>
      </x:c>
      <x:c r="Z186" s="17" t="n">
        <x:v>4.22</x:v>
      </x:c>
      <x:c r="AA186" s="16" t="n">
        <x:v>0.8266</x:v>
      </x:c>
      <x:c r="AB186" s="16" t="n">
        <x:v>0.8936</x:v>
      </x:c>
      <x:c r="AC186" s="16" t="n">
        <x:v>0.9665</x:v>
      </x:c>
      <x:c r="AD186" t="n">
        <x:v>0</x:v>
      </x:c>
      <x:c r="AE186" t="str">
        <x:f>IF(O186&lt;&gt;"ACTIVE","NOT_RATED",IF(AND(Z186&gt;=4.8,AB186&gt;=0.97,AC186&gt;=0.93,AD186=0),"ELITE",IF(AND(Z186&gt;=4.6,AB186&gt;=0.94,AC186&gt;=0.88),"HIGH_PERFORMER",IF(OR(Z186&lt;4.2,AB186&lt;0.85,AD186&gt;=2),"AT_RISK","STANDARD"))))</x:f>
        <x:v>STANDARD</x:v>
      </x:c>
      <x:c r="AF186" s="15" t="n">
        <x:v>46020</x:v>
      </x:c>
      <x:c r="AG186" t="str">
        <x:v>VERIFIED</x:v>
      </x:c>
      <x:c r="AH186" t="str">
        <x:v>COMPLETE</x:v>
      </x:c>
      <x:c r="AI186" t="str">
        <x:v>Parker Thompson</x:v>
      </x:c>
      <x:c r="AJ186" t="str">
        <x:v>FRIEND</x:v>
      </x:c>
      <x:c r="AK186" t="str">
        <x:v>+1 (303) 555-0111</x:v>
      </x:c>
    </x:row>
    <x:row r="187" ht="18" customHeight="1">
      <x:c r="A187" t="str">
        <x:v>DHR-00186</x:v>
      </x:c>
      <x:c r="B187" t="str">
        <x:v>Emma Miller</x:v>
      </x:c>
      <x:c r="C187" t="str">
        <x:v>https://api.dicebear.com/9.x/adventurer/png?seed=DHR-00186-Emma%20Miller&amp;size=256&amp;radius=50&amp;backgroundColor=b6e3f4,c0aede,d1d4f9,ffd5dc,ffdfbf</x:v>
      </x:c>
      <x:c r="D187" t="str">
        <x:v>emma.miller.186@example.com</x:v>
      </x:c>
      <x:c r="E187" t="str">
        <x:v>+1 (312) 555-0185</x:v>
      </x:c>
      <x:c r="F187" t="str">
        <x:v>Chicago, IL</x:v>
      </x:c>
      <x:c r="G187" t="str">
        <x:v>Chicago</x:v>
      </x:c>
      <x:c r="H187" t="str">
        <x:v>IL</x:v>
      </x:c>
      <x:c r="I187" s="18" t="str">
        <x:v>60601</x:v>
      </x:c>
      <x:c r="J187" s="15" t="n">
        <x:v>34452.401700347225</x:v>
      </x:c>
      <x:c r="K187" t="n">
        <x:f>INT((DATE(2025,12,31)-J187)/365.25)</x:f>
        <x:v>31</x:v>
      </x:c>
      <x:c r="L187" t="str">
        <x:f>IF(K187&lt;25,"18-24",IF(K187&lt;35,"25-34",IF(K187&lt;45,"35-44",IF(K187&lt;55,"45-54","55+"))))</x:f>
        <x:v>25-34</x:v>
      </x:c>
      <x:c r="M187" s="15" t="n">
        <x:v>43511.52393789352</x:v>
      </x:c>
      <x:c r="N187" t="n">
        <x:f>(YEAR(DATE(2025,12,31))-YEAR(M187))*12+MONTH(DATE(2025,12,31))-MONTH(M187)</x:f>
        <x:v>82</x:v>
      </x:c>
      <x:c r="O187" t="str">
        <x:v>OFFBOARDED</x:v>
      </x:c>
      <x:c r="P187" t="str">
        <x:v>INDEPENDENT_CONTRACTOR</x:v>
      </x:c>
      <x:c r="Q187" t="str">
        <x:v>E_BIKE</x:v>
      </x:c>
      <x:c r="R187" t="str">
        <x:v>WEEKENDS</x:v>
      </x:c>
      <x:c r="S187" t="n">
        <x:v>13</x:v>
      </x:c>
      <x:c r="T187" t="str">
        <x:v>CLEARED</x:v>
      </x:c>
      <x:c r="U187" t="str">
        <x:v>NOT_REQUIRED</x:v>
      </x:c>
      <x:c r="V187" s="16" t="n">
        <x:v>0.864</x:v>
      </x:c>
      <x:c r="W187" t="str">
        <x:v>English</x:v>
      </x:c>
      <x:c r="X187"/>
      <x:c r="Y187" t="n">
        <x:v>3861</x:v>
      </x:c>
      <x:c r="Z187" s="17" t="n">
        <x:v>4.28</x:v>
      </x:c>
      <x:c r="AA187" s="16" t="n">
        <x:v>0.767</x:v>
      </x:c>
      <x:c r="AB187" s="16" t="n">
        <x:v>0.8925</x:v>
      </x:c>
      <x:c r="AC187" s="16" t="n">
        <x:v>0.891</x:v>
      </x:c>
      <x:c r="AD187" t="n">
        <x:v>0</x:v>
      </x:c>
      <x:c r="AE187" t="str">
        <x:f>IF(O187&lt;&gt;"ACTIVE","NOT_RATED",IF(AND(Z187&gt;=4.8,AB187&gt;=0.97,AC187&gt;=0.93,AD187=0),"ELITE",IF(AND(Z187&gt;=4.6,AB187&gt;=0.94,AC187&gt;=0.88),"HIGH_PERFORMER",IF(OR(Z187&lt;4.2,AB187&lt;0.85,AD187&gt;=2),"AT_RISK","STANDARD"))))</x:f>
        <x:v>NOT_RATED</x:v>
      </x:c>
      <x:c r="AF187" s="15" t="n">
        <x:v>45369</x:v>
      </x:c>
      <x:c r="AG187" t="str">
        <x:v>VERIFIED</x:v>
      </x:c>
      <x:c r="AH187" t="str">
        <x:v>COMPLETE</x:v>
      </x:c>
      <x:c r="AI187" t="str">
        <x:v>Lucas Lewis</x:v>
      </x:c>
      <x:c r="AJ187" t="str">
        <x:v>FRIEND</x:v>
      </x:c>
      <x:c r="AK187" t="str">
        <x:v>+1 (312) 555-0118</x:v>
      </x:c>
    </x:row>
    <x:row r="188" ht="18" customHeight="1">
      <x:c r="A188" t="str">
        <x:v>DHR-00187</x:v>
      </x:c>
      <x:c r="B188" t="str">
        <x:v>Emma Moore</x:v>
      </x:c>
      <x:c r="C188" t="str">
        <x:v>https://api.dicebear.com/9.x/adventurer/png?seed=DHR-00187-Emma%20Moore&amp;size=256&amp;radius=50&amp;backgroundColor=b6e3f4,c0aede,d1d4f9,ffd5dc,ffdfbf</x:v>
      </x:c>
      <x:c r="D188" t="str">
        <x:v>emma.moore.187@example.com</x:v>
      </x:c>
      <x:c r="E188" t="str">
        <x:v>+1 (602) 555-0186</x:v>
      </x:c>
      <x:c r="F188" t="str">
        <x:v>Phoenix, AZ</x:v>
      </x:c>
      <x:c r="G188" t="str">
        <x:v>Phoenix</x:v>
      </x:c>
      <x:c r="H188" t="str">
        <x:v>AZ</x:v>
      </x:c>
      <x:c r="I188" s="18" t="str">
        <x:v>85004</x:v>
      </x:c>
      <x:c r="J188" s="15" t="n">
        <x:v>31345.326462627316</x:v>
      </x:c>
      <x:c r="K188" t="n">
        <x:f>INT((DATE(2025,12,31)-J188)/365.25)</x:f>
        <x:v>40</x:v>
      </x:c>
      <x:c r="L188" t="str">
        <x:f>IF(K188&lt;25,"18-24",IF(K188&lt;35,"25-34",IF(K188&lt;45,"35-44",IF(K188&lt;55,"45-54","55+"))))</x:f>
        <x:v>35-44</x:v>
      </x:c>
      <x:c r="M188" s="15" t="n">
        <x:v>45248.10134418982</x:v>
      </x:c>
      <x:c r="N188" t="n">
        <x:f>(YEAR(DATE(2025,12,31))-YEAR(M188))*12+MONTH(DATE(2025,12,31))-MONTH(M188)</x:f>
        <x:v>25</x:v>
      </x:c>
      <x:c r="O188" t="str">
        <x:v>ACTIVE</x:v>
      </x:c>
      <x:c r="P188" t="str">
        <x:v>INDEPENDENT_CONTRACTOR</x:v>
      </x:c>
      <x:c r="Q188" t="str">
        <x:v>CAR</x:v>
      </x:c>
      <x:c r="R188" t="str">
        <x:v>DINNER</x:v>
      </x:c>
      <x:c r="S188" t="n">
        <x:v>25</x:v>
      </x:c>
      <x:c r="T188" t="str">
        <x:v>PENDING</x:v>
      </x:c>
      <x:c r="U188" t="str">
        <x:v>VALID</x:v>
      </x:c>
      <x:c r="V188" s="16" t="n">
        <x:v>0.8098</x:v>
      </x:c>
      <x:c r="W188" t="str">
        <x:v>English</x:v>
      </x:c>
      <x:c r="X188"/>
      <x:c r="Y188" t="n">
        <x:v>1977</x:v>
      </x:c>
      <x:c r="Z188" s="17" t="n">
        <x:v>4.58</x:v>
      </x:c>
      <x:c r="AA188" s="16" t="n">
        <x:v>0.9264</x:v>
      </x:c>
      <x:c r="AB188" s="16" t="n">
        <x:v>0.8895</x:v>
      </x:c>
      <x:c r="AC188" s="16" t="n">
        <x:v>0.841</x:v>
      </x:c>
      <x:c r="AD188" t="n">
        <x:v>0</x:v>
      </x:c>
      <x:c r="AE188" t="str">
        <x:f>IF(O188&lt;&gt;"ACTIVE","NOT_RATED",IF(AND(Z188&gt;=4.8,AB188&gt;=0.97,AC188&gt;=0.93,AD188=0),"ELITE",IF(AND(Z188&gt;=4.6,AB188&gt;=0.94,AC188&gt;=0.88),"HIGH_PERFORMER",IF(OR(Z188&lt;4.2,AB188&lt;0.85,AD188&gt;=2),"AT_RISK","STANDARD"))))</x:f>
        <x:v>STANDARD</x:v>
      </x:c>
      <x:c r="AF188" s="15" t="n">
        <x:v>46019</x:v>
      </x:c>
      <x:c r="AG188" t="str">
        <x:v>VERIFIED</x:v>
      </x:c>
      <x:c r="AH188" t="str">
        <x:v>COMPLETE</x:v>
      </x:c>
      <x:c r="AI188" t="str">
        <x:v>Quinn Miller</x:v>
      </x:c>
      <x:c r="AJ188" t="str">
        <x:v>SIBLING</x:v>
      </x:c>
      <x:c r="AK188" t="str">
        <x:v>+1 (602) 555-0125</x:v>
      </x:c>
    </x:row>
    <x:row r="189" ht="18" customHeight="1">
      <x:c r="A189" t="str">
        <x:v>DHR-00188</x:v>
      </x:c>
      <x:c r="B189" t="str">
        <x:v>Emma Perez</x:v>
      </x:c>
      <x:c r="C189" t="str">
        <x:v>https://api.dicebear.com/9.x/adventurer/png?seed=DHR-00188-Emma%20Perez&amp;size=256&amp;radius=50&amp;backgroundColor=b6e3f4,c0aede,d1d4f9,ffd5dc,ffdfbf</x:v>
      </x:c>
      <x:c r="D189" t="str">
        <x:v>emma.perez.188@example.com</x:v>
      </x:c>
      <x:c r="E189" t="str">
        <x:v>+1 (210) 555-0187</x:v>
      </x:c>
      <x:c r="F189" t="str">
        <x:v>San Antonio, TX</x:v>
      </x:c>
      <x:c r="G189" t="str">
        <x:v>San Antonio</x:v>
      </x:c>
      <x:c r="H189" t="str">
        <x:v>TX</x:v>
      </x:c>
      <x:c r="I189" s="18" t="str">
        <x:v>78205</x:v>
      </x:c>
      <x:c r="J189" s="15" t="n">
        <x:v>31518.32395309028</x:v>
      </x:c>
      <x:c r="K189" t="n">
        <x:f>INT((DATE(2025,12,31)-J189)/365.25)</x:f>
        <x:v>39</x:v>
      </x:c>
      <x:c r="L189" t="str">
        <x:f>IF(K189&lt;25,"18-24",IF(K189&lt;35,"25-34",IF(K189&lt;45,"35-44",IF(K189&lt;55,"45-54","55+"))))</x:f>
        <x:v>35-44</x:v>
      </x:c>
      <x:c r="M189" s="15" t="n">
        <x:v>44771.78445747685</x:v>
      </x:c>
      <x:c r="N189" t="n">
        <x:f>(YEAR(DATE(2025,12,31))-YEAR(M189))*12+MONTH(DATE(2025,12,31))-MONTH(M189)</x:f>
        <x:v>41</x:v>
      </x:c>
      <x:c r="O189" t="str">
        <x:v>ACTIVE</x:v>
      </x:c>
      <x:c r="P189" t="str">
        <x:v>INDEPENDENT_CONTRACTOR</x:v>
      </x:c>
      <x:c r="Q189" t="str">
        <x:v>CAR</x:v>
      </x:c>
      <x:c r="R189" t="str">
        <x:v>FLEXIBLE</x:v>
      </x:c>
      <x:c r="S189" t="n">
        <x:v>42</x:v>
      </x:c>
      <x:c r="T189" t="str">
        <x:v>CLEARED</x:v>
      </x:c>
      <x:c r="U189" t="str">
        <x:v>VALID</x:v>
      </x:c>
      <x:c r="V189" s="16" t="n">
        <x:v>0.8131</x:v>
      </x:c>
      <x:c r="W189" t="str">
        <x:v>English</x:v>
      </x:c>
      <x:c r="X189"/>
      <x:c r="Y189" t="n">
        <x:v>2921</x:v>
      </x:c>
      <x:c r="Z189" s="17" t="n">
        <x:v>4.38</x:v>
      </x:c>
      <x:c r="AA189" s="16" t="n">
        <x:v>0.8732</x:v>
      </x:c>
      <x:c r="AB189" s="16" t="n">
        <x:v>0.9964</x:v>
      </x:c>
      <x:c r="AC189" s="16" t="n">
        <x:v>0.8934</x:v>
      </x:c>
      <x:c r="AD189" t="n">
        <x:v>0</x:v>
      </x:c>
      <x:c r="AE189" t="str">
        <x:f>IF(O189&lt;&gt;"ACTIVE","NOT_RATED",IF(AND(Z189&gt;=4.8,AB189&gt;=0.97,AC189&gt;=0.93,AD189=0),"ELITE",IF(AND(Z189&gt;=4.6,AB189&gt;=0.94,AC189&gt;=0.88),"HIGH_PERFORMER",IF(OR(Z189&lt;4.2,AB189&lt;0.85,AD189&gt;=2),"AT_RISK","STANDARD"))))</x:f>
        <x:v>STANDARD</x:v>
      </x:c>
      <x:c r="AF189" s="15" t="n">
        <x:v>46017</x:v>
      </x:c>
      <x:c r="AG189" t="str">
        <x:v>VERIFIED</x:v>
      </x:c>
      <x:c r="AH189" t="str">
        <x:v>COMPLETE</x:v>
      </x:c>
      <x:c r="AI189" t="str">
        <x:v>Alex Walker</x:v>
      </x:c>
      <x:c r="AJ189" t="str">
        <x:v>FRIEND</x:v>
      </x:c>
      <x:c r="AK189" t="str">
        <x:v>+1 (210) 555-0132</x:v>
      </x:c>
    </x:row>
    <x:row r="190" ht="18" customHeight="1">
      <x:c r="A190" t="str">
        <x:v>DHR-00189</x:v>
      </x:c>
      <x:c r="B190" t="str">
        <x:v>Emma Rodriguez</x:v>
      </x:c>
      <x:c r="C190" t="str">
        <x:v>https://api.dicebear.com/9.x/adventurer/png?seed=DHR-00189-Emma%20Rodriguez&amp;size=256&amp;radius=50&amp;backgroundColor=b6e3f4,c0aede,d1d4f9,ffd5dc,ffdfbf</x:v>
      </x:c>
      <x:c r="D190" t="str">
        <x:v>emma.rodriguez.189@example.com</x:v>
      </x:c>
      <x:c r="E190" t="str">
        <x:v>+1 (303) 555-0188</x:v>
      </x:c>
      <x:c r="F190" t="str">
        <x:v>Denver, CO</x:v>
      </x:c>
      <x:c r="G190" t="str">
        <x:v>Denver</x:v>
      </x:c>
      <x:c r="H190" t="str">
        <x:v>CO</x:v>
      </x:c>
      <x:c r="I190" s="18" t="str">
        <x:v>80202</x:v>
      </x:c>
      <x:c r="J190" s="15" t="n">
        <x:v>33188.65733003472</x:v>
      </x:c>
      <x:c r="K190" t="n">
        <x:f>INT((DATE(2025,12,31)-J190)/365.25)</x:f>
        <x:v>35</x:v>
      </x:c>
      <x:c r="L190" t="str">
        <x:f>IF(K190&lt;25,"18-24",IF(K190&lt;35,"25-34",IF(K190&lt;45,"35-44",IF(K190&lt;55,"45-54","55+"))))</x:f>
        <x:v>35-44</x:v>
      </x:c>
      <x:c r="M190" s="15" t="n">
        <x:v>45337.39367200231</x:v>
      </x:c>
      <x:c r="N190" t="n">
        <x:f>(YEAR(DATE(2025,12,31))-YEAR(M190))*12+MONTH(DATE(2025,12,31))-MONTH(M190)</x:f>
        <x:v>22</x:v>
      </x:c>
      <x:c r="O190" t="str">
        <x:v>PAUSED</x:v>
      </x:c>
      <x:c r="P190" t="str">
        <x:v>INDEPENDENT_CONTRACTOR</x:v>
      </x:c>
      <x:c r="Q190" t="str">
        <x:v>BICYCLE</x:v>
      </x:c>
      <x:c r="R190" t="str">
        <x:v>LUNCH</x:v>
      </x:c>
      <x:c r="S190" t="n">
        <x:v>30</x:v>
      </x:c>
      <x:c r="T190" t="str">
        <x:v>CLEARED</x:v>
      </x:c>
      <x:c r="U190" t="str">
        <x:v>NOT_REQUIRED</x:v>
      </x:c>
      <x:c r="V190" s="16" t="n">
        <x:v>0.7974</x:v>
      </x:c>
      <x:c r="W190" t="str">
        <x:v>English</x:v>
      </x:c>
      <x:c r="X190" t="str">
        <x:v>Mandarin</x:v>
      </x:c>
      <x:c r="Y190" t="n">
        <x:v>1891</x:v>
      </x:c>
      <x:c r="Z190" s="17" t="n">
        <x:v>4.51</x:v>
      </x:c>
      <x:c r="AA190" s="16" t="n">
        <x:v>0.7053</x:v>
      </x:c>
      <x:c r="AB190" s="16" t="n">
        <x:v>0.9828</x:v>
      </x:c>
      <x:c r="AC190" s="16" t="n">
        <x:v>0.821</x:v>
      </x:c>
      <x:c r="AD190" t="n">
        <x:v>3</x:v>
      </x:c>
      <x:c r="AE190" t="str">
        <x:f>IF(O190&lt;&gt;"ACTIVE","NOT_RATED",IF(AND(Z190&gt;=4.8,AB190&gt;=0.97,AC190&gt;=0.93,AD190=0),"ELITE",IF(AND(Z190&gt;=4.6,AB190&gt;=0.94,AC190&gt;=0.88),"HIGH_PERFORMER",IF(OR(Z190&lt;4.2,AB190&lt;0.85,AD190&gt;=2),"AT_RISK","STANDARD"))))</x:f>
        <x:v>NOT_RATED</x:v>
      </x:c>
      <x:c r="AF190" s="15" t="n">
        <x:v>45959</x:v>
      </x:c>
      <x:c r="AG190" t="str">
        <x:v>VERIFIED</x:v>
      </x:c>
      <x:c r="AH190" t="str">
        <x:v>COMPLETE</x:v>
      </x:c>
      <x:c r="AI190" t="str">
        <x:v>Avery Brown</x:v>
      </x:c>
      <x:c r="AJ190" t="str">
        <x:v>FRIEND</x:v>
      </x:c>
      <x:c r="AK190" t="str">
        <x:v>+1 (303) 555-0139</x:v>
      </x:c>
    </x:row>
    <x:row r="191" ht="18" customHeight="1">
      <x:c r="A191" t="str">
        <x:v>DHR-00190</x:v>
      </x:c>
      <x:c r="B191" t="str">
        <x:v>Emma Taylor</x:v>
      </x:c>
      <x:c r="C191" t="str">
        <x:v>https://api.dicebear.com/9.x/adventurer/png?seed=DHR-00190-Emma%20Taylor&amp;size=256&amp;radius=50&amp;backgroundColor=b6e3f4,c0aede,d1d4f9,ffd5dc,ffdfbf</x:v>
      </x:c>
      <x:c r="D191" t="str">
        <x:v>emma.taylor.190@example.com</x:v>
      </x:c>
      <x:c r="E191" t="str">
        <x:v>+1 (704) 555-0189</x:v>
      </x:c>
      <x:c r="F191" t="str">
        <x:v>Charlotte, NC</x:v>
      </x:c>
      <x:c r="G191" t="str">
        <x:v>Charlotte</x:v>
      </x:c>
      <x:c r="H191" t="str">
        <x:v>NC</x:v>
      </x:c>
      <x:c r="I191" s="18" t="str">
        <x:v>28202</x:v>
      </x:c>
      <x:c r="J191" s="15" t="n">
        <x:v>26306.556813032406</x:v>
      </x:c>
      <x:c r="K191" t="n">
        <x:f>INT((DATE(2025,12,31)-J191)/365.25)</x:f>
        <x:v>53</x:v>
      </x:c>
      <x:c r="L191" t="str">
        <x:f>IF(K191&lt;25,"18-24",IF(K191&lt;35,"25-34",IF(K191&lt;45,"35-44",IF(K191&lt;55,"45-54","55+"))))</x:f>
        <x:v>45-54</x:v>
      </x:c>
      <x:c r="M191" s="15" t="n">
        <x:v>45407.90989452547</x:v>
      </x:c>
      <x:c r="N191" t="n">
        <x:f>(YEAR(DATE(2025,12,31))-YEAR(M191))*12+MONTH(DATE(2025,12,31))-MONTH(M191)</x:f>
        <x:v>20</x:v>
      </x:c>
      <x:c r="O191" t="str">
        <x:v>ACTIVE</x:v>
      </x:c>
      <x:c r="P191" t="str">
        <x:v>INDEPENDENT_CONTRACTOR</x:v>
      </x:c>
      <x:c r="Q191" t="str">
        <x:v>CAR</x:v>
      </x:c>
      <x:c r="R191" t="str">
        <x:v>LUNCH</x:v>
      </x:c>
      <x:c r="S191" t="n">
        <x:v>19</x:v>
      </x:c>
      <x:c r="T191" t="str">
        <x:v>CLEARED</x:v>
      </x:c>
      <x:c r="U191" t="str">
        <x:v>VALID</x:v>
      </x:c>
      <x:c r="V191" s="16" t="n">
        <x:v>0.8252</x:v>
      </x:c>
      <x:c r="W191" t="str">
        <x:v>English</x:v>
      </x:c>
      <x:c r="X191"/>
      <x:c r="Y191" t="n">
        <x:v>1307</x:v>
      </x:c>
      <x:c r="Z191" s="17" t="n">
        <x:v>4.95</x:v>
      </x:c>
      <x:c r="AA191" s="16" t="n">
        <x:v>0.7215</x:v>
      </x:c>
      <x:c r="AB191" s="16" t="n">
        <x:v>0.883</x:v>
      </x:c>
      <x:c r="AC191" s="16" t="n">
        <x:v>0.9093</x:v>
      </x:c>
      <x:c r="AD191" t="n">
        <x:v>0</x:v>
      </x:c>
      <x:c r="AE191" t="str">
        <x:f>IF(O191&lt;&gt;"ACTIVE","NOT_RATED",IF(AND(Z191&gt;=4.8,AB191&gt;=0.97,AC191&gt;=0.93,AD191=0),"ELITE",IF(AND(Z191&gt;=4.6,AB191&gt;=0.94,AC191&gt;=0.88),"HIGH_PERFORMER",IF(OR(Z191&lt;4.2,AB191&lt;0.85,AD191&gt;=2),"AT_RISK","STANDARD"))))</x:f>
        <x:v>STANDARD</x:v>
      </x:c>
      <x:c r="AF191" s="15" t="n">
        <x:v>46021</x:v>
      </x:c>
      <x:c r="AG191" t="str">
        <x:v>VERIFIED</x:v>
      </x:c>
      <x:c r="AH191" t="str">
        <x:v>COMPLETE</x:v>
      </x:c>
      <x:c r="AI191" t="str">
        <x:v>Ethan Perez</x:v>
      </x:c>
      <x:c r="AJ191" t="str">
        <x:v>SIBLING</x:v>
      </x:c>
      <x:c r="AK191" t="str">
        <x:v>+1 (704) 555-0146</x:v>
      </x:c>
    </x:row>
    <x:row r="192" ht="18" customHeight="1">
      <x:c r="A192" t="str">
        <x:v>DHR-00191</x:v>
      </x:c>
      <x:c r="B192" t="str">
        <x:v>Emma Thomas</x:v>
      </x:c>
      <x:c r="C192" t="str">
        <x:v>https://api.dicebear.com/9.x/adventurer/png?seed=DHR-00191-Emma%20Thomas&amp;size=256&amp;radius=50&amp;backgroundColor=b6e3f4,c0aede,d1d4f9,ffd5dc,ffdfbf</x:v>
      </x:c>
      <x:c r="D192" t="str">
        <x:v>emma.thomas.191@example.com</x:v>
      </x:c>
      <x:c r="E192" t="str">
        <x:v>+1 (612) 555-0190</x:v>
      </x:c>
      <x:c r="F192" t="str">
        <x:v>Minneapolis, MN</x:v>
      </x:c>
      <x:c r="G192" t="str">
        <x:v>Minneapolis</x:v>
      </x:c>
      <x:c r="H192" t="str">
        <x:v>MN</x:v>
      </x:c>
      <x:c r="I192" s="18" t="str">
        <x:v>55401</x:v>
      </x:c>
      <x:c r="J192" s="15" t="n">
        <x:v>28286.706360810185</x:v>
      </x:c>
      <x:c r="K192" t="n">
        <x:f>INT((DATE(2025,12,31)-J192)/365.25)</x:f>
        <x:v>48</x:v>
      </x:c>
      <x:c r="L192" t="str">
        <x:f>IF(K192&lt;25,"18-24",IF(K192&lt;35,"25-34",IF(K192&lt;45,"35-44",IF(K192&lt;55,"45-54","55+"))))</x:f>
        <x:v>45-54</x:v>
      </x:c>
      <x:c r="M192" s="15" t="n">
        <x:v>45688.22150298611</x:v>
      </x:c>
      <x:c r="N192" t="n">
        <x:f>(YEAR(DATE(2025,12,31))-YEAR(M192))*12+MONTH(DATE(2025,12,31))-MONTH(M192)</x:f>
        <x:v>11</x:v>
      </x:c>
      <x:c r="O192" t="str">
        <x:v>ACTIVE</x:v>
      </x:c>
      <x:c r="P192" t="str">
        <x:v>INDEPENDENT_CONTRACTOR</x:v>
      </x:c>
      <x:c r="Q192" t="str">
        <x:v>E_BIKE</x:v>
      </x:c>
      <x:c r="R192" t="str">
        <x:v>DINNER</x:v>
      </x:c>
      <x:c r="S192" t="n">
        <x:v>17</x:v>
      </x:c>
      <x:c r="T192" t="str">
        <x:v>CLEARED</x:v>
      </x:c>
      <x:c r="U192" t="str">
        <x:v>NOT_REQUIRED</x:v>
      </x:c>
      <x:c r="V192" s="16" t="n">
        <x:v>0.9851</x:v>
      </x:c>
      <x:c r="W192" t="str">
        <x:v>English</x:v>
      </x:c>
      <x:c r="X192"/>
      <x:c r="Y192" t="n">
        <x:v>586</x:v>
      </x:c>
      <x:c r="Z192" s="17" t="n">
        <x:v>4.28</x:v>
      </x:c>
      <x:c r="AA192" s="16" t="n">
        <x:v>0.6483</x:v>
      </x:c>
      <x:c r="AB192" s="16" t="n">
        <x:v>0.9436</x:v>
      </x:c>
      <x:c r="AC192" s="16" t="n">
        <x:v>0.8879</x:v>
      </x:c>
      <x:c r="AD192" t="n">
        <x:v>0</x:v>
      </x:c>
      <x:c r="AE192" t="str">
        <x:f>IF(O192&lt;&gt;"ACTIVE","NOT_RATED",IF(AND(Z192&gt;=4.8,AB192&gt;=0.97,AC192&gt;=0.93,AD192=0),"ELITE",IF(AND(Z192&gt;=4.6,AB192&gt;=0.94,AC192&gt;=0.88),"HIGH_PERFORMER",IF(OR(Z192&lt;4.2,AB192&lt;0.85,AD192&gt;=2),"AT_RISK","STANDARD"))))</x:f>
        <x:v>STANDARD</x:v>
      </x:c>
      <x:c r="AF192" s="15" t="n">
        <x:v>46017</x:v>
      </x:c>
      <x:c r="AG192" t="str">
        <x:v>VERIFIED</x:v>
      </x:c>
      <x:c r="AH192" t="str">
        <x:v>COMPLETE</x:v>
      </x:c>
      <x:c r="AI192" t="str">
        <x:v>Skyler Harris</x:v>
      </x:c>
      <x:c r="AJ192" t="str">
        <x:v>PARENT</x:v>
      </x:c>
      <x:c r="AK192" t="str">
        <x:v>+1 (612) 555-0153</x:v>
      </x:c>
    </x:row>
    <x:row r="193" ht="18" customHeight="1">
      <x:c r="A193" t="str">
        <x:v>DHR-00192</x:v>
      </x:c>
      <x:c r="B193" t="str">
        <x:v>Emma Walker</x:v>
      </x:c>
      <x:c r="C193" t="str">
        <x:v>https://api.dicebear.com/9.x/adventurer/png?seed=DHR-00192-Emma%20Walker&amp;size=256&amp;radius=50&amp;backgroundColor=b6e3f4,c0aede,d1d4f9,ffd5dc,ffdfbf</x:v>
      </x:c>
      <x:c r="D193" t="str">
        <x:v>emma.walker.192@example.com</x:v>
      </x:c>
      <x:c r="E193" t="str">
        <x:v>+1 (214) 555-0191</x:v>
      </x:c>
      <x:c r="F193" t="str">
        <x:v>Dallas, TX</x:v>
      </x:c>
      <x:c r="G193" t="str">
        <x:v>Dallas</x:v>
      </x:c>
      <x:c r="H193" t="str">
        <x:v>TX</x:v>
      </x:c>
      <x:c r="I193" s="18" t="str">
        <x:v>75201</x:v>
      </x:c>
      <x:c r="J193" s="15" t="n">
        <x:v>32604.67527337963</x:v>
      </x:c>
      <x:c r="K193" t="n">
        <x:f>INT((DATE(2025,12,31)-J193)/365.25)</x:f>
        <x:v>36</x:v>
      </x:c>
      <x:c r="L193" t="str">
        <x:f>IF(K193&lt;25,"18-24",IF(K193&lt;35,"25-34",IF(K193&lt;45,"35-44",IF(K193&lt;55,"45-54","55+"))))</x:f>
        <x:v>35-44</x:v>
      </x:c>
      <x:c r="M193" s="15" t="n">
        <x:v>44923.641843958336</x:v>
      </x:c>
      <x:c r="N193" t="n">
        <x:f>(YEAR(DATE(2025,12,31))-YEAR(M193))*12+MONTH(DATE(2025,12,31))-MONTH(M193)</x:f>
        <x:v>36</x:v>
      </x:c>
      <x:c r="O193" t="str">
        <x:v>ACTIVE</x:v>
      </x:c>
      <x:c r="P193" t="str">
        <x:v>INDEPENDENT_CONTRACTOR</x:v>
      </x:c>
      <x:c r="Q193" t="str">
        <x:v>BICYCLE</x:v>
      </x:c>
      <x:c r="R193" t="str">
        <x:v>LUNCH</x:v>
      </x:c>
      <x:c r="S193" t="n">
        <x:v>42</x:v>
      </x:c>
      <x:c r="T193" t="str">
        <x:v>CLEARED</x:v>
      </x:c>
      <x:c r="U193" t="str">
        <x:v>NOT_REQUIRED</x:v>
      </x:c>
      <x:c r="V193" s="16" t="n">
        <x:v>0.9428</x:v>
      </x:c>
      <x:c r="W193" t="str">
        <x:v>English</x:v>
      </x:c>
      <x:c r="X193"/>
      <x:c r="Y193" t="n">
        <x:v>4835</x:v>
      </x:c>
      <x:c r="Z193" s="17" t="n">
        <x:v>4.92</x:v>
      </x:c>
      <x:c r="AA193" s="16" t="n">
        <x:v>0.6368</x:v>
      </x:c>
      <x:c r="AB193" s="16" t="n">
        <x:v>0.8926</x:v>
      </x:c>
      <x:c r="AC193" s="16" t="n">
        <x:v>0.8607</x:v>
      </x:c>
      <x:c r="AD193" t="n">
        <x:v>0</x:v>
      </x:c>
      <x:c r="AE193" t="str">
        <x:f>IF(O193&lt;&gt;"ACTIVE","NOT_RATED",IF(AND(Z193&gt;=4.8,AB193&gt;=0.97,AC193&gt;=0.93,AD193=0),"ELITE",IF(AND(Z193&gt;=4.6,AB193&gt;=0.94,AC193&gt;=0.88),"HIGH_PERFORMER",IF(OR(Z193&lt;4.2,AB193&lt;0.85,AD193&gt;=2),"AT_RISK","STANDARD"))))</x:f>
        <x:v>STANDARD</x:v>
      </x:c>
      <x:c r="AF193" s="15" t="n">
        <x:v>46018</x:v>
      </x:c>
      <x:c r="AG193" t="str">
        <x:v>VERIFIED</x:v>
      </x:c>
      <x:c r="AH193" t="str">
        <x:v>COMPLETE</x:v>
      </x:c>
      <x:c r="AI193" t="str">
        <x:v>Liam Taylor</x:v>
      </x:c>
      <x:c r="AJ193" t="str">
        <x:v>SPOUSE_PARTNER</x:v>
      </x:c>
      <x:c r="AK193" t="str">
        <x:v>+1 (214) 555-0160</x:v>
      </x:c>
    </x:row>
    <x:row r="194" ht="18" customHeight="1">
      <x:c r="A194" t="str">
        <x:v>DHR-00193</x:v>
      </x:c>
      <x:c r="B194" t="str">
        <x:v>Emma White</x:v>
      </x:c>
      <x:c r="C194" t="str">
        <x:v>https://api.dicebear.com/9.x/adventurer/png?seed=DHR-00193-Emma%20White&amp;size=256&amp;radius=50&amp;backgroundColor=b6e3f4,c0aede,d1d4f9,ffd5dc,ffdfbf</x:v>
      </x:c>
      <x:c r="D194" t="str">
        <x:v>emma.white.193@example.com</x:v>
      </x:c>
      <x:c r="E194" t="str">
        <x:v>+1 (713) 555-0192</x:v>
      </x:c>
      <x:c r="F194" t="str">
        <x:v>Houston, TX</x:v>
      </x:c>
      <x:c r="G194" t="str">
        <x:v>Houston</x:v>
      </x:c>
      <x:c r="H194" t="str">
        <x:v>TX</x:v>
      </x:c>
      <x:c r="I194" s="18" t="str">
        <x:v>77002</x:v>
      </x:c>
      <x:c r="J194" s="15" t="n">
        <x:v>28251.173310717593</x:v>
      </x:c>
      <x:c r="K194" t="n">
        <x:f>INT((DATE(2025,12,31)-J194)/365.25)</x:f>
        <x:v>48</x:v>
      </x:c>
      <x:c r="L194" t="str">
        <x:f>IF(K194&lt;25,"18-24",IF(K194&lt;35,"25-34",IF(K194&lt;45,"35-44",IF(K194&lt;55,"45-54","55+"))))</x:f>
        <x:v>45-54</x:v>
      </x:c>
      <x:c r="M194" s="15" t="n">
        <x:v>44208.2316468287</x:v>
      </x:c>
      <x:c r="N194" t="n">
        <x:f>(YEAR(DATE(2025,12,31))-YEAR(M194))*12+MONTH(DATE(2025,12,31))-MONTH(M194)</x:f>
        <x:v>59</x:v>
      </x:c>
      <x:c r="O194" t="str">
        <x:v>ACTIVE</x:v>
      </x:c>
      <x:c r="P194" t="str">
        <x:v>INDEPENDENT_CONTRACTOR</x:v>
      </x:c>
      <x:c r="Q194" t="str">
        <x:v>CAR</x:v>
      </x:c>
      <x:c r="R194" t="str">
        <x:v>DINNER</x:v>
      </x:c>
      <x:c r="S194" t="n">
        <x:v>30</x:v>
      </x:c>
      <x:c r="T194" t="str">
        <x:v>CLEARED</x:v>
      </x:c>
      <x:c r="U194" t="str">
        <x:v>VALID</x:v>
      </x:c>
      <x:c r="V194" s="16" t="n">
        <x:v>0.8589</x:v>
      </x:c>
      <x:c r="W194" t="str">
        <x:v>English</x:v>
      </x:c>
      <x:c r="X194" t="str">
        <x:v>Spanish</x:v>
      </x:c>
      <x:c r="Y194" t="n">
        <x:v>5676</x:v>
      </x:c>
      <x:c r="Z194" s="17" t="n">
        <x:v>4.86</x:v>
      </x:c>
      <x:c r="AA194" s="16" t="n">
        <x:v>0.8414</x:v>
      </x:c>
      <x:c r="AB194" s="16" t="n">
        <x:v>0.9702</x:v>
      </x:c>
      <x:c r="AC194" s="16" t="n">
        <x:v>0.8448</x:v>
      </x:c>
      <x:c r="AD194" t="n">
        <x:v>0</x:v>
      </x:c>
      <x:c r="AE194" t="str">
        <x:f>IF(O194&lt;&gt;"ACTIVE","NOT_RATED",IF(AND(Z194&gt;=4.8,AB194&gt;=0.97,AC194&gt;=0.93,AD194=0),"ELITE",IF(AND(Z194&gt;=4.6,AB194&gt;=0.94,AC194&gt;=0.88),"HIGH_PERFORMER",IF(OR(Z194&lt;4.2,AB194&lt;0.85,AD194&gt;=2),"AT_RISK","STANDARD"))))</x:f>
        <x:v>STANDARD</x:v>
      </x:c>
      <x:c r="AF194" s="15" t="n">
        <x:v>46010</x:v>
      </x:c>
      <x:c r="AG194" t="str">
        <x:v>VERIFIED</x:v>
      </x:c>
      <x:c r="AH194" t="str">
        <x:v>COMPLETE</x:v>
      </x:c>
      <x:c r="AI194" t="str">
        <x:v>Avery Brown</x:v>
      </x:c>
      <x:c r="AJ194" t="str">
        <x:v>SPOUSE_PARTNER</x:v>
      </x:c>
      <x:c r="AK194" t="str">
        <x:v>+1 (713) 555-0167</x:v>
      </x:c>
    </x:row>
    <x:row r="195" ht="18" customHeight="1">
      <x:c r="A195" t="str">
        <x:v>DHR-00194</x:v>
      </x:c>
      <x:c r="B195" t="str">
        <x:v>Emma Williams</x:v>
      </x:c>
      <x:c r="C195" t="str">
        <x:v>https://api.dicebear.com/9.x/adventurer/png?seed=DHR-00194-Emma%20Williams&amp;size=256&amp;radius=50&amp;backgroundColor=b6e3f4,c0aede,d1d4f9,ffd5dc,ffdfbf</x:v>
      </x:c>
      <x:c r="D195" t="str">
        <x:v>emma.williams.194@example.com</x:v>
      </x:c>
      <x:c r="E195" t="str">
        <x:v>+1 (617) 555-0193</x:v>
      </x:c>
      <x:c r="F195" t="str">
        <x:v>Boston, MA</x:v>
      </x:c>
      <x:c r="G195" t="str">
        <x:v>Boston</x:v>
      </x:c>
      <x:c r="H195" t="str">
        <x:v>MA</x:v>
      </x:c>
      <x:c r="I195" s="18" t="str">
        <x:v>02108</x:v>
      </x:c>
      <x:c r="J195" s="15" t="n">
        <x:v>30864.381981168983</x:v>
      </x:c>
      <x:c r="K195" t="n">
        <x:f>INT((DATE(2025,12,31)-J195)/365.25)</x:f>
        <x:v>41</x:v>
      </x:c>
      <x:c r="L195" t="str">
        <x:f>IF(K195&lt;25,"18-24",IF(K195&lt;35,"25-34",IF(K195&lt;45,"35-44",IF(K195&lt;55,"45-54","55+"))))</x:f>
        <x:v>35-44</x:v>
      </x:c>
      <x:c r="M195" s="15" t="n">
        <x:v>44495.70145728009</x:v>
      </x:c>
      <x:c r="N195" t="n">
        <x:f>(YEAR(DATE(2025,12,31))-YEAR(M195))*12+MONTH(DATE(2025,12,31))-MONTH(M195)</x:f>
        <x:v>50</x:v>
      </x:c>
      <x:c r="O195" t="str">
        <x:v>ACTIVE</x:v>
      </x:c>
      <x:c r="P195" t="str">
        <x:v>INDEPENDENT_CONTRACTOR</x:v>
      </x:c>
      <x:c r="Q195" t="str">
        <x:v>CAR</x:v>
      </x:c>
      <x:c r="R195" t="str">
        <x:v>FLEXIBLE</x:v>
      </x:c>
      <x:c r="S195" t="n">
        <x:v>38</x:v>
      </x:c>
      <x:c r="T195" t="str">
        <x:v>CLEARED</x:v>
      </x:c>
      <x:c r="U195" t="str">
        <x:v>SUSPENDED</x:v>
      </x:c>
      <x:c r="V195" s="16" t="n">
        <x:v>0.7991</x:v>
      </x:c>
      <x:c r="W195" t="str">
        <x:v>Spanish</x:v>
      </x:c>
      <x:c r="X195"/>
      <x:c r="Y195" t="n">
        <x:v>3633</x:v>
      </x:c>
      <x:c r="Z195" s="17" t="n">
        <x:v>4.36</x:v>
      </x:c>
      <x:c r="AA195" s="16" t="n">
        <x:v>0.6682</x:v>
      </x:c>
      <x:c r="AB195" s="16" t="n">
        <x:v>0.9561</x:v>
      </x:c>
      <x:c r="AC195" s="16" t="n">
        <x:v>0.9579</x:v>
      </x:c>
      <x:c r="AD195" t="n">
        <x:v>1</x:v>
      </x:c>
      <x:c r="AE195" t="str">
        <x:f>IF(O195&lt;&gt;"ACTIVE","NOT_RATED",IF(AND(Z195&gt;=4.8,AB195&gt;=0.97,AC195&gt;=0.93,AD195=0),"ELITE",IF(AND(Z195&gt;=4.6,AB195&gt;=0.94,AC195&gt;=0.88),"HIGH_PERFORMER",IF(OR(Z195&lt;4.2,AB195&lt;0.85,AD195&gt;=2),"AT_RISK","STANDARD"))))</x:f>
        <x:v>STANDARD</x:v>
      </x:c>
      <x:c r="AF195" s="15" t="n">
        <x:v>46022</x:v>
      </x:c>
      <x:c r="AG195" t="str">
        <x:v>VERIFIED</x:v>
      </x:c>
      <x:c r="AH195" t="str">
        <x:v>COMPLETE</x:v>
      </x:c>
      <x:c r="AI195" t="str">
        <x:v>Devin Young</x:v>
      </x:c>
      <x:c r="AJ195" t="str">
        <x:v>SPOUSE_PARTNER</x:v>
      </x:c>
      <x:c r="AK195" t="str">
        <x:v>+1 (617) 555-0174</x:v>
      </x:c>
    </x:row>
    <x:row r="196" ht="18" customHeight="1">
      <x:c r="A196" t="str">
        <x:v>DHR-00195</x:v>
      </x:c>
      <x:c r="B196" t="str">
        <x:v>Emma Wilson</x:v>
      </x:c>
      <x:c r="C196" t="str">
        <x:v>https://api.dicebear.com/9.x/adventurer/png?seed=DHR-00195-Emma%20Wilson&amp;size=256&amp;radius=50&amp;backgroundColor=b6e3f4,c0aede,d1d4f9,ffd5dc,ffdfbf</x:v>
      </x:c>
      <x:c r="D196" t="str">
        <x:v>emma.wilson.195@example.com</x:v>
      </x:c>
      <x:c r="E196" t="str">
        <x:v>+1 (602) 555-0194</x:v>
      </x:c>
      <x:c r="F196" t="str">
        <x:v>Phoenix, AZ</x:v>
      </x:c>
      <x:c r="G196" t="str">
        <x:v>Phoenix</x:v>
      </x:c>
      <x:c r="H196" t="str">
        <x:v>AZ</x:v>
      </x:c>
      <x:c r="I196" s="18" t="str">
        <x:v>85004</x:v>
      </x:c>
      <x:c r="J196" s="15" t="n">
        <x:v>30535.450260416666</x:v>
      </x:c>
      <x:c r="K196" t="n">
        <x:f>INT((DATE(2025,12,31)-J196)/365.25)</x:f>
        <x:v>42</x:v>
      </x:c>
      <x:c r="L196" t="str">
        <x:f>IF(K196&lt;25,"18-24",IF(K196&lt;35,"25-34",IF(K196&lt;45,"35-44",IF(K196&lt;55,"45-54","55+"))))</x:f>
        <x:v>35-44</x:v>
      </x:c>
      <x:c r="M196" s="15" t="n">
        <x:v>44628.46667015046</x:v>
      </x:c>
      <x:c r="N196" t="n">
        <x:f>(YEAR(DATE(2025,12,31))-YEAR(M196))*12+MONTH(DATE(2025,12,31))-MONTH(M196)</x:f>
        <x:v>45</x:v>
      </x:c>
      <x:c r="O196" t="str">
        <x:v>ACTIVE</x:v>
      </x:c>
      <x:c r="P196" t="str">
        <x:v>INDEPENDENT_CONTRACTOR</x:v>
      </x:c>
      <x:c r="Q196" t="str">
        <x:v>CAR</x:v>
      </x:c>
      <x:c r="R196" t="str">
        <x:v>FLEXIBLE</x:v>
      </x:c>
      <x:c r="S196" t="n">
        <x:v>42</x:v>
      </x:c>
      <x:c r="T196" t="str">
        <x:v>CLEARED</x:v>
      </x:c>
      <x:c r="U196" t="str">
        <x:v>VALID</x:v>
      </x:c>
      <x:c r="V196" s="16" t="n">
        <x:v>0.9911</x:v>
      </x:c>
      <x:c r="W196" t="str">
        <x:v>Spanish</x:v>
      </x:c>
      <x:c r="X196" t="str">
        <x:v>English</x:v>
      </x:c>
      <x:c r="Y196" t="n">
        <x:v>6613</x:v>
      </x:c>
      <x:c r="Z196" s="17" t="n">
        <x:v>4.67</x:v>
      </x:c>
      <x:c r="AA196" s="16" t="n">
        <x:v>0.8134</x:v>
      </x:c>
      <x:c r="AB196" s="16" t="n">
        <x:v>0.9598</x:v>
      </x:c>
      <x:c r="AC196" s="16" t="n">
        <x:v>0.9849</x:v>
      </x:c>
      <x:c r="AD196" t="n">
        <x:v>0</x:v>
      </x:c>
      <x:c r="AE196" t="str">
        <x:f>IF(O196&lt;&gt;"ACTIVE","NOT_RATED",IF(AND(Z196&gt;=4.8,AB196&gt;=0.97,AC196&gt;=0.93,AD196=0),"ELITE",IF(AND(Z196&gt;=4.6,AB196&gt;=0.94,AC196&gt;=0.88),"HIGH_PERFORMER",IF(OR(Z196&lt;4.2,AB196&lt;0.85,AD196&gt;=2),"AT_RISK","STANDARD"))))</x:f>
        <x:v>HIGH_PERFORMER</x:v>
      </x:c>
      <x:c r="AF196" s="15" t="n">
        <x:v>46016</x:v>
      </x:c>
      <x:c r="AG196" t="str">
        <x:v>VERIFIED</x:v>
      </x:c>
      <x:c r="AH196" t="str">
        <x:v>COMPLETE</x:v>
      </x:c>
      <x:c r="AI196" t="str">
        <x:v>Reese Garcia</x:v>
      </x:c>
      <x:c r="AJ196" t="str">
        <x:v>FRIEND</x:v>
      </x:c>
      <x:c r="AK196" t="str">
        <x:v>+1 (602) 555-0181</x:v>
      </x:c>
    </x:row>
    <x:row r="197" ht="18" customHeight="1">
      <x:c r="A197" t="str">
        <x:v>DHR-00196</x:v>
      </x:c>
      <x:c r="B197" t="str">
        <x:v>Emma Young</x:v>
      </x:c>
      <x:c r="C197" t="str">
        <x:v>https://api.dicebear.com/9.x/adventurer/png?seed=DHR-00196-Emma%20Young&amp;size=256&amp;radius=50&amp;backgroundColor=b6e3f4,c0aede,d1d4f9,ffd5dc,ffdfbf</x:v>
      </x:c>
      <x:c r="D197" t="str">
        <x:v>emma.young.196@example.com</x:v>
      </x:c>
      <x:c r="E197" t="str">
        <x:v>+1 (617) 555-0195</x:v>
      </x:c>
      <x:c r="F197" t="str">
        <x:v>Boston, MA</x:v>
      </x:c>
      <x:c r="G197" t="str">
        <x:v>Boston</x:v>
      </x:c>
      <x:c r="H197" t="str">
        <x:v>MA</x:v>
      </x:c>
      <x:c r="I197" s="18" t="str">
        <x:v>02108</x:v>
      </x:c>
      <x:c r="J197" s="15" t="n">
        <x:v>28517.3568640625</x:v>
      </x:c>
      <x:c r="K197" t="n">
        <x:f>INT((DATE(2025,12,31)-J197)/365.25)</x:f>
        <x:v>47</x:v>
      </x:c>
      <x:c r="L197" t="str">
        <x:f>IF(K197&lt;25,"18-24",IF(K197&lt;35,"25-34",IF(K197&lt;45,"35-44",IF(K197&lt;55,"45-54","55+"))))</x:f>
        <x:v>45-54</x:v>
      </x:c>
      <x:c r="M197" s="15" t="n">
        <x:v>44368.61029653935</x:v>
      </x:c>
      <x:c r="N197" t="n">
        <x:f>(YEAR(DATE(2025,12,31))-YEAR(M197))*12+MONTH(DATE(2025,12,31))-MONTH(M197)</x:f>
        <x:v>54</x:v>
      </x:c>
      <x:c r="O197" t="str">
        <x:v>ACTIVE</x:v>
      </x:c>
      <x:c r="P197" t="str">
        <x:v>INDEPENDENT_CONTRACTOR</x:v>
      </x:c>
      <x:c r="Q197" t="str">
        <x:v>CAR</x:v>
      </x:c>
      <x:c r="R197" t="str">
        <x:v>LUNCH</x:v>
      </x:c>
      <x:c r="S197" t="n">
        <x:v>34</x:v>
      </x:c>
      <x:c r="T197" t="str">
        <x:v>CLEARED</x:v>
      </x:c>
      <x:c r="U197" t="str">
        <x:v>EXPIRING_SOON</x:v>
      </x:c>
      <x:c r="V197" s="16" t="n">
        <x:v>0.8912</x:v>
      </x:c>
      <x:c r="W197" t="str">
        <x:v>Spanish</x:v>
      </x:c>
      <x:c r="X197" t="str">
        <x:v>English</x:v>
      </x:c>
      <x:c r="Y197" t="n">
        <x:v>6857</x:v>
      </x:c>
      <x:c r="Z197" s="17" t="n">
        <x:v>4.69</x:v>
      </x:c>
      <x:c r="AA197" s="16" t="n">
        <x:v>0.7663</x:v>
      </x:c>
      <x:c r="AB197" s="16" t="n">
        <x:v>0.9304</x:v>
      </x:c>
      <x:c r="AC197" s="16" t="n">
        <x:v>0.9069</x:v>
      </x:c>
      <x:c r="AD197" t="n">
        <x:v>0</x:v>
      </x:c>
      <x:c r="AE197" t="str">
        <x:f>IF(O197&lt;&gt;"ACTIVE","NOT_RATED",IF(AND(Z197&gt;=4.8,AB197&gt;=0.97,AC197&gt;=0.93,AD197=0),"ELITE",IF(AND(Z197&gt;=4.6,AB197&gt;=0.94,AC197&gt;=0.88),"HIGH_PERFORMER",IF(OR(Z197&lt;4.2,AB197&lt;0.85,AD197&gt;=2),"AT_RISK","STANDARD"))))</x:f>
        <x:v>STANDARD</x:v>
      </x:c>
      <x:c r="AF197" s="15" t="n">
        <x:v>46020</x:v>
      </x:c>
      <x:c r="AG197" t="str">
        <x:v>VERIFIED</x:v>
      </x:c>
      <x:c r="AH197" t="str">
        <x:v>COMPLETE</x:v>
      </x:c>
      <x:c r="AI197" t="str">
        <x:v>Hayden Thomas</x:v>
      </x:c>
      <x:c r="AJ197" t="str">
        <x:v>PARENT</x:v>
      </x:c>
      <x:c r="AK197" t="str">
        <x:v>+1 (617) 555-0188</x:v>
      </x:c>
    </x:row>
    <x:row r="198" ht="18" customHeight="1">
      <x:c r="A198" t="str">
        <x:v>DHR-00197</x:v>
      </x:c>
      <x:c r="B198" t="str">
        <x:v>Ethan Anderson</x:v>
      </x:c>
      <x:c r="C198" t="str">
        <x:v>https://api.dicebear.com/9.x/adventurer/png?seed=DHR-00197-Ethan%20Anderson&amp;size=256&amp;radius=50&amp;backgroundColor=b6e3f4,c0aede,d1d4f9,ffd5dc,ffdfbf</x:v>
      </x:c>
      <x:c r="D198" t="str">
        <x:v>ethan.anderson.197@example.com</x:v>
      </x:c>
      <x:c r="E198" t="str">
        <x:v>+1 (303) 555-0196</x:v>
      </x:c>
      <x:c r="F198" t="str">
        <x:v>Denver, CO</x:v>
      </x:c>
      <x:c r="G198" t="str">
        <x:v>Denver</x:v>
      </x:c>
      <x:c r="H198" t="str">
        <x:v>CO</x:v>
      </x:c>
      <x:c r="I198" s="18" t="str">
        <x:v>80202</x:v>
      </x:c>
      <x:c r="J198" s="15" t="n">
        <x:v>35925.97771386574</x:v>
      </x:c>
      <x:c r="K198" t="n">
        <x:f>INT((DATE(2025,12,31)-J198)/365.25)</x:f>
        <x:v>27</x:v>
      </x:c>
      <x:c r="L198" t="str">
        <x:f>IF(K198&lt;25,"18-24",IF(K198&lt;35,"25-34",IF(K198&lt;45,"35-44",IF(K198&lt;55,"45-54","55+"))))</x:f>
        <x:v>25-34</x:v>
      </x:c>
      <x:c r="M198" s="15" t="n">
        <x:v>44486.61708773148</x:v>
      </x:c>
      <x:c r="N198" t="n">
        <x:f>(YEAR(DATE(2025,12,31))-YEAR(M198))*12+MONTH(DATE(2025,12,31))-MONTH(M198)</x:f>
        <x:v>50</x:v>
      </x:c>
      <x:c r="O198" t="str">
        <x:v>ACTIVE</x:v>
      </x:c>
      <x:c r="P198" t="str">
        <x:v>INDEPENDENT_CONTRACTOR</x:v>
      </x:c>
      <x:c r="Q198" t="str">
        <x:v>CAR</x:v>
      </x:c>
      <x:c r="R198" t="str">
        <x:v>FLEXIBLE</x:v>
      </x:c>
      <x:c r="S198" t="n">
        <x:v>26</x:v>
      </x:c>
      <x:c r="T198" t="str">
        <x:v>CLEARED</x:v>
      </x:c>
      <x:c r="U198" t="str">
        <x:v>EXPIRING_SOON</x:v>
      </x:c>
      <x:c r="V198" s="16" t="n">
        <x:v>0.9819</x:v>
      </x:c>
      <x:c r="W198" t="str">
        <x:v>English</x:v>
      </x:c>
      <x:c r="X198"/>
      <x:c r="Y198" t="n">
        <x:v>3211</x:v>
      </x:c>
      <x:c r="Z198" s="17" t="n">
        <x:v>4.68</x:v>
      </x:c>
      <x:c r="AA198" s="16" t="n">
        <x:v>0.9163</x:v>
      </x:c>
      <x:c r="AB198" s="16" t="n">
        <x:v>0.9398</x:v>
      </x:c>
      <x:c r="AC198" s="16" t="n">
        <x:v>0.9482</x:v>
      </x:c>
      <x:c r="AD198" t="n">
        <x:v>0</x:v>
      </x:c>
      <x:c r="AE198" t="str">
        <x:f>IF(O198&lt;&gt;"ACTIVE","NOT_RATED",IF(AND(Z198&gt;=4.8,AB198&gt;=0.97,AC198&gt;=0.93,AD198=0),"ELITE",IF(AND(Z198&gt;=4.6,AB198&gt;=0.94,AC198&gt;=0.88),"HIGH_PERFORMER",IF(OR(Z198&lt;4.2,AB198&lt;0.85,AD198&gt;=2),"AT_RISK","STANDARD"))))</x:f>
        <x:v>STANDARD</x:v>
      </x:c>
      <x:c r="AF198" s="15" t="n">
        <x:v>46014</x:v>
      </x:c>
      <x:c r="AG198" t="str">
        <x:v>VERIFIED</x:v>
      </x:c>
      <x:c r="AH198" t="str">
        <x:v>COMPLETE</x:v>
      </x:c>
      <x:c r="AI198" t="str">
        <x:v>Sofia Wilson</x:v>
      </x:c>
      <x:c r="AJ198" t="str">
        <x:v>SPOUSE_PARTNER</x:v>
      </x:c>
      <x:c r="AK198" t="str">
        <x:v>+1 (303) 555-0195</x:v>
      </x:c>
    </x:row>
    <x:row r="199" ht="18" customHeight="1">
      <x:c r="A199" t="str">
        <x:v>DHR-00198</x:v>
      </x:c>
      <x:c r="B199" t="str">
        <x:v>Ethan Brown</x:v>
      </x:c>
      <x:c r="C199" t="str">
        <x:v>https://api.dicebear.com/9.x/adventurer/png?seed=DHR-00198-Ethan%20Brown&amp;size=256&amp;radius=50&amp;backgroundColor=b6e3f4,c0aede,d1d4f9,ffd5dc,ffdfbf</x:v>
      </x:c>
      <x:c r="D199" t="str">
        <x:v>ethan.brown.198@example.com</x:v>
      </x:c>
      <x:c r="E199" t="str">
        <x:v>+1 (503) 555-0197</x:v>
      </x:c>
      <x:c r="F199" t="str">
        <x:v>Portland, OR</x:v>
      </x:c>
      <x:c r="G199" t="str">
        <x:v>Portland</x:v>
      </x:c>
      <x:c r="H199" t="str">
        <x:v>OR</x:v>
      </x:c>
      <x:c r="I199" s="18" t="str">
        <x:v>97205</x:v>
      </x:c>
      <x:c r="J199" s="15" t="n">
        <x:v>23523.572415960647</x:v>
      </x:c>
      <x:c r="K199" t="n">
        <x:f>INT((DATE(2025,12,31)-J199)/365.25)</x:f>
        <x:v>61</x:v>
      </x:c>
      <x:c r="L199" t="str">
        <x:f>IF(K199&lt;25,"18-24",IF(K199&lt;35,"25-34",IF(K199&lt;45,"35-44",IF(K199&lt;55,"45-54","55+"))))</x:f>
        <x:v>55+</x:v>
      </x:c>
      <x:c r="M199" s="15" t="n">
        <x:v>45562.38498519676</x:v>
      </x:c>
      <x:c r="N199" t="n">
        <x:f>(YEAR(DATE(2025,12,31))-YEAR(M199))*12+MONTH(DATE(2025,12,31))-MONTH(M199)</x:f>
        <x:v>15</x:v>
      </x:c>
      <x:c r="O199" t="str">
        <x:v>ACTIVE</x:v>
      </x:c>
      <x:c r="P199" t="str">
        <x:v>INDEPENDENT_CONTRACTOR</x:v>
      </x:c>
      <x:c r="Q199" t="str">
        <x:v>CAR</x:v>
      </x:c>
      <x:c r="R199" t="str">
        <x:v>DINNER</x:v>
      </x:c>
      <x:c r="S199" t="n">
        <x:v>28</x:v>
      </x:c>
      <x:c r="T199" t="str">
        <x:v>CLEARED</x:v>
      </x:c>
      <x:c r="U199" t="str">
        <x:v>VALID</x:v>
      </x:c>
      <x:c r="V199" s="16" t="n">
        <x:v>0.8859</x:v>
      </x:c>
      <x:c r="W199" t="str">
        <x:v>English</x:v>
      </x:c>
      <x:c r="X199"/>
      <x:c r="Y199" t="n">
        <x:v>1235</x:v>
      </x:c>
      <x:c r="Z199" s="17" t="n">
        <x:v>4.33</x:v>
      </x:c>
      <x:c r="AA199" s="16" t="n">
        <x:v>0.6955</x:v>
      </x:c>
      <x:c r="AB199" s="16" t="n">
        <x:v>0.9556</x:v>
      </x:c>
      <x:c r="AC199" s="16" t="n">
        <x:v>0.8898</x:v>
      </x:c>
      <x:c r="AD199" t="n">
        <x:v>0</x:v>
      </x:c>
      <x:c r="AE199" t="str">
        <x:f>IF(O199&lt;&gt;"ACTIVE","NOT_RATED",IF(AND(Z199&gt;=4.8,AB199&gt;=0.97,AC199&gt;=0.93,AD199=0),"ELITE",IF(AND(Z199&gt;=4.6,AB199&gt;=0.94,AC199&gt;=0.88),"HIGH_PERFORMER",IF(OR(Z199&lt;4.2,AB199&lt;0.85,AD199&gt;=2),"AT_RISK","STANDARD"))))</x:f>
        <x:v>STANDARD</x:v>
      </x:c>
      <x:c r="AF199" s="15" t="n">
        <x:v>46012</x:v>
      </x:c>
      <x:c r="AG199" t="str">
        <x:v>VERIFIED</x:v>
      </x:c>
      <x:c r="AH199" t="str">
        <x:v>COMPLETE</x:v>
      </x:c>
      <x:c r="AI199" t="str">
        <x:v>Mia Young</x:v>
      </x:c>
      <x:c r="AJ199" t="str">
        <x:v>SPOUSE_PARTNER</x:v>
      </x:c>
      <x:c r="AK199" t="str">
        <x:v>+1 (503) 555-0102</x:v>
      </x:c>
    </x:row>
    <x:row r="200" ht="18" customHeight="1">
      <x:c r="A200" t="str">
        <x:v>DHR-00199</x:v>
      </x:c>
      <x:c r="B200" t="str">
        <x:v>Ethan Clark</x:v>
      </x:c>
      <x:c r="C200" t="str">
        <x:v>https://api.dicebear.com/9.x/adventurer/png?seed=DHR-00199-Ethan%20Clark&amp;size=256&amp;radius=50&amp;backgroundColor=b6e3f4,c0aede,d1d4f9,ffd5dc,ffdfbf</x:v>
      </x:c>
      <x:c r="D200" t="str">
        <x:v>ethan.clark.199@example.com</x:v>
      </x:c>
      <x:c r="E200" t="str">
        <x:v>+1 (704) 555-0198</x:v>
      </x:c>
      <x:c r="F200" t="str">
        <x:v>Charlotte, NC</x:v>
      </x:c>
      <x:c r="G200" t="str">
        <x:v>Charlotte</x:v>
      </x:c>
      <x:c r="H200" t="str">
        <x:v>NC</x:v>
      </x:c>
      <x:c r="I200" s="18" t="str">
        <x:v>28202</x:v>
      </x:c>
      <x:c r="J200" s="15" t="n">
        <x:v>28356.21985546296</x:v>
      </x:c>
      <x:c r="K200" t="n">
        <x:f>INT((DATE(2025,12,31)-J200)/365.25)</x:f>
        <x:v>48</x:v>
      </x:c>
      <x:c r="L200" t="str">
        <x:f>IF(K200&lt;25,"18-24",IF(K200&lt;35,"25-34",IF(K200&lt;45,"35-44",IF(K200&lt;55,"45-54","55+"))))</x:f>
        <x:v>45-54</x:v>
      </x:c>
      <x:c r="M200" s="15" t="n">
        <x:v>44942.59571530093</x:v>
      </x:c>
      <x:c r="N200" t="n">
        <x:f>(YEAR(DATE(2025,12,31))-YEAR(M200))*12+MONTH(DATE(2025,12,31))-MONTH(M200)</x:f>
        <x:v>35</x:v>
      </x:c>
      <x:c r="O200" t="str">
        <x:v>ACTIVE</x:v>
      </x:c>
      <x:c r="P200" t="str">
        <x:v>INDEPENDENT_CONTRACTOR</x:v>
      </x:c>
      <x:c r="Q200" t="str">
        <x:v>CAR</x:v>
      </x:c>
      <x:c r="R200" t="str">
        <x:v>FLEXIBLE</x:v>
      </x:c>
      <x:c r="S200" t="n">
        <x:v>36</x:v>
      </x:c>
      <x:c r="T200" t="str">
        <x:v>CLEARED</x:v>
      </x:c>
      <x:c r="U200" t="str">
        <x:v>VALID</x:v>
      </x:c>
      <x:c r="V200" s="16" t="n">
        <x:v>0.9239</x:v>
      </x:c>
      <x:c r="W200" t="str">
        <x:v>English</x:v>
      </x:c>
      <x:c r="X200" t="str">
        <x:v>Spanish</x:v>
      </x:c>
      <x:c r="Y200" t="n">
        <x:v>3606</x:v>
      </x:c>
      <x:c r="Z200" s="17" t="n">
        <x:v>4.15</x:v>
      </x:c>
      <x:c r="AA200" s="16" t="n">
        <x:v>0.8646</x:v>
      </x:c>
      <x:c r="AB200" s="16" t="n">
        <x:v>0.9716</x:v>
      </x:c>
      <x:c r="AC200" s="16" t="n">
        <x:v>0.8212</x:v>
      </x:c>
      <x:c r="AD200" t="n">
        <x:v>1</x:v>
      </x:c>
      <x:c r="AE200" t="str">
        <x:f>IF(O200&lt;&gt;"ACTIVE","NOT_RATED",IF(AND(Z200&gt;=4.8,AB200&gt;=0.97,AC200&gt;=0.93,AD200=0),"ELITE",IF(AND(Z200&gt;=4.6,AB200&gt;=0.94,AC200&gt;=0.88),"HIGH_PERFORMER",IF(OR(Z200&lt;4.2,AB200&lt;0.85,AD200&gt;=2),"AT_RISK","STANDARD"))))</x:f>
        <x:v>AT_RISK</x:v>
      </x:c>
      <x:c r="AF200" s="15" t="n">
        <x:v>46018</x:v>
      </x:c>
      <x:c r="AG200" t="str">
        <x:v>VERIFIED</x:v>
      </x:c>
      <x:c r="AH200" t="str">
        <x:v>COMPLETE</x:v>
      </x:c>
      <x:c r="AI200" t="str">
        <x:v>Parker Martinez</x:v>
      </x:c>
      <x:c r="AJ200" t="str">
        <x:v>SPOUSE_PARTNER</x:v>
      </x:c>
      <x:c r="AK200" t="str">
        <x:v>+1 (704) 555-0109</x:v>
      </x:c>
    </x:row>
    <x:row r="201" ht="18" customHeight="1">
      <x:c r="A201" t="str">
        <x:v>DHR-00200</x:v>
      </x:c>
      <x:c r="B201" t="str">
        <x:v>Ethan Davis</x:v>
      </x:c>
      <x:c r="C201" t="str">
        <x:v>https://api.dicebear.com/9.x/adventurer/png?seed=DHR-00200-Ethan%20Davis&amp;size=256&amp;radius=50&amp;backgroundColor=b6e3f4,c0aede,d1d4f9,ffd5dc,ffdfbf</x:v>
      </x:c>
      <x:c r="D201" t="str">
        <x:v>ethan.davis.200@example.com</x:v>
      </x:c>
      <x:c r="E201" t="str">
        <x:v>+1 (713) 555-0199</x:v>
      </x:c>
      <x:c r="F201" t="str">
        <x:v>Houston, TX</x:v>
      </x:c>
      <x:c r="G201" t="str">
        <x:v>Houston</x:v>
      </x:c>
      <x:c r="H201" t="str">
        <x:v>TX</x:v>
      </x:c>
      <x:c r="I201" s="18" t="str">
        <x:v>77002</x:v>
      </x:c>
      <x:c r="J201" s="15" t="n">
        <x:v>30797.7343525</x:v>
      </x:c>
      <x:c r="K201" t="n">
        <x:f>INT((DATE(2025,12,31)-J201)/365.25)</x:f>
        <x:v>41</x:v>
      </x:c>
      <x:c r="L201" t="str">
        <x:f>IF(K201&lt;25,"18-24",IF(K201&lt;35,"25-34",IF(K201&lt;45,"35-44",IF(K201&lt;55,"45-54","55+"))))</x:f>
        <x:v>35-44</x:v>
      </x:c>
      <x:c r="M201" s="15" t="n">
        <x:v>45389.27293337963</x:v>
      </x:c>
      <x:c r="N201" t="n">
        <x:f>(YEAR(DATE(2025,12,31))-YEAR(M201))*12+MONTH(DATE(2025,12,31))-MONTH(M201)</x:f>
        <x:v>20</x:v>
      </x:c>
      <x:c r="O201" t="str">
        <x:v>ACTIVE</x:v>
      </x:c>
      <x:c r="P201" t="str">
        <x:v>INDEPENDENT_CONTRACTOR</x:v>
      </x:c>
      <x:c r="Q201" t="str">
        <x:v>SCOOTER</x:v>
      </x:c>
      <x:c r="R201" t="str">
        <x:v>FLEXIBLE</x:v>
      </x:c>
      <x:c r="S201" t="n">
        <x:v>9</x:v>
      </x:c>
      <x:c r="T201" t="str">
        <x:v>CLEARED</x:v>
      </x:c>
      <x:c r="U201" t="str">
        <x:v>VALID</x:v>
      </x:c>
      <x:c r="V201" s="16" t="n">
        <x:v>0.9245</x:v>
      </x:c>
      <x:c r="W201" t="str">
        <x:v>Spanish</x:v>
      </x:c>
      <x:c r="X201"/>
      <x:c r="Y201" t="n">
        <x:v>379</x:v>
      </x:c>
      <x:c r="Z201" s="17" t="n">
        <x:v>4.83</x:v>
      </x:c>
      <x:c r="AA201" s="16" t="n">
        <x:v>0.6233</x:v>
      </x:c>
      <x:c r="AB201" s="16" t="n">
        <x:v>0.9935</x:v>
      </x:c>
      <x:c r="AC201" s="16" t="n">
        <x:v>0.8215</x:v>
      </x:c>
      <x:c r="AD201" t="n">
        <x:v>0</x:v>
      </x:c>
      <x:c r="AE201" t="str">
        <x:f>IF(O201&lt;&gt;"ACTIVE","NOT_RATED",IF(AND(Z201&gt;=4.8,AB201&gt;=0.97,AC201&gt;=0.93,AD201=0),"ELITE",IF(AND(Z201&gt;=4.6,AB201&gt;=0.94,AC201&gt;=0.88),"HIGH_PERFORMER",IF(OR(Z201&lt;4.2,AB201&lt;0.85,AD201&gt;=2),"AT_RISK","STANDARD"))))</x:f>
        <x:v>STANDARD</x:v>
      </x:c>
      <x:c r="AF201" s="15" t="n">
        <x:v>46013</x:v>
      </x:c>
      <x:c r="AG201" t="str">
        <x:v>VERIFIED</x:v>
      </x:c>
      <x:c r="AH201" t="str">
        <x:v>COMPLETE</x:v>
      </x:c>
      <x:c r="AI201" t="str">
        <x:v>Morgan Thompson</x:v>
      </x:c>
      <x:c r="AJ201" t="str">
        <x:v>PARENT</x:v>
      </x:c>
      <x:c r="AK201" t="str">
        <x:v>+1 (713) 555-0116</x:v>
      </x:c>
    </x:row>
    <x:row r="202" ht="18" customHeight="1">
      <x:c r="A202" t="str">
        <x:v>DHR-00201</x:v>
      </x:c>
      <x:c r="B202" t="str">
        <x:v>Ethan Garcia</x:v>
      </x:c>
      <x:c r="C202" t="str">
        <x:v>https://api.dicebear.com/9.x/adventurer/png?seed=DHR-00201-Ethan%20Garcia&amp;size=256&amp;radius=50&amp;backgroundColor=b6e3f4,c0aede,d1d4f9,ffd5dc,ffdfbf</x:v>
      </x:c>
      <x:c r="D202" t="str">
        <x:v>ethan.garcia.201@example.com</x:v>
      </x:c>
      <x:c r="E202" t="str">
        <x:v>+1 (214) 555-0100</x:v>
      </x:c>
      <x:c r="F202" t="str">
        <x:v>Dallas, TX</x:v>
      </x:c>
      <x:c r="G202" t="str">
        <x:v>Dallas</x:v>
      </x:c>
      <x:c r="H202" t="str">
        <x:v>TX</x:v>
      </x:c>
      <x:c r="I202" s="18" t="str">
        <x:v>75201</x:v>
      </x:c>
      <x:c r="J202" s="15" t="n">
        <x:v>28157.2980890625</x:v>
      </x:c>
      <x:c r="K202" t="n">
        <x:f>INT((DATE(2025,12,31)-J202)/365.25)</x:f>
        <x:v>48</x:v>
      </x:c>
      <x:c r="L202" t="str">
        <x:f>IF(K202&lt;25,"18-24",IF(K202&lt;35,"25-34",IF(K202&lt;45,"35-44",IF(K202&lt;55,"45-54","55+"))))</x:f>
        <x:v>45-54</x:v>
      </x:c>
      <x:c r="M202" s="15" t="n">
        <x:v>43749.16600834491</x:v>
      </x:c>
      <x:c r="N202" t="n">
        <x:f>(YEAR(DATE(2025,12,31))-YEAR(M202))*12+MONTH(DATE(2025,12,31))-MONTH(M202)</x:f>
        <x:v>74</x:v>
      </x:c>
      <x:c r="O202" t="str">
        <x:v>PAUSED</x:v>
      </x:c>
      <x:c r="P202" t="str">
        <x:v>INDEPENDENT_CONTRACTOR</x:v>
      </x:c>
      <x:c r="Q202" t="str">
        <x:v>CAR</x:v>
      </x:c>
      <x:c r="R202" t="str">
        <x:v>FLEXIBLE</x:v>
      </x:c>
      <x:c r="S202" t="n">
        <x:v>34</x:v>
      </x:c>
      <x:c r="T202" t="str">
        <x:v>CLEARED</x:v>
      </x:c>
      <x:c r="U202" t="str">
        <x:v>VALID</x:v>
      </x:c>
      <x:c r="V202" s="16" t="n">
        <x:v>0.7823</x:v>
      </x:c>
      <x:c r="W202" t="str">
        <x:v>Mandarin</x:v>
      </x:c>
      <x:c r="X202"/>
      <x:c r="Y202" t="n">
        <x:v>7877</x:v>
      </x:c>
      <x:c r="Z202" s="17" t="n">
        <x:v>4.98</x:v>
      </x:c>
      <x:c r="AA202" s="16" t="n">
        <x:v>0.7385</x:v>
      </x:c>
      <x:c r="AB202" s="16" t="n">
        <x:v>0.9758</x:v>
      </x:c>
      <x:c r="AC202" s="16" t="n">
        <x:v>0.995</x:v>
      </x:c>
      <x:c r="AD202" t="n">
        <x:v>0</x:v>
      </x:c>
      <x:c r="AE202" t="str">
        <x:f>IF(O202&lt;&gt;"ACTIVE","NOT_RATED",IF(AND(Z202&gt;=4.8,AB202&gt;=0.97,AC202&gt;=0.93,AD202=0),"ELITE",IF(AND(Z202&gt;=4.6,AB202&gt;=0.94,AC202&gt;=0.88),"HIGH_PERFORMER",IF(OR(Z202&lt;4.2,AB202&lt;0.85,AD202&gt;=2),"AT_RISK","STANDARD"))))</x:f>
        <x:v>NOT_RATED</x:v>
      </x:c>
      <x:c r="AF202" s="15" t="n">
        <x:v>45917</x:v>
      </x:c>
      <x:c r="AG202" t="str">
        <x:v>VERIFIED</x:v>
      </x:c>
      <x:c r="AH202" t="str">
        <x:v>COMPLETE</x:v>
      </x:c>
      <x:c r="AI202" t="str">
        <x:v>Reese Lewis</x:v>
      </x:c>
      <x:c r="AJ202" t="str">
        <x:v>SIBLING</x:v>
      </x:c>
      <x:c r="AK202" t="str">
        <x:v>+1 (214) 555-0123</x:v>
      </x:c>
    </x:row>
    <x:row r="203" ht="18" customHeight="1">
      <x:c r="A203" t="str">
        <x:v>DHR-00202</x:v>
      </x:c>
      <x:c r="B203" t="str">
        <x:v>Ethan Harris</x:v>
      </x:c>
      <x:c r="C203" t="str">
        <x:v>https://api.dicebear.com/9.x/adventurer/png?seed=DHR-00202-Ethan%20Harris&amp;size=256&amp;radius=50&amp;backgroundColor=b6e3f4,c0aede,d1d4f9,ffd5dc,ffdfbf</x:v>
      </x:c>
      <x:c r="D203" t="str">
        <x:v>ethan.harris.202@example.com</x:v>
      </x:c>
      <x:c r="E203" t="str">
        <x:v>+1 (214) 555-0101</x:v>
      </x:c>
      <x:c r="F203" t="str">
        <x:v>Dallas, TX</x:v>
      </x:c>
      <x:c r="G203" t="str">
        <x:v>Dallas</x:v>
      </x:c>
      <x:c r="H203" t="str">
        <x:v>TX</x:v>
      </x:c>
      <x:c r="I203" s="18" t="str">
        <x:v>75201</x:v>
      </x:c>
      <x:c r="J203" s="15" t="n">
        <x:v>30010.00361792824</x:v>
      </x:c>
      <x:c r="K203" t="n">
        <x:f>INT((DATE(2025,12,31)-J203)/365.25)</x:f>
        <x:v>43</x:v>
      </x:c>
      <x:c r="L203" t="str">
        <x:f>IF(K203&lt;25,"18-24",IF(K203&lt;35,"25-34",IF(K203&lt;45,"35-44",IF(K203&lt;55,"45-54","55+"))))</x:f>
        <x:v>35-44</x:v>
      </x:c>
      <x:c r="M203" s="15" t="n">
        <x:v>44796.3048016088</x:v>
      </x:c>
      <x:c r="N203" t="n">
        <x:f>(YEAR(DATE(2025,12,31))-YEAR(M203))*12+MONTH(DATE(2025,12,31))-MONTH(M203)</x:f>
        <x:v>40</x:v>
      </x:c>
      <x:c r="O203" t="str">
        <x:v>ACTIVE</x:v>
      </x:c>
      <x:c r="P203" t="str">
        <x:v>INDEPENDENT_CONTRACTOR</x:v>
      </x:c>
      <x:c r="Q203" t="str">
        <x:v>CAR</x:v>
      </x:c>
      <x:c r="R203" t="str">
        <x:v>DINNER</x:v>
      </x:c>
      <x:c r="S203" t="n">
        <x:v>38</x:v>
      </x:c>
      <x:c r="T203" t="str">
        <x:v>CLEARED</x:v>
      </x:c>
      <x:c r="U203" t="str">
        <x:v>VALID</x:v>
      </x:c>
      <x:c r="V203" s="16" t="n">
        <x:v>0.9918</x:v>
      </x:c>
      <x:c r="W203" t="str">
        <x:v>English</x:v>
      </x:c>
      <x:c r="X203"/>
      <x:c r="Y203" t="n">
        <x:v>5046</x:v>
      </x:c>
      <x:c r="Z203" s="17" t="n">
        <x:v>4.94</x:v>
      </x:c>
      <x:c r="AA203" s="16" t="n">
        <x:v>0.8054</x:v>
      </x:c>
      <x:c r="AB203" s="16" t="n">
        <x:v>0.9303</x:v>
      </x:c>
      <x:c r="AC203" s="16" t="n">
        <x:v>0.9442</x:v>
      </x:c>
      <x:c r="AD203" t="n">
        <x:v>0</x:v>
      </x:c>
      <x:c r="AE203" t="str">
        <x:f>IF(O203&lt;&gt;"ACTIVE","NOT_RATED",IF(AND(Z203&gt;=4.8,AB203&gt;=0.97,AC203&gt;=0.93,AD203=0),"ELITE",IF(AND(Z203&gt;=4.6,AB203&gt;=0.94,AC203&gt;=0.88),"HIGH_PERFORMER",IF(OR(Z203&lt;4.2,AB203&lt;0.85,AD203&gt;=2),"AT_RISK","STANDARD"))))</x:f>
        <x:v>STANDARD</x:v>
      </x:c>
      <x:c r="AF203" s="15" t="n">
        <x:v>46016</x:v>
      </x:c>
      <x:c r="AG203" t="str">
        <x:v>VERIFIED</x:v>
      </x:c>
      <x:c r="AH203" t="str">
        <x:v>COMPLETE</x:v>
      </x:c>
      <x:c r="AI203" t="str">
        <x:v>Hayden Young</x:v>
      </x:c>
      <x:c r="AJ203" t="str">
        <x:v>SIBLING</x:v>
      </x:c>
      <x:c r="AK203" t="str">
        <x:v>+1 (214) 555-0130</x:v>
      </x:c>
    </x:row>
    <x:row r="204" ht="18" customHeight="1">
      <x:c r="A204" t="str">
        <x:v>DHR-00203</x:v>
      </x:c>
      <x:c r="B204" t="str">
        <x:v>Ethan Jackson</x:v>
      </x:c>
      <x:c r="C204" t="str">
        <x:v>https://api.dicebear.com/9.x/adventurer/png?seed=DHR-00203-Ethan%20Jackson&amp;size=256&amp;radius=50&amp;backgroundColor=b6e3f4,c0aede,d1d4f9,ffd5dc,ffdfbf</x:v>
      </x:c>
      <x:c r="D204" t="str">
        <x:v>ethan.jackson.203@example.com</x:v>
      </x:c>
      <x:c r="E204" t="str">
        <x:v>+1 (404) 555-0102</x:v>
      </x:c>
      <x:c r="F204" t="str">
        <x:v>Atlanta, GA</x:v>
      </x:c>
      <x:c r="G204" t="str">
        <x:v>Atlanta</x:v>
      </x:c>
      <x:c r="H204" t="str">
        <x:v>GA</x:v>
      </x:c>
      <x:c r="I204" s="18" t="str">
        <x:v>30303</x:v>
      </x:c>
      <x:c r="J204" s="15" t="n">
        <x:v>27995.81958695602</x:v>
      </x:c>
      <x:c r="K204" t="n">
        <x:f>INT((DATE(2025,12,31)-J204)/365.25)</x:f>
        <x:v>49</x:v>
      </x:c>
      <x:c r="L204" t="str">
        <x:f>IF(K204&lt;25,"18-24",IF(K204&lt;35,"25-34",IF(K204&lt;45,"35-44",IF(K204&lt;55,"45-54","55+"))))</x:f>
        <x:v>45-54</x:v>
      </x:c>
      <x:c r="M204" s="15" t="n">
        <x:v>43536.85496898148</x:v>
      </x:c>
      <x:c r="N204" t="n">
        <x:f>(YEAR(DATE(2025,12,31))-YEAR(M204))*12+MONTH(DATE(2025,12,31))-MONTH(M204)</x:f>
        <x:v>81</x:v>
      </x:c>
      <x:c r="O204" t="str">
        <x:v>ACTIVE</x:v>
      </x:c>
      <x:c r="P204" t="str">
        <x:v>INDEPENDENT_CONTRACTOR</x:v>
      </x:c>
      <x:c r="Q204" t="str">
        <x:v>CAR</x:v>
      </x:c>
      <x:c r="R204" t="str">
        <x:v>DINNER</x:v>
      </x:c>
      <x:c r="S204" t="n">
        <x:v>10</x:v>
      </x:c>
      <x:c r="T204" t="str">
        <x:v>CLEARED</x:v>
      </x:c>
      <x:c r="U204" t="str">
        <x:v>VALID</x:v>
      </x:c>
      <x:c r="V204" s="16" t="n">
        <x:v>0.9215</x:v>
      </x:c>
      <x:c r="W204" t="str">
        <x:v>English</x:v>
      </x:c>
      <x:c r="X204"/>
      <x:c r="Y204" t="n">
        <x:v>1589</x:v>
      </x:c>
      <x:c r="Z204" s="17" t="n">
        <x:v>4.8</x:v>
      </x:c>
      <x:c r="AA204" s="16" t="n">
        <x:v>0.9795</x:v>
      </x:c>
      <x:c r="AB204" s="16" t="n">
        <x:v>0.998</x:v>
      </x:c>
      <x:c r="AC204" s="16" t="n">
        <x:v>0.9147</x:v>
      </x:c>
      <x:c r="AD204" t="n">
        <x:v>0</x:v>
      </x:c>
      <x:c r="AE204" t="str">
        <x:f>IF(O204&lt;&gt;"ACTIVE","NOT_RATED",IF(AND(Z204&gt;=4.8,AB204&gt;=0.97,AC204&gt;=0.93,AD204=0),"ELITE",IF(AND(Z204&gt;=4.6,AB204&gt;=0.94,AC204&gt;=0.88),"HIGH_PERFORMER",IF(OR(Z204&lt;4.2,AB204&lt;0.85,AD204&gt;=2),"AT_RISK","STANDARD"))))</x:f>
        <x:v>HIGH_PERFORMER</x:v>
      </x:c>
      <x:c r="AF204" s="15" t="n">
        <x:v>46010</x:v>
      </x:c>
      <x:c r="AG204" t="str">
        <x:v>VERIFIED</x:v>
      </x:c>
      <x:c r="AH204" t="str">
        <x:v>COMPLETE</x:v>
      </x:c>
      <x:c r="AI204" t="str">
        <x:v>Ethan Anderson</x:v>
      </x:c>
      <x:c r="AJ204" t="str">
        <x:v>SIBLING</x:v>
      </x:c>
      <x:c r="AK204" t="str">
        <x:v>+1 (404) 555-0137</x:v>
      </x:c>
    </x:row>
    <x:row r="205" ht="18" customHeight="1">
      <x:c r="A205" t="str">
        <x:v>DHR-00204</x:v>
      </x:c>
      <x:c r="B205" t="str">
        <x:v>Ethan Jones</x:v>
      </x:c>
      <x:c r="C205" t="str">
        <x:v>https://api.dicebear.com/9.x/adventurer/png?seed=DHR-00204-Ethan%20Jones&amp;size=256&amp;radius=50&amp;backgroundColor=b6e3f4,c0aede,d1d4f9,ffd5dc,ffdfbf</x:v>
      </x:c>
      <x:c r="D205" t="str">
        <x:v>ethan.jones.204@example.com</x:v>
      </x:c>
      <x:c r="E205" t="str">
        <x:v>+1 (305) 555-0103</x:v>
      </x:c>
      <x:c r="F205" t="str">
        <x:v>Miami, FL</x:v>
      </x:c>
      <x:c r="G205" t="str">
        <x:v>Miami</x:v>
      </x:c>
      <x:c r="H205" t="str">
        <x:v>FL</x:v>
      </x:c>
      <x:c r="I205" s="18" t="str">
        <x:v>33130</x:v>
      </x:c>
      <x:c r="J205" s="15" t="n">
        <x:v>30490.065162268518</x:v>
      </x:c>
      <x:c r="K205" t="n">
        <x:f>INT((DATE(2025,12,31)-J205)/365.25)</x:f>
        <x:v>42</x:v>
      </x:c>
      <x:c r="L205" t="str">
        <x:f>IF(K205&lt;25,"18-24",IF(K205&lt;35,"25-34",IF(K205&lt;45,"35-44",IF(K205&lt;55,"45-54","55+"))))</x:f>
        <x:v>35-44</x:v>
      </x:c>
      <x:c r="M205" s="15" t="n">
        <x:v>45060.91052121528</x:v>
      </x:c>
      <x:c r="N205" t="n">
        <x:f>(YEAR(DATE(2025,12,31))-YEAR(M205))*12+MONTH(DATE(2025,12,31))-MONTH(M205)</x:f>
        <x:v>31</x:v>
      </x:c>
      <x:c r="O205" t="str">
        <x:v>ACTIVE</x:v>
      </x:c>
      <x:c r="P205" t="str">
        <x:v>INDEPENDENT_CONTRACTOR</x:v>
      </x:c>
      <x:c r="Q205" t="str">
        <x:v>CAR</x:v>
      </x:c>
      <x:c r="R205" t="str">
        <x:v>DINNER</x:v>
      </x:c>
      <x:c r="S205" t="n">
        <x:v>34</x:v>
      </x:c>
      <x:c r="T205" t="str">
        <x:v>CLEARED</x:v>
      </x:c>
      <x:c r="U205" t="str">
        <x:v>VALID</x:v>
      </x:c>
      <x:c r="V205" s="16" t="n">
        <x:v>0.9313</x:v>
      </x:c>
      <x:c r="W205" t="str">
        <x:v>English</x:v>
      </x:c>
      <x:c r="X205"/>
      <x:c r="Y205" t="n">
        <x:v>3377</x:v>
      </x:c>
      <x:c r="Z205" s="17" t="n">
        <x:v>4.95</x:v>
      </x:c>
      <x:c r="AA205" s="16" t="n">
        <x:v>0.6333</x:v>
      </x:c>
      <x:c r="AB205" s="16" t="n">
        <x:v>0.979</x:v>
      </x:c>
      <x:c r="AC205" s="16" t="n">
        <x:v>0.884</x:v>
      </x:c>
      <x:c r="AD205" t="n">
        <x:v>0</x:v>
      </x:c>
      <x:c r="AE205" t="str">
        <x:f>IF(O205&lt;&gt;"ACTIVE","NOT_RATED",IF(AND(Z205&gt;=4.8,AB205&gt;=0.97,AC205&gt;=0.93,AD205=0),"ELITE",IF(AND(Z205&gt;=4.6,AB205&gt;=0.94,AC205&gt;=0.88),"HIGH_PERFORMER",IF(OR(Z205&lt;4.2,AB205&lt;0.85,AD205&gt;=2),"AT_RISK","STANDARD"))))</x:f>
        <x:v>HIGH_PERFORMER</x:v>
      </x:c>
      <x:c r="AF205" s="15" t="n">
        <x:v>46018</x:v>
      </x:c>
      <x:c r="AG205" t="str">
        <x:v>VERIFIED</x:v>
      </x:c>
      <x:c r="AH205" t="str">
        <x:v>COMPLETE</x:v>
      </x:c>
      <x:c r="AI205" t="str">
        <x:v>Olivia Garcia</x:v>
      </x:c>
      <x:c r="AJ205" t="str">
        <x:v>FRIEND</x:v>
      </x:c>
      <x:c r="AK205" t="str">
        <x:v>+1 (305) 555-0144</x:v>
      </x:c>
    </x:row>
    <x:row r="206" ht="18" customHeight="1">
      <x:c r="A206" t="str">
        <x:v>DHR-00205</x:v>
      </x:c>
      <x:c r="B206" t="str">
        <x:v>Ethan Lee</x:v>
      </x:c>
      <x:c r="C206" t="str">
        <x:v>https://api.dicebear.com/9.x/adventurer/png?seed=DHR-00205-Ethan%20Lee&amp;size=256&amp;radius=50&amp;backgroundColor=b6e3f4,c0aede,d1d4f9,ffd5dc,ffdfbf</x:v>
      </x:c>
      <x:c r="D206" t="str">
        <x:v>ethan.lee.205@example.com</x:v>
      </x:c>
      <x:c r="E206" t="str">
        <x:v>+1 (214) 555-0104</x:v>
      </x:c>
      <x:c r="F206" t="str">
        <x:v>Dallas, TX</x:v>
      </x:c>
      <x:c r="G206" t="str">
        <x:v>Dallas</x:v>
      </x:c>
      <x:c r="H206" t="str">
        <x:v>TX</x:v>
      </x:c>
      <x:c r="I206" s="18" t="str">
        <x:v>75201</x:v>
      </x:c>
      <x:c r="J206" s="15" t="n">
        <x:v>23635.101290474537</x:v>
      </x:c>
      <x:c r="K206" t="n">
        <x:f>INT((DATE(2025,12,31)-J206)/365.25)</x:f>
        <x:v>61</x:v>
      </x:c>
      <x:c r="L206" t="str">
        <x:f>IF(K206&lt;25,"18-24",IF(K206&lt;35,"25-34",IF(K206&lt;45,"35-44",IF(K206&lt;55,"45-54","55+"))))</x:f>
        <x:v>55+</x:v>
      </x:c>
      <x:c r="M206" s="15" t="n">
        <x:v>44581.86843504629</x:v>
      </x:c>
      <x:c r="N206" t="n">
        <x:f>(YEAR(DATE(2025,12,31))-YEAR(M206))*12+MONTH(DATE(2025,12,31))-MONTH(M206)</x:f>
        <x:v>47</x:v>
      </x:c>
      <x:c r="O206" t="str">
        <x:v>OFFBOARDED</x:v>
      </x:c>
      <x:c r="P206" t="str">
        <x:v>INDEPENDENT_CONTRACTOR</x:v>
      </x:c>
      <x:c r="Q206" t="str">
        <x:v>CAR</x:v>
      </x:c>
      <x:c r="R206" t="str">
        <x:v>FLEXIBLE</x:v>
      </x:c>
      <x:c r="S206" t="n">
        <x:v>40</x:v>
      </x:c>
      <x:c r="T206" t="str">
        <x:v>CLEARED</x:v>
      </x:c>
      <x:c r="U206" t="str">
        <x:v>VALID</x:v>
      </x:c>
      <x:c r="V206" s="16" t="n">
        <x:v>0.8346</x:v>
      </x:c>
      <x:c r="W206" t="str">
        <x:v>Portuguese</x:v>
      </x:c>
      <x:c r="X206" t="str">
        <x:v>Arabic</x:v>
      </x:c>
      <x:c r="Y206" t="n">
        <x:v>5680</x:v>
      </x:c>
      <x:c r="Z206" s="17" t="n">
        <x:v>4.53</x:v>
      </x:c>
      <x:c r="AA206" s="16" t="n">
        <x:v>0.684</x:v>
      </x:c>
      <x:c r="AB206" s="16" t="n">
        <x:v>0.909</x:v>
      </x:c>
      <x:c r="AC206" s="16" t="n">
        <x:v>0.8794</x:v>
      </x:c>
      <x:c r="AD206" t="n">
        <x:v>0</x:v>
      </x:c>
      <x:c r="AE206" t="str">
        <x:f>IF(O206&lt;&gt;"ACTIVE","NOT_RATED",IF(AND(Z206&gt;=4.8,AB206&gt;=0.97,AC206&gt;=0.93,AD206=0),"ELITE",IF(AND(Z206&gt;=4.6,AB206&gt;=0.94,AC206&gt;=0.88),"HIGH_PERFORMER",IF(OR(Z206&lt;4.2,AB206&lt;0.85,AD206&gt;=2),"AT_RISK","STANDARD"))))</x:f>
        <x:v>NOT_RATED</x:v>
      </x:c>
      <x:c r="AF206" s="15" t="n">
        <x:v>45585</x:v>
      </x:c>
      <x:c r="AG206" t="str">
        <x:v>VERIFIED</x:v>
      </x:c>
      <x:c r="AH206" t="str">
        <x:v>COMPLETE</x:v>
      </x:c>
      <x:c r="AI206" t="str">
        <x:v>Ava Anderson</x:v>
      </x:c>
      <x:c r="AJ206" t="str">
        <x:v>SPOUSE_PARTNER</x:v>
      </x:c>
      <x:c r="AK206" t="str">
        <x:v>+1 (214) 555-0151</x:v>
      </x:c>
    </x:row>
    <x:row r="207" ht="18" customHeight="1">
      <x:c r="A207" t="str">
        <x:v>DHR-00206</x:v>
      </x:c>
      <x:c r="B207" t="str">
        <x:v>Ethan Lewis</x:v>
      </x:c>
      <x:c r="C207" t="str">
        <x:v>https://api.dicebear.com/9.x/adventurer/png?seed=DHR-00206-Ethan%20Lewis&amp;size=256&amp;radius=50&amp;backgroundColor=b6e3f4,c0aede,d1d4f9,ffd5dc,ffdfbf</x:v>
      </x:c>
      <x:c r="D207" t="str">
        <x:v>ethan.lewis.206@example.com</x:v>
      </x:c>
      <x:c r="E207" t="str">
        <x:v>+1 (214) 555-0105</x:v>
      </x:c>
      <x:c r="F207" t="str">
        <x:v>Dallas, TX</x:v>
      </x:c>
      <x:c r="G207" t="str">
        <x:v>Dallas</x:v>
      </x:c>
      <x:c r="H207" t="str">
        <x:v>TX</x:v>
      </x:c>
      <x:c r="I207" s="18" t="str">
        <x:v>75201</x:v>
      </x:c>
      <x:c r="J207" s="15" t="n">
        <x:v>26810.366601134258</x:v>
      </x:c>
      <x:c r="K207" t="n">
        <x:f>INT((DATE(2025,12,31)-J207)/365.25)</x:f>
        <x:v>52</x:v>
      </x:c>
      <x:c r="L207" t="str">
        <x:f>IF(K207&lt;25,"18-24",IF(K207&lt;35,"25-34",IF(K207&lt;45,"35-44",IF(K207&lt;55,"45-54","55+"))))</x:f>
        <x:v>45-54</x:v>
      </x:c>
      <x:c r="M207" s="15" t="n">
        <x:v>44300.79583988426</x:v>
      </x:c>
      <x:c r="N207" t="n">
        <x:f>(YEAR(DATE(2025,12,31))-YEAR(M207))*12+MONTH(DATE(2025,12,31))-MONTH(M207)</x:f>
        <x:v>56</x:v>
      </x:c>
      <x:c r="O207" t="str">
        <x:v>ACTIVE</x:v>
      </x:c>
      <x:c r="P207" t="str">
        <x:v>INDEPENDENT_CONTRACTOR</x:v>
      </x:c>
      <x:c r="Q207" t="str">
        <x:v>CAR</x:v>
      </x:c>
      <x:c r="R207" t="str">
        <x:v>DINNER</x:v>
      </x:c>
      <x:c r="S207" t="n">
        <x:v>32</x:v>
      </x:c>
      <x:c r="T207" t="str">
        <x:v>CLEARED</x:v>
      </x:c>
      <x:c r="U207" t="str">
        <x:v>VALID</x:v>
      </x:c>
      <x:c r="V207" s="16" t="n">
        <x:v>0.9352</x:v>
      </x:c>
      <x:c r="W207" t="str">
        <x:v>Spanish</x:v>
      </x:c>
      <x:c r="X207"/>
      <x:c r="Y207" t="n">
        <x:v>5069</x:v>
      </x:c>
      <x:c r="Z207" s="17" t="n">
        <x:v>4.79</x:v>
      </x:c>
      <x:c r="AA207" s="16" t="n">
        <x:v>0.8024</x:v>
      </x:c>
      <x:c r="AB207" s="16" t="n">
        <x:v>0.9023</x:v>
      </x:c>
      <x:c r="AC207" s="16" t="n">
        <x:v>0.9888</x:v>
      </x:c>
      <x:c r="AD207" t="n">
        <x:v>0</x:v>
      </x:c>
      <x:c r="AE207" t="str">
        <x:f>IF(O207&lt;&gt;"ACTIVE","NOT_RATED",IF(AND(Z207&gt;=4.8,AB207&gt;=0.97,AC207&gt;=0.93,AD207=0),"ELITE",IF(AND(Z207&gt;=4.6,AB207&gt;=0.94,AC207&gt;=0.88),"HIGH_PERFORMER",IF(OR(Z207&lt;4.2,AB207&lt;0.85,AD207&gt;=2),"AT_RISK","STANDARD"))))</x:f>
        <x:v>STANDARD</x:v>
      </x:c>
      <x:c r="AF207" s="15" t="n">
        <x:v>46018</x:v>
      </x:c>
      <x:c r="AG207" t="str">
        <x:v>VERIFIED</x:v>
      </x:c>
      <x:c r="AH207" t="str">
        <x:v>COMPLETE</x:v>
      </x:c>
      <x:c r="AI207" t="str">
        <x:v>Mia Garcia</x:v>
      </x:c>
      <x:c r="AJ207" t="str">
        <x:v>SPOUSE_PARTNER</x:v>
      </x:c>
      <x:c r="AK207" t="str">
        <x:v>+1 (214) 555-0158</x:v>
      </x:c>
    </x:row>
    <x:row r="208" ht="18" customHeight="1">
      <x:c r="A208" t="str">
        <x:v>DHR-00207</x:v>
      </x:c>
      <x:c r="B208" t="str">
        <x:v>Ethan Martinez</x:v>
      </x:c>
      <x:c r="C208" t="str">
        <x:v>https://api.dicebear.com/9.x/adventurer/png?seed=DHR-00207-Ethan%20Martinez&amp;size=256&amp;radius=50&amp;backgroundColor=b6e3f4,c0aede,d1d4f9,ffd5dc,ffdfbf</x:v>
      </x:c>
      <x:c r="D208" t="str">
        <x:v>ethan.martinez.207@example.com</x:v>
      </x:c>
      <x:c r="E208" t="str">
        <x:v>+1 (213) 555-0106</x:v>
      </x:c>
      <x:c r="F208" t="str">
        <x:v>Los Angeles, CA</x:v>
      </x:c>
      <x:c r="G208" t="str">
        <x:v>Los Angeles</x:v>
      </x:c>
      <x:c r="H208" t="str">
        <x:v>CA</x:v>
      </x:c>
      <x:c r="I208" s="18" t="str">
        <x:v>90012</x:v>
      </x:c>
      <x:c r="J208" s="15" t="n">
        <x:v>37977.889578125</x:v>
      </x:c>
      <x:c r="K208" t="n">
        <x:f>INT((DATE(2025,12,31)-J208)/365.25)</x:f>
        <x:v>22</x:v>
      </x:c>
      <x:c r="L208" t="str">
        <x:f>IF(K208&lt;25,"18-24",IF(K208&lt;35,"25-34",IF(K208&lt;45,"35-44",IF(K208&lt;55,"45-54","55+"))))</x:f>
        <x:v>18-24</x:v>
      </x:c>
      <x:c r="M208" s="15" t="n">
        <x:v>45910.71346100695</x:v>
      </x:c>
      <x:c r="N208" t="n">
        <x:f>(YEAR(DATE(2025,12,31))-YEAR(M208))*12+MONTH(DATE(2025,12,31))-MONTH(M208)</x:f>
        <x:v>3</x:v>
      </x:c>
      <x:c r="O208" t="str">
        <x:v>ACTIVE</x:v>
      </x:c>
      <x:c r="P208" t="str">
        <x:v>INDEPENDENT_CONTRACTOR</x:v>
      </x:c>
      <x:c r="Q208" t="str">
        <x:v>BICYCLE</x:v>
      </x:c>
      <x:c r="R208" t="str">
        <x:v>WEEKENDS</x:v>
      </x:c>
      <x:c r="S208" t="n">
        <x:v>48</x:v>
      </x:c>
      <x:c r="T208" t="str">
        <x:v>CLEARED</x:v>
      </x:c>
      <x:c r="U208" t="str">
        <x:v>NOT_REQUIRED</x:v>
      </x:c>
      <x:c r="V208" s="16" t="n">
        <x:v>0.9204</x:v>
      </x:c>
      <x:c r="W208" t="str">
        <x:v>English</x:v>
      </x:c>
      <x:c r="X208" t="str">
        <x:v>Spanish</x:v>
      </x:c>
      <x:c r="Y208" t="n">
        <x:v>384</x:v>
      </x:c>
      <x:c r="Z208" s="17" t="n">
        <x:v>4.79</x:v>
      </x:c>
      <x:c r="AA208" s="16" t="n">
        <x:v>0.777</x:v>
      </x:c>
      <x:c r="AB208" s="16" t="n">
        <x:v>0.9329</x:v>
      </x:c>
      <x:c r="AC208" s="16" t="n">
        <x:v>0.9453</x:v>
      </x:c>
      <x:c r="AD208" t="n">
        <x:v>0</x:v>
      </x:c>
      <x:c r="AE208" t="str">
        <x:f>IF(O208&lt;&gt;"ACTIVE","NOT_RATED",IF(AND(Z208&gt;=4.8,AB208&gt;=0.97,AC208&gt;=0.93,AD208=0),"ELITE",IF(AND(Z208&gt;=4.6,AB208&gt;=0.94,AC208&gt;=0.88),"HIGH_PERFORMER",IF(OR(Z208&lt;4.2,AB208&lt;0.85,AD208&gt;=2),"AT_RISK","STANDARD"))))</x:f>
        <x:v>STANDARD</x:v>
      </x:c>
      <x:c r="AF208" s="15" t="n">
        <x:v>46012</x:v>
      </x:c>
      <x:c r="AG208" t="str">
        <x:v>VERIFIED</x:v>
      </x:c>
      <x:c r="AH208" t="str">
        <x:v>PENDING</x:v>
      </x:c>
      <x:c r="AI208" t="str">
        <x:v>Quinn Johnson</x:v>
      </x:c>
      <x:c r="AJ208" t="str">
        <x:v>OTHER</x:v>
      </x:c>
      <x:c r="AK208" t="str">
        <x:v>+1 (213) 555-0165</x:v>
      </x:c>
    </x:row>
    <x:row r="209" ht="18" customHeight="1">
      <x:c r="A209" t="str">
        <x:v>DHR-00208</x:v>
      </x:c>
      <x:c r="B209" t="str">
        <x:v>Ethan Miller</x:v>
      </x:c>
      <x:c r="C209" t="str">
        <x:v>https://api.dicebear.com/9.x/adventurer/png?seed=DHR-00208-Ethan%20Miller&amp;size=256&amp;radius=50&amp;backgroundColor=b6e3f4,c0aede,d1d4f9,ffd5dc,ffdfbf</x:v>
      </x:c>
      <x:c r="D209" t="str">
        <x:v>ethan.miller.208@example.com</x:v>
      </x:c>
      <x:c r="E209" t="str">
        <x:v>+1 (305) 555-0107</x:v>
      </x:c>
      <x:c r="F209" t="str">
        <x:v>Miami, FL</x:v>
      </x:c>
      <x:c r="G209" t="str">
        <x:v>Miami</x:v>
      </x:c>
      <x:c r="H209" t="str">
        <x:v>FL</x:v>
      </x:c>
      <x:c r="I209" s="18" t="str">
        <x:v>33130</x:v>
      </x:c>
      <x:c r="J209" s="15" t="n">
        <x:v>32718.981555520833</x:v>
      </x:c>
      <x:c r="K209" t="n">
        <x:f>INT((DATE(2025,12,31)-J209)/365.25)</x:f>
        <x:v>36</x:v>
      </x:c>
      <x:c r="L209" t="str">
        <x:f>IF(K209&lt;25,"18-24",IF(K209&lt;35,"25-34",IF(K209&lt;45,"35-44",IF(K209&lt;55,"45-54","55+"))))</x:f>
        <x:v>35-44</x:v>
      </x:c>
      <x:c r="M209" s="15" t="n">
        <x:v>45908.257465648145</x:v>
      </x:c>
      <x:c r="N209" t="n">
        <x:f>(YEAR(DATE(2025,12,31))-YEAR(M209))*12+MONTH(DATE(2025,12,31))-MONTH(M209)</x:f>
        <x:v>3</x:v>
      </x:c>
      <x:c r="O209" t="str">
        <x:v>ACTIVE</x:v>
      </x:c>
      <x:c r="P209" t="str">
        <x:v>INDEPENDENT_CONTRACTOR</x:v>
      </x:c>
      <x:c r="Q209" t="str">
        <x:v>CAR</x:v>
      </x:c>
      <x:c r="R209" t="str">
        <x:v>DINNER</x:v>
      </x:c>
      <x:c r="S209" t="n">
        <x:v>30</x:v>
      </x:c>
      <x:c r="T209" t="str">
        <x:v>CLEARED</x:v>
      </x:c>
      <x:c r="U209" t="str">
        <x:v>VALID</x:v>
      </x:c>
      <x:c r="V209" s="16" t="n">
        <x:v>0.7847</x:v>
      </x:c>
      <x:c r="W209" t="str">
        <x:v>English</x:v>
      </x:c>
      <x:c r="X209"/>
      <x:c r="Y209" t="n">
        <x:v>320</x:v>
      </x:c>
      <x:c r="Z209" s="17" t="n">
        <x:v>4.47</x:v>
      </x:c>
      <x:c r="AA209" s="16" t="n">
        <x:v>0.7474</x:v>
      </x:c>
      <x:c r="AB209" s="16" t="n">
        <x:v>0.9028</x:v>
      </x:c>
      <x:c r="AC209" s="16" t="n">
        <x:v>0.941</x:v>
      </x:c>
      <x:c r="AD209" t="n">
        <x:v>0</x:v>
      </x:c>
      <x:c r="AE209" t="str">
        <x:f>IF(O209&lt;&gt;"ACTIVE","NOT_RATED",IF(AND(Z209&gt;=4.8,AB209&gt;=0.97,AC209&gt;=0.93,AD209=0),"ELITE",IF(AND(Z209&gt;=4.6,AB209&gt;=0.94,AC209&gt;=0.88),"HIGH_PERFORMER",IF(OR(Z209&lt;4.2,AB209&lt;0.85,AD209&gt;=2),"AT_RISK","STANDARD"))))</x:f>
        <x:v>STANDARD</x:v>
      </x:c>
      <x:c r="AF209" s="15" t="n">
        <x:v>46014</x:v>
      </x:c>
      <x:c r="AG209" t="str">
        <x:v>VERIFIED</x:v>
      </x:c>
      <x:c r="AH209" t="str">
        <x:v>COMPLETE</x:v>
      </x:c>
      <x:c r="AI209" t="str">
        <x:v>Casey Thomas</x:v>
      </x:c>
      <x:c r="AJ209" t="str">
        <x:v>SIBLING</x:v>
      </x:c>
      <x:c r="AK209" t="str">
        <x:v>+1 (305) 555-0172</x:v>
      </x:c>
    </x:row>
    <x:row r="210" ht="18" customHeight="1">
      <x:c r="A210" t="str">
        <x:v>DHR-00209</x:v>
      </x:c>
      <x:c r="B210" t="str">
        <x:v>Ethan Moore</x:v>
      </x:c>
      <x:c r="C210" t="str">
        <x:v>https://api.dicebear.com/9.x/adventurer/png?seed=DHR-00209-Ethan%20Moore&amp;size=256&amp;radius=50&amp;backgroundColor=b6e3f4,c0aede,d1d4f9,ffd5dc,ffdfbf</x:v>
      </x:c>
      <x:c r="D210" t="str">
        <x:v>ethan.moore.209@example.com</x:v>
      </x:c>
      <x:c r="E210" t="str">
        <x:v>+1 (704) 555-0108</x:v>
      </x:c>
      <x:c r="F210" t="str">
        <x:v>Charlotte, NC</x:v>
      </x:c>
      <x:c r="G210" t="str">
        <x:v>Charlotte</x:v>
      </x:c>
      <x:c r="H210" t="str">
        <x:v>NC</x:v>
      </x:c>
      <x:c r="I210" s="18" t="str">
        <x:v>28202</x:v>
      </x:c>
      <x:c r="J210" s="15" t="n">
        <x:v>36335.90788006945</x:v>
      </x:c>
      <x:c r="K210" t="n">
        <x:f>INT((DATE(2025,12,31)-J210)/365.25)</x:f>
        <x:v>26</x:v>
      </x:c>
      <x:c r="L210" t="str">
        <x:f>IF(K210&lt;25,"18-24",IF(K210&lt;35,"25-34",IF(K210&lt;45,"35-44",IF(K210&lt;55,"45-54","55+"))))</x:f>
        <x:v>25-34</x:v>
      </x:c>
      <x:c r="M210" s="15" t="n">
        <x:v>45287.085632800925</x:v>
      </x:c>
      <x:c r="N210" t="n">
        <x:f>(YEAR(DATE(2025,12,31))-YEAR(M210))*12+MONTH(DATE(2025,12,31))-MONTH(M210)</x:f>
        <x:v>24</x:v>
      </x:c>
      <x:c r="O210" t="str">
        <x:v>ACTIVE</x:v>
      </x:c>
      <x:c r="P210" t="str">
        <x:v>INDEPENDENT_CONTRACTOR</x:v>
      </x:c>
      <x:c r="Q210" t="str">
        <x:v>CAR</x:v>
      </x:c>
      <x:c r="R210" t="str">
        <x:v>DINNER</x:v>
      </x:c>
      <x:c r="S210" t="n">
        <x:v>44</x:v>
      </x:c>
      <x:c r="T210" t="str">
        <x:v>CLEARED</x:v>
      </x:c>
      <x:c r="U210" t="str">
        <x:v>VALID</x:v>
      </x:c>
      <x:c r="V210" s="16" t="n">
        <x:v>0.8612</x:v>
      </x:c>
      <x:c r="W210" t="str">
        <x:v>English</x:v>
      </x:c>
      <x:c r="X210" t="str">
        <x:v>Arabic</x:v>
      </x:c>
      <x:c r="Y210" t="n">
        <x:v>2915</x:v>
      </x:c>
      <x:c r="Z210" s="17" t="n">
        <x:v>4.95</x:v>
      </x:c>
      <x:c r="AA210" s="16" t="n">
        <x:v>0.7243</x:v>
      </x:c>
      <x:c r="AB210" s="16" t="n">
        <x:v>0.9353</x:v>
      </x:c>
      <x:c r="AC210" s="16" t="n">
        <x:v>0.9759</x:v>
      </x:c>
      <x:c r="AD210" t="n">
        <x:v>0</x:v>
      </x:c>
      <x:c r="AE210" t="str">
        <x:f>IF(O210&lt;&gt;"ACTIVE","NOT_RATED",IF(AND(Z210&gt;=4.8,AB210&gt;=0.97,AC210&gt;=0.93,AD210=0),"ELITE",IF(AND(Z210&gt;=4.6,AB210&gt;=0.94,AC210&gt;=0.88),"HIGH_PERFORMER",IF(OR(Z210&lt;4.2,AB210&lt;0.85,AD210&gt;=2),"AT_RISK","STANDARD"))))</x:f>
        <x:v>STANDARD</x:v>
      </x:c>
      <x:c r="AF210" s="15" t="n">
        <x:v>46015</x:v>
      </x:c>
      <x:c r="AG210" t="str">
        <x:v>VERIFIED</x:v>
      </x:c>
      <x:c r="AH210" t="str">
        <x:v>COMPLETE</x:v>
      </x:c>
      <x:c r="AI210" t="str">
        <x:v>Jamie Williams</x:v>
      </x:c>
      <x:c r="AJ210" t="str">
        <x:v>PARENT</x:v>
      </x:c>
      <x:c r="AK210" t="str">
        <x:v>+1 (704) 555-0179</x:v>
      </x:c>
    </x:row>
    <x:row r="211" ht="18" customHeight="1">
      <x:c r="A211" t="str">
        <x:v>DHR-00210</x:v>
      </x:c>
      <x:c r="B211" t="str">
        <x:v>Ethan Perez</x:v>
      </x:c>
      <x:c r="C211" t="str">
        <x:v>https://api.dicebear.com/9.x/adventurer/png?seed=DHR-00210-Ethan%20Perez&amp;size=256&amp;radius=50&amp;backgroundColor=b6e3f4,c0aede,d1d4f9,ffd5dc,ffdfbf</x:v>
      </x:c>
      <x:c r="D211" t="str">
        <x:v>ethan.perez.210@example.com</x:v>
      </x:c>
      <x:c r="E211" t="str">
        <x:v>+1 (615) 555-0109</x:v>
      </x:c>
      <x:c r="F211" t="str">
        <x:v>Nashville, TN</x:v>
      </x:c>
      <x:c r="G211" t="str">
        <x:v>Nashville</x:v>
      </x:c>
      <x:c r="H211" t="str">
        <x:v>TN</x:v>
      </x:c>
      <x:c r="I211" s="18" t="str">
        <x:v>37219</x:v>
      </x:c>
      <x:c r="J211" s="15" t="n">
        <x:v>28285.7973365625</x:v>
      </x:c>
      <x:c r="K211" t="n">
        <x:f>INT((DATE(2025,12,31)-J211)/365.25)</x:f>
        <x:v>48</x:v>
      </x:c>
      <x:c r="L211" t="str">
        <x:f>IF(K211&lt;25,"18-24",IF(K211&lt;35,"25-34",IF(K211&lt;45,"35-44",IF(K211&lt;55,"45-54","55+"))))</x:f>
        <x:v>45-54</x:v>
      </x:c>
      <x:c r="M211" s="15" t="n">
        <x:v>43953.47760572917</x:v>
      </x:c>
      <x:c r="N211" t="n">
        <x:f>(YEAR(DATE(2025,12,31))-YEAR(M211))*12+MONTH(DATE(2025,12,31))-MONTH(M211)</x:f>
        <x:v>67</x:v>
      </x:c>
      <x:c r="O211" t="str">
        <x:v>OFFBOARDED</x:v>
      </x:c>
      <x:c r="P211" t="str">
        <x:v>INDEPENDENT_CONTRACTOR</x:v>
      </x:c>
      <x:c r="Q211" t="str">
        <x:v>CAR</x:v>
      </x:c>
      <x:c r="R211" t="str">
        <x:v>DINNER</x:v>
      </x:c>
      <x:c r="S211" t="n">
        <x:v>37</x:v>
      </x:c>
      <x:c r="T211" t="str">
        <x:v>CLEARED</x:v>
      </x:c>
      <x:c r="U211" t="str">
        <x:v>VALID</x:v>
      </x:c>
      <x:c r="V211" s="16" t="n">
        <x:v>0.8938</x:v>
      </x:c>
      <x:c r="W211" t="str">
        <x:v>English</x:v>
      </x:c>
      <x:c r="X211"/>
      <x:c r="Y211" t="n">
        <x:v>7601</x:v>
      </x:c>
      <x:c r="Z211" s="17" t="n">
        <x:v>4.27</x:v>
      </x:c>
      <x:c r="AA211" s="16" t="n">
        <x:v>0.8966</x:v>
      </x:c>
      <x:c r="AB211" s="16" t="n">
        <x:v>0.998</x:v>
      </x:c>
      <x:c r="AC211" s="16" t="n">
        <x:v>0.8581</x:v>
      </x:c>
      <x:c r="AD211" t="n">
        <x:v>0</x:v>
      </x:c>
      <x:c r="AE211" t="str">
        <x:f>IF(O211&lt;&gt;"ACTIVE","NOT_RATED",IF(AND(Z211&gt;=4.8,AB211&gt;=0.97,AC211&gt;=0.93,AD211=0),"ELITE",IF(AND(Z211&gt;=4.6,AB211&gt;=0.94,AC211&gt;=0.88),"HIGH_PERFORMER",IF(OR(Z211&lt;4.2,AB211&lt;0.85,AD211&gt;=2),"AT_RISK","STANDARD"))))</x:f>
        <x:v>NOT_RATED</x:v>
      </x:c>
      <x:c r="AF211" s="15" t="n">
        <x:v>45770</x:v>
      </x:c>
      <x:c r="AG211" t="str">
        <x:v>VERIFIED</x:v>
      </x:c>
      <x:c r="AH211" t="str">
        <x:v>COMPLETE</x:v>
      </x:c>
      <x:c r="AI211" t="str">
        <x:v>Avery Johnson</x:v>
      </x:c>
      <x:c r="AJ211" t="str">
        <x:v>PARENT</x:v>
      </x:c>
      <x:c r="AK211" t="str">
        <x:v>+1 (615) 555-0186</x:v>
      </x:c>
    </x:row>
    <x:row r="212" ht="18" customHeight="1">
      <x:c r="A212" t="str">
        <x:v>DHR-00211</x:v>
      </x:c>
      <x:c r="B212" t="str">
        <x:v>Ethan Rodriguez</x:v>
      </x:c>
      <x:c r="C212" t="str">
        <x:v>https://api.dicebear.com/9.x/adventurer/png?seed=DHR-00211-Ethan%20Rodriguez&amp;size=256&amp;radius=50&amp;backgroundColor=b6e3f4,c0aede,d1d4f9,ffd5dc,ffdfbf</x:v>
      </x:c>
      <x:c r="D212" t="str">
        <x:v>ethan.rodriguez.211@example.com</x:v>
      </x:c>
      <x:c r="E212" t="str">
        <x:v>+1 (404) 555-0110</x:v>
      </x:c>
      <x:c r="F212" t="str">
        <x:v>Atlanta, GA</x:v>
      </x:c>
      <x:c r="G212" t="str">
        <x:v>Atlanta</x:v>
      </x:c>
      <x:c r="H212" t="str">
        <x:v>GA</x:v>
      </x:c>
      <x:c r="I212" s="18" t="str">
        <x:v>30303</x:v>
      </x:c>
      <x:c r="J212" s="15" t="n">
        <x:v>28037.4248553125</x:v>
      </x:c>
      <x:c r="K212" t="n">
        <x:f>INT((DATE(2025,12,31)-J212)/365.25)</x:f>
        <x:v>49</x:v>
      </x:c>
      <x:c r="L212" t="str">
        <x:f>IF(K212&lt;25,"18-24",IF(K212&lt;35,"25-34",IF(K212&lt;45,"35-44",IF(K212&lt;55,"45-54","55+"))))</x:f>
        <x:v>45-54</x:v>
      </x:c>
      <x:c r="M212" s="15" t="n">
        <x:v>43912.34504664352</x:v>
      </x:c>
      <x:c r="N212" t="n">
        <x:f>(YEAR(DATE(2025,12,31))-YEAR(M212))*12+MONTH(DATE(2025,12,31))-MONTH(M212)</x:f>
        <x:v>69</x:v>
      </x:c>
      <x:c r="O212" t="str">
        <x:v>ACTIVE</x:v>
      </x:c>
      <x:c r="P212" t="str">
        <x:v>INDEPENDENT_CONTRACTOR</x:v>
      </x:c>
      <x:c r="Q212" t="str">
        <x:v>CAR</x:v>
      </x:c>
      <x:c r="R212" t="str">
        <x:v>FLEXIBLE</x:v>
      </x:c>
      <x:c r="S212" t="n">
        <x:v>46</x:v>
      </x:c>
      <x:c r="T212" t="str">
        <x:v>CLEARED</x:v>
      </x:c>
      <x:c r="U212" t="str">
        <x:v>VALID</x:v>
      </x:c>
      <x:c r="V212" s="16" t="n">
        <x:v>0.9659</x:v>
      </x:c>
      <x:c r="W212" t="str">
        <x:v>English</x:v>
      </x:c>
      <x:c r="X212"/>
      <x:c r="Y212" t="n">
        <x:v>9576</x:v>
      </x:c>
      <x:c r="Z212" s="17" t="n">
        <x:v>4.38</x:v>
      </x:c>
      <x:c r="AA212" s="16" t="n">
        <x:v>0.9686</x:v>
      </x:c>
      <x:c r="AB212" s="16" t="n">
        <x:v>0.998</x:v>
      </x:c>
      <x:c r="AC212" s="16" t="n">
        <x:v>0.8575</x:v>
      </x:c>
      <x:c r="AD212" t="n">
        <x:v>0</x:v>
      </x:c>
      <x:c r="AE212" t="str">
        <x:f>IF(O212&lt;&gt;"ACTIVE","NOT_RATED",IF(AND(Z212&gt;=4.8,AB212&gt;=0.97,AC212&gt;=0.93,AD212=0),"ELITE",IF(AND(Z212&gt;=4.6,AB212&gt;=0.94,AC212&gt;=0.88),"HIGH_PERFORMER",IF(OR(Z212&lt;4.2,AB212&lt;0.85,AD212&gt;=2),"AT_RISK","STANDARD"))))</x:f>
        <x:v>STANDARD</x:v>
      </x:c>
      <x:c r="AF212" s="15" t="n">
        <x:v>46011</x:v>
      </x:c>
      <x:c r="AG212" t="str">
        <x:v>VERIFIED</x:v>
      </x:c>
      <x:c r="AH212" t="str">
        <x:v>PENDING</x:v>
      </x:c>
      <x:c r="AI212" t="str">
        <x:v>Casey Young</x:v>
      </x:c>
      <x:c r="AJ212" t="str">
        <x:v>PARENT</x:v>
      </x:c>
      <x:c r="AK212" t="str">
        <x:v>+1 (404) 555-0193</x:v>
      </x:c>
    </x:row>
    <x:row r="213" ht="18" customHeight="1">
      <x:c r="A213" t="str">
        <x:v>DHR-00212</x:v>
      </x:c>
      <x:c r="B213" t="str">
        <x:v>Ethan Taylor</x:v>
      </x:c>
      <x:c r="C213" t="str">
        <x:v>https://api.dicebear.com/9.x/adventurer/png?seed=DHR-00212-Ethan%20Taylor&amp;size=256&amp;radius=50&amp;backgroundColor=b6e3f4,c0aede,d1d4f9,ffd5dc,ffdfbf</x:v>
      </x:c>
      <x:c r="D213" t="str">
        <x:v>ethan.taylor.212@example.com</x:v>
      </x:c>
      <x:c r="E213" t="str">
        <x:v>+1 (612) 555-0111</x:v>
      </x:c>
      <x:c r="F213" t="str">
        <x:v>Minneapolis, MN</x:v>
      </x:c>
      <x:c r="G213" t="str">
        <x:v>Minneapolis</x:v>
      </x:c>
      <x:c r="H213" t="str">
        <x:v>MN</x:v>
      </x:c>
      <x:c r="I213" s="18" t="str">
        <x:v>55401</x:v>
      </x:c>
      <x:c r="J213" s="15" t="n">
        <x:v>27330.723692881944</x:v>
      </x:c>
      <x:c r="K213" t="n">
        <x:f>INT((DATE(2025,12,31)-J213)/365.25)</x:f>
        <x:v>51</x:v>
      </x:c>
      <x:c r="L213" t="str">
        <x:f>IF(K213&lt;25,"18-24",IF(K213&lt;35,"25-34",IF(K213&lt;45,"35-44",IF(K213&lt;55,"45-54","55+"))))</x:f>
        <x:v>45-54</x:v>
      </x:c>
      <x:c r="M213" s="15" t="n">
        <x:v>45509.31563199074</x:v>
      </x:c>
      <x:c r="N213" t="n">
        <x:f>(YEAR(DATE(2025,12,31))-YEAR(M213))*12+MONTH(DATE(2025,12,31))-MONTH(M213)</x:f>
        <x:v>16</x:v>
      </x:c>
      <x:c r="O213" t="str">
        <x:v>PAUSED</x:v>
      </x:c>
      <x:c r="P213" t="str">
        <x:v>INDEPENDENT_CONTRACTOR</x:v>
      </x:c>
      <x:c r="Q213" t="str">
        <x:v>CAR</x:v>
      </x:c>
      <x:c r="R213" t="str">
        <x:v>DINNER</x:v>
      </x:c>
      <x:c r="S213" t="n">
        <x:v>19</x:v>
      </x:c>
      <x:c r="T213" t="str">
        <x:v>CLEARED</x:v>
      </x:c>
      <x:c r="U213" t="str">
        <x:v>VALID</x:v>
      </x:c>
      <x:c r="V213" s="16" t="n">
        <x:v>0.9945</x:v>
      </x:c>
      <x:c r="W213" t="str">
        <x:v>English</x:v>
      </x:c>
      <x:c r="X213"/>
      <x:c r="Y213" t="n">
        <x:v>745</x:v>
      </x:c>
      <x:c r="Z213" s="17" t="n">
        <x:v>4.21</x:v>
      </x:c>
      <x:c r="AA213" s="16" t="n">
        <x:v>0.9084</x:v>
      </x:c>
      <x:c r="AB213" s="16" t="n">
        <x:v>0.9535</x:v>
      </x:c>
      <x:c r="AC213" s="16" t="n">
        <x:v>0.963</x:v>
      </x:c>
      <x:c r="AD213" t="n">
        <x:v>0</x:v>
      </x:c>
      <x:c r="AE213" t="str">
        <x:f>IF(O213&lt;&gt;"ACTIVE","NOT_RATED",IF(AND(Z213&gt;=4.8,AB213&gt;=0.97,AC213&gt;=0.93,AD213=0),"ELITE",IF(AND(Z213&gt;=4.6,AB213&gt;=0.94,AC213&gt;=0.88),"HIGH_PERFORMER",IF(OR(Z213&lt;4.2,AB213&lt;0.85,AD213&gt;=2),"AT_RISK","STANDARD"))))</x:f>
        <x:v>NOT_RATED</x:v>
      </x:c>
      <x:c r="AF213" s="15" t="n">
        <x:v>45983</x:v>
      </x:c>
      <x:c r="AG213" t="str">
        <x:v>VERIFIED</x:v>
      </x:c>
      <x:c r="AH213" t="str">
        <x:v>COMPLETE</x:v>
      </x:c>
      <x:c r="AI213" t="str">
        <x:v>Jordan Davis</x:v>
      </x:c>
      <x:c r="AJ213" t="str">
        <x:v>SPOUSE_PARTNER</x:v>
      </x:c>
      <x:c r="AK213" t="str">
        <x:v>+1 (612) 555-0100</x:v>
      </x:c>
    </x:row>
    <x:row r="214" ht="18" customHeight="1">
      <x:c r="A214" t="str">
        <x:v>DHR-00213</x:v>
      </x:c>
      <x:c r="B214" t="str">
        <x:v>Ethan Thomas</x:v>
      </x:c>
      <x:c r="C214" t="str">
        <x:v>https://api.dicebear.com/9.x/adventurer/png?seed=DHR-00213-Ethan%20Thomas&amp;size=256&amp;radius=50&amp;backgroundColor=b6e3f4,c0aede,d1d4f9,ffd5dc,ffdfbf</x:v>
      </x:c>
      <x:c r="D214" t="str">
        <x:v>ethan.thomas.213@example.com</x:v>
      </x:c>
      <x:c r="E214" t="str">
        <x:v>+1 (415) 555-0112</x:v>
      </x:c>
      <x:c r="F214" t="str">
        <x:v>San Francisco, CA</x:v>
      </x:c>
      <x:c r="G214" t="str">
        <x:v>San Francisco</x:v>
      </x:c>
      <x:c r="H214" t="str">
        <x:v>CA</x:v>
      </x:c>
      <x:c r="I214" s="18" t="str">
        <x:v>94103</x:v>
      </x:c>
      <x:c r="J214" s="15" t="n">
        <x:v>35109.33009478009</x:v>
      </x:c>
      <x:c r="K214" t="n">
        <x:f>INT((DATE(2025,12,31)-J214)/365.25)</x:f>
        <x:v>29</x:v>
      </x:c>
      <x:c r="L214" t="str">
        <x:f>IF(K214&lt;25,"18-24",IF(K214&lt;35,"25-34",IF(K214&lt;45,"35-44",IF(K214&lt;55,"45-54","55+"))))</x:f>
        <x:v>25-34</x:v>
      </x:c>
      <x:c r="M214" s="15" t="n">
        <x:v>43601.65709298611</x:v>
      </x:c>
      <x:c r="N214" t="n">
        <x:f>(YEAR(DATE(2025,12,31))-YEAR(M214))*12+MONTH(DATE(2025,12,31))-MONTH(M214)</x:f>
        <x:v>79</x:v>
      </x:c>
      <x:c r="O214" t="str">
        <x:v>ACTIVE</x:v>
      </x:c>
      <x:c r="P214" t="str">
        <x:v>INDEPENDENT_CONTRACTOR</x:v>
      </x:c>
      <x:c r="Q214" t="str">
        <x:v>CAR</x:v>
      </x:c>
      <x:c r="R214" t="str">
        <x:v>DINNER</x:v>
      </x:c>
      <x:c r="S214" t="n">
        <x:v>31</x:v>
      </x:c>
      <x:c r="T214" t="str">
        <x:v>CLEARED</x:v>
      </x:c>
      <x:c r="U214" t="str">
        <x:v>VALID</x:v>
      </x:c>
      <x:c r="V214" s="16" t="n">
        <x:v>0.8658</x:v>
      </x:c>
      <x:c r="W214" t="str">
        <x:v>English</x:v>
      </x:c>
      <x:c r="X214"/>
      <x:c r="Y214" t="n">
        <x:v>7626</x:v>
      </x:c>
      <x:c r="Z214" s="17" t="n">
        <x:v>4.48</x:v>
      </x:c>
      <x:c r="AA214" s="16" t="n">
        <x:v>0.9704</x:v>
      </x:c>
      <x:c r="AB214" s="16" t="n">
        <x:v>0.9061</x:v>
      </x:c>
      <x:c r="AC214" s="16" t="n">
        <x:v>0.9727</x:v>
      </x:c>
      <x:c r="AD214" t="n">
        <x:v>0</x:v>
      </x:c>
      <x:c r="AE214" t="str">
        <x:f>IF(O214&lt;&gt;"ACTIVE","NOT_RATED",IF(AND(Z214&gt;=4.8,AB214&gt;=0.97,AC214&gt;=0.93,AD214=0),"ELITE",IF(AND(Z214&gt;=4.6,AB214&gt;=0.94,AC214&gt;=0.88),"HIGH_PERFORMER",IF(OR(Z214&lt;4.2,AB214&lt;0.85,AD214&gt;=2),"AT_RISK","STANDARD"))))</x:f>
        <x:v>STANDARD</x:v>
      </x:c>
      <x:c r="AF214" s="15" t="n">
        <x:v>46009</x:v>
      </x:c>
      <x:c r="AG214" t="str">
        <x:v>VERIFIED</x:v>
      </x:c>
      <x:c r="AH214" t="str">
        <x:v>COMPLETE</x:v>
      </x:c>
      <x:c r="AI214" t="str">
        <x:v>Morgan Walker</x:v>
      </x:c>
      <x:c r="AJ214" t="str">
        <x:v>SIBLING</x:v>
      </x:c>
      <x:c r="AK214" t="str">
        <x:v>+1 (415) 555-0107</x:v>
      </x:c>
    </x:row>
    <x:row r="215" ht="18" customHeight="1">
      <x:c r="A215" t="str">
        <x:v>DHR-00214</x:v>
      </x:c>
      <x:c r="B215" t="str">
        <x:v>Ethan Thompson</x:v>
      </x:c>
      <x:c r="C215" t="str">
        <x:v>https://api.dicebear.com/9.x/adventurer/png?seed=DHR-00214-Ethan%20Thompson&amp;size=256&amp;radius=50&amp;backgroundColor=b6e3f4,c0aede,d1d4f9,ffd5dc,ffdfbf</x:v>
      </x:c>
      <x:c r="D215" t="str">
        <x:v>ethan.thompson.214@example.com</x:v>
      </x:c>
      <x:c r="E215" t="str">
        <x:v>+1 (213) 555-0113</x:v>
      </x:c>
      <x:c r="F215" t="str">
        <x:v>Los Angeles, CA</x:v>
      </x:c>
      <x:c r="G215" t="str">
        <x:v>Los Angeles</x:v>
      </x:c>
      <x:c r="H215" t="str">
        <x:v>CA</x:v>
      </x:c>
      <x:c r="I215" s="18" t="str">
        <x:v>90012</x:v>
      </x:c>
      <x:c r="J215" s="15" t="n">
        <x:v>28269.375886168982</x:v>
      </x:c>
      <x:c r="K215" t="n">
        <x:f>INT((DATE(2025,12,31)-J215)/365.25)</x:f>
        <x:v>48</x:v>
      </x:c>
      <x:c r="L215" t="str">
        <x:f>IF(K215&lt;25,"18-24",IF(K215&lt;35,"25-34",IF(K215&lt;45,"35-44",IF(K215&lt;55,"45-54","55+"))))</x:f>
        <x:v>45-54</x:v>
      </x:c>
      <x:c r="M215" s="15" t="n">
        <x:v>44733.33596149305</x:v>
      </x:c>
      <x:c r="N215" t="n">
        <x:f>(YEAR(DATE(2025,12,31))-YEAR(M215))*12+MONTH(DATE(2025,12,31))-MONTH(M215)</x:f>
        <x:v>42</x:v>
      </x:c>
      <x:c r="O215" t="str">
        <x:v>ACTIVE</x:v>
      </x:c>
      <x:c r="P215" t="str">
        <x:v>INDEPENDENT_CONTRACTOR</x:v>
      </x:c>
      <x:c r="Q215" t="str">
        <x:v>CAR</x:v>
      </x:c>
      <x:c r="R215" t="str">
        <x:v>WEEKENDS</x:v>
      </x:c>
      <x:c r="S215" t="n">
        <x:v>33</x:v>
      </x:c>
      <x:c r="T215" t="str">
        <x:v>CLEARED</x:v>
      </x:c>
      <x:c r="U215" t="str">
        <x:v>VALID</x:v>
      </x:c>
      <x:c r="V215" s="16" t="n">
        <x:v>0.9449</x:v>
      </x:c>
      <x:c r="W215" t="str">
        <x:v>English</x:v>
      </x:c>
      <x:c r="X215" t="str">
        <x:v>Spanish</x:v>
      </x:c>
      <x:c r="Y215" t="n">
        <x:v>5638</x:v>
      </x:c>
      <x:c r="Z215" s="17" t="n">
        <x:v>4.53</x:v>
      </x:c>
      <x:c r="AA215" s="16" t="n">
        <x:v>0.6255</x:v>
      </x:c>
      <x:c r="AB215" s="16" t="n">
        <x:v>0.9237</x:v>
      </x:c>
      <x:c r="AC215" s="16" t="n">
        <x:v>0.9842</x:v>
      </x:c>
      <x:c r="AD215" t="n">
        <x:v>0</x:v>
      </x:c>
      <x:c r="AE215" t="str">
        <x:f>IF(O215&lt;&gt;"ACTIVE","NOT_RATED",IF(AND(Z215&gt;=4.8,AB215&gt;=0.97,AC215&gt;=0.93,AD215=0),"ELITE",IF(AND(Z215&gt;=4.6,AB215&gt;=0.94,AC215&gt;=0.88),"HIGH_PERFORMER",IF(OR(Z215&lt;4.2,AB215&lt;0.85,AD215&gt;=2),"AT_RISK","STANDARD"))))</x:f>
        <x:v>STANDARD</x:v>
      </x:c>
      <x:c r="AF215" s="15" t="n">
        <x:v>46012</x:v>
      </x:c>
      <x:c r="AG215" t="str">
        <x:v>VERIFIED</x:v>
      </x:c>
      <x:c r="AH215" t="str">
        <x:v>COMPLETE</x:v>
      </x:c>
      <x:c r="AI215" t="str">
        <x:v>Robin Perez</x:v>
      </x:c>
      <x:c r="AJ215" t="str">
        <x:v>PARENT</x:v>
      </x:c>
      <x:c r="AK215" t="str">
        <x:v>+1 (213) 555-0114</x:v>
      </x:c>
    </x:row>
    <x:row r="216" ht="18" customHeight="1">
      <x:c r="A216" t="str">
        <x:v>DHR-00215</x:v>
      </x:c>
      <x:c r="B216" t="str">
        <x:v>Ethan Walker</x:v>
      </x:c>
      <x:c r="C216" t="str">
        <x:v>https://api.dicebear.com/9.x/adventurer/png?seed=DHR-00215-Ethan%20Walker&amp;size=256&amp;radius=50&amp;backgroundColor=b6e3f4,c0aede,d1d4f9,ffd5dc,ffdfbf</x:v>
      </x:c>
      <x:c r="D216" t="str">
        <x:v>ethan.walker.215@example.com</x:v>
      </x:c>
      <x:c r="E216" t="str">
        <x:v>+1 (305) 555-0114</x:v>
      </x:c>
      <x:c r="F216" t="str">
        <x:v>Miami, FL</x:v>
      </x:c>
      <x:c r="G216" t="str">
        <x:v>Miami</x:v>
      </x:c>
      <x:c r="H216" t="str">
        <x:v>FL</x:v>
      </x:c>
      <x:c r="I216" s="18" t="str">
        <x:v>33130</x:v>
      </x:c>
      <x:c r="J216" s="15" t="n">
        <x:v>31868.974693391203</x:v>
      </x:c>
      <x:c r="K216" t="n">
        <x:f>INT((DATE(2025,12,31)-J216)/365.25)</x:f>
        <x:v>38</x:v>
      </x:c>
      <x:c r="L216" t="str">
        <x:f>IF(K216&lt;25,"18-24",IF(K216&lt;35,"25-34",IF(K216&lt;45,"35-44",IF(K216&lt;55,"45-54","55+"))))</x:f>
        <x:v>35-44</x:v>
      </x:c>
      <x:c r="M216" s="15" t="n">
        <x:v>44851.752434849535</x:v>
      </x:c>
      <x:c r="N216" t="n">
        <x:f>(YEAR(DATE(2025,12,31))-YEAR(M216))*12+MONTH(DATE(2025,12,31))-MONTH(M216)</x:f>
        <x:v>38</x:v>
      </x:c>
      <x:c r="O216" t="str">
        <x:v>ACTIVE</x:v>
      </x:c>
      <x:c r="P216" t="str">
        <x:v>INDEPENDENT_CONTRACTOR</x:v>
      </x:c>
      <x:c r="Q216" t="str">
        <x:v>MOTORCYCLE</x:v>
      </x:c>
      <x:c r="R216" t="str">
        <x:v>DINNER</x:v>
      </x:c>
      <x:c r="S216" t="n">
        <x:v>42</x:v>
      </x:c>
      <x:c r="T216" t="str">
        <x:v>CLEARED</x:v>
      </x:c>
      <x:c r="U216" t="str">
        <x:v>VALID</x:v>
      </x:c>
      <x:c r="V216" s="16" t="n">
        <x:v>0.8956</x:v>
      </x:c>
      <x:c r="W216" t="str">
        <x:v>English</x:v>
      </x:c>
      <x:c r="X216" t="str">
        <x:v>Spanish</x:v>
      </x:c>
      <x:c r="Y216" t="n">
        <x:v>5737</x:v>
      </x:c>
      <x:c r="Z216" s="17" t="n">
        <x:v>4.69</x:v>
      </x:c>
      <x:c r="AA216" s="16" t="n">
        <x:v>0.6708</x:v>
      </x:c>
      <x:c r="AB216" s="16" t="n">
        <x:v>0.9944</x:v>
      </x:c>
      <x:c r="AC216" s="16" t="n">
        <x:v>0.8338</x:v>
      </x:c>
      <x:c r="AD216" t="n">
        <x:v>0</x:v>
      </x:c>
      <x:c r="AE216" t="str">
        <x:f>IF(O216&lt;&gt;"ACTIVE","NOT_RATED",IF(AND(Z216&gt;=4.8,AB216&gt;=0.97,AC216&gt;=0.93,AD216=0),"ELITE",IF(AND(Z216&gt;=4.6,AB216&gt;=0.94,AC216&gt;=0.88),"HIGH_PERFORMER",IF(OR(Z216&lt;4.2,AB216&lt;0.85,AD216&gt;=2),"AT_RISK","STANDARD"))))</x:f>
        <x:v>STANDARD</x:v>
      </x:c>
      <x:c r="AF216" s="15" t="n">
        <x:v>46021</x:v>
      </x:c>
      <x:c r="AG216" t="str">
        <x:v>VERIFIED</x:v>
      </x:c>
      <x:c r="AH216" t="str">
        <x:v>COMPLETE</x:v>
      </x:c>
      <x:c r="AI216" t="str">
        <x:v>Liam Rodriguez</x:v>
      </x:c>
      <x:c r="AJ216" t="str">
        <x:v>PARENT</x:v>
      </x:c>
      <x:c r="AK216" t="str">
        <x:v>+1 (305) 555-0121</x:v>
      </x:c>
    </x:row>
    <x:row r="217" ht="18" customHeight="1">
      <x:c r="A217" t="str">
        <x:v>DHR-00216</x:v>
      </x:c>
      <x:c r="B217" t="str">
        <x:v>Ethan White</x:v>
      </x:c>
      <x:c r="C217" t="str">
        <x:v>https://api.dicebear.com/9.x/adventurer/png?seed=DHR-00216-Ethan%20White&amp;size=256&amp;radius=50&amp;backgroundColor=b6e3f4,c0aede,d1d4f9,ffd5dc,ffdfbf</x:v>
      </x:c>
      <x:c r="D217" t="str">
        <x:v>ethan.white.216@example.com</x:v>
      </x:c>
      <x:c r="E217" t="str">
        <x:v>+1 (212) 555-0115</x:v>
      </x:c>
      <x:c r="F217" t="str">
        <x:v>New York, NY</x:v>
      </x:c>
      <x:c r="G217" t="str">
        <x:v>New York</x:v>
      </x:c>
      <x:c r="H217" t="str">
        <x:v>NY</x:v>
      </x:c>
      <x:c r="I217" s="18" t="str">
        <x:v>10001</x:v>
      </x:c>
      <x:c r="J217" s="15" t="n">
        <x:v>36297.70146013889</x:v>
      </x:c>
      <x:c r="K217" t="n">
        <x:f>INT((DATE(2025,12,31)-J217)/365.25)</x:f>
        <x:v>26</x:v>
      </x:c>
      <x:c r="L217" t="str">
        <x:f>IF(K217&lt;25,"18-24",IF(K217&lt;35,"25-34",IF(K217&lt;45,"35-44",IF(K217&lt;55,"45-54","55+"))))</x:f>
        <x:v>25-34</x:v>
      </x:c>
      <x:c r="M217" s="15" t="n">
        <x:v>43505.63961310185</x:v>
      </x:c>
      <x:c r="N217" t="n">
        <x:f>(YEAR(DATE(2025,12,31))-YEAR(M217))*12+MONTH(DATE(2025,12,31))-MONTH(M217)</x:f>
        <x:v>82</x:v>
      </x:c>
      <x:c r="O217" t="str">
        <x:v>ACTIVE</x:v>
      </x:c>
      <x:c r="P217" t="str">
        <x:v>INDEPENDENT_CONTRACTOR</x:v>
      </x:c>
      <x:c r="Q217" t="str">
        <x:v>CAR</x:v>
      </x:c>
      <x:c r="R217" t="str">
        <x:v>WEEKENDS</x:v>
      </x:c>
      <x:c r="S217" t="n">
        <x:v>22</x:v>
      </x:c>
      <x:c r="T217" t="str">
        <x:v>CLEARED</x:v>
      </x:c>
      <x:c r="U217" t="str">
        <x:v>VALID</x:v>
      </x:c>
      <x:c r="V217" s="16" t="n">
        <x:v>0.8675</x:v>
      </x:c>
      <x:c r="W217" t="str">
        <x:v>English</x:v>
      </x:c>
      <x:c r="X217"/>
      <x:c r="Y217" t="n">
        <x:v>4962</x:v>
      </x:c>
      <x:c r="Z217" s="17" t="n">
        <x:v>4.89</x:v>
      </x:c>
      <x:c r="AA217" s="16" t="n">
        <x:v>0.8186</x:v>
      </x:c>
      <x:c r="AB217" s="16" t="n">
        <x:v>0.8965</x:v>
      </x:c>
      <x:c r="AC217" s="16" t="n">
        <x:v>0.9552</x:v>
      </x:c>
      <x:c r="AD217" t="n">
        <x:v>0</x:v>
      </x:c>
      <x:c r="AE217" t="str">
        <x:f>IF(O217&lt;&gt;"ACTIVE","NOT_RATED",IF(AND(Z217&gt;=4.8,AB217&gt;=0.97,AC217&gt;=0.93,AD217=0),"ELITE",IF(AND(Z217&gt;=4.6,AB217&gt;=0.94,AC217&gt;=0.88),"HIGH_PERFORMER",IF(OR(Z217&lt;4.2,AB217&lt;0.85,AD217&gt;=2),"AT_RISK","STANDARD"))))</x:f>
        <x:v>STANDARD</x:v>
      </x:c>
      <x:c r="AF217" s="15" t="n">
        <x:v>46017</x:v>
      </x:c>
      <x:c r="AG217" t="str">
        <x:v>VERIFIED</x:v>
      </x:c>
      <x:c r="AH217" t="str">
        <x:v>COMPLETE</x:v>
      </x:c>
      <x:c r="AI217" t="str">
        <x:v>Sofia White</x:v>
      </x:c>
      <x:c r="AJ217" t="str">
        <x:v>SIBLING</x:v>
      </x:c>
      <x:c r="AK217" t="str">
        <x:v>+1 (212) 555-0128</x:v>
      </x:c>
    </x:row>
    <x:row r="218" ht="18" customHeight="1">
      <x:c r="A218" t="str">
        <x:v>DHR-00217</x:v>
      </x:c>
      <x:c r="B218" t="str">
        <x:v>Ethan Williams</x:v>
      </x:c>
      <x:c r="C218" t="str">
        <x:v>https://api.dicebear.com/9.x/adventurer/png?seed=DHR-00217-Ethan%20Williams&amp;size=256&amp;radius=50&amp;backgroundColor=b6e3f4,c0aede,d1d4f9,ffd5dc,ffdfbf</x:v>
      </x:c>
      <x:c r="D218" t="str">
        <x:v>ethan.williams.217@example.com</x:v>
      </x:c>
      <x:c r="E218" t="str">
        <x:v>+1 (206) 555-0116</x:v>
      </x:c>
      <x:c r="F218" t="str">
        <x:v>Seattle, WA</x:v>
      </x:c>
      <x:c r="G218" t="str">
        <x:v>Seattle</x:v>
      </x:c>
      <x:c r="H218" t="str">
        <x:v>WA</x:v>
      </x:c>
      <x:c r="I218" s="18" t="str">
        <x:v>98101</x:v>
      </x:c>
      <x:c r="J218" s="15" t="n">
        <x:v>27269.88541824074</x:v>
      </x:c>
      <x:c r="K218" t="n">
        <x:f>INT((DATE(2025,12,31)-J218)/365.25)</x:f>
        <x:v>51</x:v>
      </x:c>
      <x:c r="L218" t="str">
        <x:f>IF(K218&lt;25,"18-24",IF(K218&lt;35,"25-34",IF(K218&lt;45,"35-44",IF(K218&lt;55,"45-54","55+"))))</x:f>
        <x:v>45-54</x:v>
      </x:c>
      <x:c r="M218" s="15" t="n">
        <x:v>45125.020637685186</x:v>
      </x:c>
      <x:c r="N218" t="n">
        <x:f>(YEAR(DATE(2025,12,31))-YEAR(M218))*12+MONTH(DATE(2025,12,31))-MONTH(M218)</x:f>
        <x:v>29</x:v>
      </x:c>
      <x:c r="O218" t="str">
        <x:v>ACTIVE</x:v>
      </x:c>
      <x:c r="P218" t="str">
        <x:v>INDEPENDENT_CONTRACTOR</x:v>
      </x:c>
      <x:c r="Q218" t="str">
        <x:v>BICYCLE</x:v>
      </x:c>
      <x:c r="R218" t="str">
        <x:v>LUNCH</x:v>
      </x:c>
      <x:c r="S218" t="n">
        <x:v>45</x:v>
      </x:c>
      <x:c r="T218" t="str">
        <x:v>CLEARED</x:v>
      </x:c>
      <x:c r="U218" t="str">
        <x:v>NOT_REQUIRED</x:v>
      </x:c>
      <x:c r="V218" s="16" t="n">
        <x:v>0.8082</x:v>
      </x:c>
      <x:c r="W218" t="str">
        <x:v>English</x:v>
      </x:c>
      <x:c r="X218" t="str">
        <x:v>Spanish</x:v>
      </x:c>
      <x:c r="Y218" t="n">
        <x:v>4429</x:v>
      </x:c>
      <x:c r="Z218" s="17" t="n">
        <x:v>4.94</x:v>
      </x:c>
      <x:c r="AA218" s="16" t="n">
        <x:v>0.9016</x:v>
      </x:c>
      <x:c r="AB218" s="16" t="n">
        <x:v>0.9307</x:v>
      </x:c>
      <x:c r="AC218" s="16" t="n">
        <x:v>0.8185</x:v>
      </x:c>
      <x:c r="AD218" t="n">
        <x:v>0</x:v>
      </x:c>
      <x:c r="AE218" t="str">
        <x:f>IF(O218&lt;&gt;"ACTIVE","NOT_RATED",IF(AND(Z218&gt;=4.8,AB218&gt;=0.97,AC218&gt;=0.93,AD218=0),"ELITE",IF(AND(Z218&gt;=4.6,AB218&gt;=0.94,AC218&gt;=0.88),"HIGH_PERFORMER",IF(OR(Z218&lt;4.2,AB218&lt;0.85,AD218&gt;=2),"AT_RISK","STANDARD"))))</x:f>
        <x:v>STANDARD</x:v>
      </x:c>
      <x:c r="AF218" s="15" t="n">
        <x:v>46021</x:v>
      </x:c>
      <x:c r="AG218" t="str">
        <x:v>VERIFIED</x:v>
      </x:c>
      <x:c r="AH218" t="str">
        <x:v>COMPLETE</x:v>
      </x:c>
      <x:c r="AI218" t="str">
        <x:v>Hayden Wilson</x:v>
      </x:c>
      <x:c r="AJ218" t="str">
        <x:v>SPOUSE_PARTNER</x:v>
      </x:c>
      <x:c r="AK218" t="str">
        <x:v>+1 (206) 555-0135</x:v>
      </x:c>
    </x:row>
    <x:row r="219" ht="18" customHeight="1">
      <x:c r="A219" t="str">
        <x:v>DHR-00218</x:v>
      </x:c>
      <x:c r="B219" t="str">
        <x:v>Ethan Wilson</x:v>
      </x:c>
      <x:c r="C219" t="str">
        <x:v>https://api.dicebear.com/9.x/adventurer/png?seed=DHR-00218-Ethan%20Wilson&amp;size=256&amp;radius=50&amp;backgroundColor=b6e3f4,c0aede,d1d4f9,ffd5dc,ffdfbf</x:v>
      </x:c>
      <x:c r="D219" t="str">
        <x:v>ethan.wilson.218@example.com</x:v>
      </x:c>
      <x:c r="E219" t="str">
        <x:v>+1 (415) 555-0117</x:v>
      </x:c>
      <x:c r="F219" t="str">
        <x:v>San Francisco, CA</x:v>
      </x:c>
      <x:c r="G219" t="str">
        <x:v>San Francisco</x:v>
      </x:c>
      <x:c r="H219" t="str">
        <x:v>CA</x:v>
      </x:c>
      <x:c r="I219" s="18" t="str">
        <x:v>94103</x:v>
      </x:c>
      <x:c r="J219" s="15" t="n">
        <x:v>33591.62661197917</x:v>
      </x:c>
      <x:c r="K219" t="n">
        <x:f>INT((DATE(2025,12,31)-J219)/365.25)</x:f>
        <x:v>34</x:v>
      </x:c>
      <x:c r="L219" t="str">
        <x:f>IF(K219&lt;25,"18-24",IF(K219&lt;35,"25-34",IF(K219&lt;45,"35-44",IF(K219&lt;55,"45-54","55+"))))</x:f>
        <x:v>25-34</x:v>
      </x:c>
      <x:c r="M219" s="15" t="n">
        <x:v>45482.98182670139</x:v>
      </x:c>
      <x:c r="N219" t="n">
        <x:f>(YEAR(DATE(2025,12,31))-YEAR(M219))*12+MONTH(DATE(2025,12,31))-MONTH(M219)</x:f>
        <x:v>17</x:v>
      </x:c>
      <x:c r="O219" t="str">
        <x:v>OFFBOARDED</x:v>
      </x:c>
      <x:c r="P219" t="str">
        <x:v>INDEPENDENT_CONTRACTOR</x:v>
      </x:c>
      <x:c r="Q219" t="str">
        <x:v>E_BIKE</x:v>
      </x:c>
      <x:c r="R219" t="str">
        <x:v>DINNER</x:v>
      </x:c>
      <x:c r="S219" t="n">
        <x:v>27</x:v>
      </x:c>
      <x:c r="T219" t="str">
        <x:v>REVIEW_REQUIRED</x:v>
      </x:c>
      <x:c r="U219" t="str">
        <x:v>NOT_REQUIRED</x:v>
      </x:c>
      <x:c r="V219" s="16" t="n">
        <x:v>0.7405</x:v>
      </x:c>
      <x:c r="W219" t="str">
        <x:v>English</x:v>
      </x:c>
      <x:c r="X219" t="str">
        <x:v>Portuguese</x:v>
      </x:c>
      <x:c r="Y219" t="n">
        <x:v>1564</x:v>
      </x:c>
      <x:c r="Z219" s="17" t="n">
        <x:v>4.72</x:v>
      </x:c>
      <x:c r="AA219" s="16" t="n">
        <x:v>0.5842</x:v>
      </x:c>
      <x:c r="AB219" s="16" t="n">
        <x:v>0.89</x:v>
      </x:c>
      <x:c r="AC219" s="16" t="n">
        <x:v>0.9194</x:v>
      </x:c>
      <x:c r="AD219" t="n">
        <x:v>0</x:v>
      </x:c>
      <x:c r="AE219" t="str">
        <x:f>IF(O219&lt;&gt;"ACTIVE","NOT_RATED",IF(AND(Z219&gt;=4.8,AB219&gt;=0.97,AC219&gt;=0.93,AD219=0),"ELITE",IF(AND(Z219&gt;=4.6,AB219&gt;=0.94,AC219&gt;=0.88),"HIGH_PERFORMER",IF(OR(Z219&lt;4.2,AB219&lt;0.85,AD219&gt;=2),"AT_RISK","STANDARD"))))</x:f>
        <x:v>NOT_RATED</x:v>
      </x:c>
      <x:c r="AF219" s="15" t="n">
        <x:v>45588</x:v>
      </x:c>
      <x:c r="AG219" t="str">
        <x:v>VERIFIED</x:v>
      </x:c>
      <x:c r="AH219" t="str">
        <x:v>COMPLETE</x:v>
      </x:c>
      <x:c r="AI219" t="str">
        <x:v>Jordan Moore</x:v>
      </x:c>
      <x:c r="AJ219" t="str">
        <x:v>PARENT</x:v>
      </x:c>
      <x:c r="AK219" t="str">
        <x:v>+1 (415) 555-0142</x:v>
      </x:c>
    </x:row>
    <x:row r="220" ht="18" customHeight="1">
      <x:c r="A220" t="str">
        <x:v>DHR-00219</x:v>
      </x:c>
      <x:c r="B220" t="str">
        <x:v>Ethan Young</x:v>
      </x:c>
      <x:c r="C220" t="str">
        <x:v>https://api.dicebear.com/9.x/adventurer/png?seed=DHR-00219-Ethan%20Young&amp;size=256&amp;radius=50&amp;backgroundColor=b6e3f4,c0aede,d1d4f9,ffd5dc,ffdfbf</x:v>
      </x:c>
      <x:c r="D220" t="str">
        <x:v>ethan.young.219@example.com</x:v>
      </x:c>
      <x:c r="E220" t="str">
        <x:v>+1 (312) 555-0118</x:v>
      </x:c>
      <x:c r="F220" t="str">
        <x:v>Chicago, IL</x:v>
      </x:c>
      <x:c r="G220" t="str">
        <x:v>Chicago</x:v>
      </x:c>
      <x:c r="H220" t="str">
        <x:v>IL</x:v>
      </x:c>
      <x:c r="I220" s="18" t="str">
        <x:v>60601</x:v>
      </x:c>
      <x:c r="J220" s="15" t="n">
        <x:v>33420.542760902776</x:v>
      </x:c>
      <x:c r="K220" t="n">
        <x:f>INT((DATE(2025,12,31)-J220)/365.25)</x:f>
        <x:v>34</x:v>
      </x:c>
      <x:c r="L220" t="str">
        <x:f>IF(K220&lt;25,"18-24",IF(K220&lt;35,"25-34",IF(K220&lt;45,"35-44",IF(K220&lt;55,"45-54","55+"))))</x:f>
        <x:v>25-34</x:v>
      </x:c>
      <x:c r="M220" s="15" t="n">
        <x:v>45959.82679576389</x:v>
      </x:c>
      <x:c r="N220" t="n">
        <x:f>(YEAR(DATE(2025,12,31))-YEAR(M220))*12+MONTH(DATE(2025,12,31))-MONTH(M220)</x:f>
        <x:v>2</x:v>
      </x:c>
      <x:c r="O220" t="str">
        <x:v>ACTIVE</x:v>
      </x:c>
      <x:c r="P220" t="str">
        <x:v>INDEPENDENT_CONTRACTOR</x:v>
      </x:c>
      <x:c r="Q220" t="str">
        <x:v>BICYCLE</x:v>
      </x:c>
      <x:c r="R220" t="str">
        <x:v>LUNCH</x:v>
      </x:c>
      <x:c r="S220" t="n">
        <x:v>28</x:v>
      </x:c>
      <x:c r="T220" t="str">
        <x:v>CLEARED</x:v>
      </x:c>
      <x:c r="U220" t="str">
        <x:v>NOT_REQUIRED</x:v>
      </x:c>
      <x:c r="V220" s="16" t="n">
        <x:v>0.8742</x:v>
      </x:c>
      <x:c r="W220" t="str">
        <x:v>English</x:v>
      </x:c>
      <x:c r="X220" t="str">
        <x:v>Spanish</x:v>
      </x:c>
      <x:c r="Y220" t="n">
        <x:v>132</x:v>
      </x:c>
      <x:c r="Z220" s="17" t="n">
        <x:v>4.46</x:v>
      </x:c>
      <x:c r="AA220" s="16" t="n">
        <x:v>0.7617</x:v>
      </x:c>
      <x:c r="AB220" s="16" t="n">
        <x:v>0.9344</x:v>
      </x:c>
      <x:c r="AC220" s="16" t="n">
        <x:v>0.9238</x:v>
      </x:c>
      <x:c r="AD220" t="n">
        <x:v>0</x:v>
      </x:c>
      <x:c r="AE220" t="str">
        <x:f>IF(O220&lt;&gt;"ACTIVE","NOT_RATED",IF(AND(Z220&gt;=4.8,AB220&gt;=0.97,AC220&gt;=0.93,AD220=0),"ELITE",IF(AND(Z220&gt;=4.6,AB220&gt;=0.94,AC220&gt;=0.88),"HIGH_PERFORMER",IF(OR(Z220&lt;4.2,AB220&lt;0.85,AD220&gt;=2),"AT_RISK","STANDARD"))))</x:f>
        <x:v>STANDARD</x:v>
      </x:c>
      <x:c r="AF220" s="15" t="n">
        <x:v>46019</x:v>
      </x:c>
      <x:c r="AG220" t="str">
        <x:v>VERIFIED</x:v>
      </x:c>
      <x:c r="AH220" t="str">
        <x:v>COMPLETE</x:v>
      </x:c>
      <x:c r="AI220" t="str">
        <x:v>Jordan Anderson</x:v>
      </x:c>
      <x:c r="AJ220" t="str">
        <x:v>SPOUSE_PARTNER</x:v>
      </x:c>
      <x:c r="AK220" t="str">
        <x:v>+1 (312) 555-0149</x:v>
      </x:c>
    </x:row>
    <x:row r="221" ht="18" customHeight="1">
      <x:c r="A221" t="str">
        <x:v>DHR-00220</x:v>
      </x:c>
      <x:c r="B221" t="str">
        <x:v>Hayden Anderson</x:v>
      </x:c>
      <x:c r="C221" t="str">
        <x:v>https://api.dicebear.com/9.x/adventurer/png?seed=DHR-00220-Hayden%20Anderson&amp;size=256&amp;radius=50&amp;backgroundColor=b6e3f4,c0aede,d1d4f9,ffd5dc,ffdfbf</x:v>
      </x:c>
      <x:c r="D221" t="str">
        <x:v>hayden.anderson.220@example.com</x:v>
      </x:c>
      <x:c r="E221" t="str">
        <x:v>+1 (415) 555-0119</x:v>
      </x:c>
      <x:c r="F221" t="str">
        <x:v>San Francisco, CA</x:v>
      </x:c>
      <x:c r="G221" t="str">
        <x:v>San Francisco</x:v>
      </x:c>
      <x:c r="H221" t="str">
        <x:v>CA</x:v>
      </x:c>
      <x:c r="I221" s="18" t="str">
        <x:v>94103</x:v>
      </x:c>
      <x:c r="J221" s="15" t="n">
        <x:v>23412.092954837964</x:v>
      </x:c>
      <x:c r="K221" t="n">
        <x:f>INT((DATE(2025,12,31)-J221)/365.25)</x:f>
        <x:v>61</x:v>
      </x:c>
      <x:c r="L221" t="str">
        <x:f>IF(K221&lt;25,"18-24",IF(K221&lt;35,"25-34",IF(K221&lt;45,"35-44",IF(K221&lt;55,"45-54","55+"))))</x:f>
        <x:v>55+</x:v>
      </x:c>
      <x:c r="M221" s="15" t="n">
        <x:v>44645.21420202546</x:v>
      </x:c>
      <x:c r="N221" t="n">
        <x:f>(YEAR(DATE(2025,12,31))-YEAR(M221))*12+MONTH(DATE(2025,12,31))-MONTH(M221)</x:f>
        <x:v>45</x:v>
      </x:c>
      <x:c r="O221" t="str">
        <x:v>ACTIVE</x:v>
      </x:c>
      <x:c r="P221" t="str">
        <x:v>INDEPENDENT_CONTRACTOR</x:v>
      </x:c>
      <x:c r="Q221" t="str">
        <x:v>SCOOTER</x:v>
      </x:c>
      <x:c r="R221" t="str">
        <x:v>LUNCH</x:v>
      </x:c>
      <x:c r="S221" t="n">
        <x:v>17</x:v>
      </x:c>
      <x:c r="T221" t="str">
        <x:v>CLEARED</x:v>
      </x:c>
      <x:c r="U221" t="str">
        <x:v>VALID</x:v>
      </x:c>
      <x:c r="V221" s="16" t="n">
        <x:v>0.9859</x:v>
      </x:c>
      <x:c r="W221" t="str">
        <x:v>English</x:v>
      </x:c>
      <x:c r="X221"/>
      <x:c r="Y221" t="n">
        <x:v>3123</x:v>
      </x:c>
      <x:c r="Z221" s="17" t="n">
        <x:v>4.62</x:v>
      </x:c>
      <x:c r="AA221" s="16" t="n">
        <x:v>0.6109</x:v>
      </x:c>
      <x:c r="AB221" s="16" t="n">
        <x:v>0.9643</x:v>
      </x:c>
      <x:c r="AC221" s="16" t="n">
        <x:v>0.902</x:v>
      </x:c>
      <x:c r="AD221" t="n">
        <x:v>0</x:v>
      </x:c>
      <x:c r="AE221" t="str">
        <x:f>IF(O221&lt;&gt;"ACTIVE","NOT_RATED",IF(AND(Z221&gt;=4.8,AB221&gt;=0.97,AC221&gt;=0.93,AD221=0),"ELITE",IF(AND(Z221&gt;=4.6,AB221&gt;=0.94,AC221&gt;=0.88),"HIGH_PERFORMER",IF(OR(Z221&lt;4.2,AB221&lt;0.85,AD221&gt;=2),"AT_RISK","STANDARD"))))</x:f>
        <x:v>HIGH_PERFORMER</x:v>
      </x:c>
      <x:c r="AF221" s="15" t="n">
        <x:v>46019</x:v>
      </x:c>
      <x:c r="AG221" t="str">
        <x:v>VERIFIED</x:v>
      </x:c>
      <x:c r="AH221" t="str">
        <x:v>COMPLETE</x:v>
      </x:c>
      <x:c r="AI221" t="str">
        <x:v>Jesse Young</x:v>
      </x:c>
      <x:c r="AJ221" t="str">
        <x:v>FRIEND</x:v>
      </x:c>
      <x:c r="AK221" t="str">
        <x:v>+1 (415) 555-0156</x:v>
      </x:c>
    </x:row>
    <x:row r="222" ht="18" customHeight="1">
      <x:c r="A222" t="str">
        <x:v>DHR-00221</x:v>
      </x:c>
      <x:c r="B222" t="str">
        <x:v>Hayden Brown</x:v>
      </x:c>
      <x:c r="C222" t="str">
        <x:v>https://api.dicebear.com/9.x/adventurer/png?seed=DHR-00221-Hayden%20Brown&amp;size=256&amp;radius=50&amp;backgroundColor=b6e3f4,c0aede,d1d4f9,ffd5dc,ffdfbf</x:v>
      </x:c>
      <x:c r="D222" t="str">
        <x:v>hayden.brown.221@example.com</x:v>
      </x:c>
      <x:c r="E222" t="str">
        <x:v>+1 (212) 555-0120</x:v>
      </x:c>
      <x:c r="F222" t="str">
        <x:v>New York, NY</x:v>
      </x:c>
      <x:c r="G222" t="str">
        <x:v>New York</x:v>
      </x:c>
      <x:c r="H222" t="str">
        <x:v>NY</x:v>
      </x:c>
      <x:c r="I222" s="18" t="str">
        <x:v>10001</x:v>
      </x:c>
      <x:c r="J222" s="15" t="n">
        <x:v>35897.61464506944</x:v>
      </x:c>
      <x:c r="K222" t="n">
        <x:f>INT((DATE(2025,12,31)-J222)/365.25)</x:f>
        <x:v>27</x:v>
      </x:c>
      <x:c r="L222" t="str">
        <x:f>IF(K222&lt;25,"18-24",IF(K222&lt;35,"25-34",IF(K222&lt;45,"35-44",IF(K222&lt;55,"45-54","55+"))))</x:f>
        <x:v>25-34</x:v>
      </x:c>
      <x:c r="M222" s="15" t="n">
        <x:v>45703.79322306713</x:v>
      </x:c>
      <x:c r="N222" t="n">
        <x:f>(YEAR(DATE(2025,12,31))-YEAR(M222))*12+MONTH(DATE(2025,12,31))-MONTH(M222)</x:f>
        <x:v>10</x:v>
      </x:c>
      <x:c r="O222" t="str">
        <x:v>ACTIVE</x:v>
      </x:c>
      <x:c r="P222" t="str">
        <x:v>INDEPENDENT_CONTRACTOR</x:v>
      </x:c>
      <x:c r="Q222" t="str">
        <x:v>SCOOTER</x:v>
      </x:c>
      <x:c r="R222" t="str">
        <x:v>WEEKENDS</x:v>
      </x:c>
      <x:c r="S222" t="n">
        <x:v>21</x:v>
      </x:c>
      <x:c r="T222" t="str">
        <x:v>REVIEW_REQUIRED</x:v>
      </x:c>
      <x:c r="U222" t="str">
        <x:v>VALID</x:v>
      </x:c>
      <x:c r="V222" s="16" t="n">
        <x:v>0.9853</x:v>
      </x:c>
      <x:c r="W222" t="str">
        <x:v>Spanish</x:v>
      </x:c>
      <x:c r="X222"/>
      <x:c r="Y222" t="n">
        <x:v>437</x:v>
      </x:c>
      <x:c r="Z222" s="17" t="n">
        <x:v>4.41</x:v>
      </x:c>
      <x:c r="AA222" s="16" t="n">
        <x:v>0.7844</x:v>
      </x:c>
      <x:c r="AB222" s="16" t="n">
        <x:v>0.9758</x:v>
      </x:c>
      <x:c r="AC222" s="16" t="n">
        <x:v>0.8481</x:v>
      </x:c>
      <x:c r="AD222" t="n">
        <x:v>0</x:v>
      </x:c>
      <x:c r="AE222" t="str">
        <x:f>IF(O222&lt;&gt;"ACTIVE","NOT_RATED",IF(AND(Z222&gt;=4.8,AB222&gt;=0.97,AC222&gt;=0.93,AD222=0),"ELITE",IF(AND(Z222&gt;=4.6,AB222&gt;=0.94,AC222&gt;=0.88),"HIGH_PERFORMER",IF(OR(Z222&lt;4.2,AB222&lt;0.85,AD222&gt;=2),"AT_RISK","STANDARD"))))</x:f>
        <x:v>STANDARD</x:v>
      </x:c>
      <x:c r="AF222" s="15" t="n">
        <x:v>46013</x:v>
      </x:c>
      <x:c r="AG222" t="str">
        <x:v>VERIFIED</x:v>
      </x:c>
      <x:c r="AH222" t="str">
        <x:v>COMPLETE</x:v>
      </x:c>
      <x:c r="AI222" t="str">
        <x:v>Riley Johnson</x:v>
      </x:c>
      <x:c r="AJ222" t="str">
        <x:v>SIBLING</x:v>
      </x:c>
      <x:c r="AK222" t="str">
        <x:v>+1 (212) 555-0163</x:v>
      </x:c>
    </x:row>
    <x:row r="223" ht="18" customHeight="1">
      <x:c r="A223" t="str">
        <x:v>DHR-00222</x:v>
      </x:c>
      <x:c r="B223" t="str">
        <x:v>Hayden Clark</x:v>
      </x:c>
      <x:c r="C223" t="str">
        <x:v>https://api.dicebear.com/9.x/adventurer/png?seed=DHR-00222-Hayden%20Clark&amp;size=256&amp;radius=50&amp;backgroundColor=b6e3f4,c0aede,d1d4f9,ffd5dc,ffdfbf</x:v>
      </x:c>
      <x:c r="D223" t="str">
        <x:v>hayden.clark.222@example.com</x:v>
      </x:c>
      <x:c r="E223" t="str">
        <x:v>+1 (213) 555-0121</x:v>
      </x:c>
      <x:c r="F223" t="str">
        <x:v>Los Angeles, CA</x:v>
      </x:c>
      <x:c r="G223" t="str">
        <x:v>Los Angeles</x:v>
      </x:c>
      <x:c r="H223" t="str">
        <x:v>CA</x:v>
      </x:c>
      <x:c r="I223" s="18" t="str">
        <x:v>90012</x:v>
      </x:c>
      <x:c r="J223" s="15" t="n">
        <x:v>34683.568395856484</x:v>
      </x:c>
      <x:c r="K223" t="n">
        <x:f>INT((DATE(2025,12,31)-J223)/365.25)</x:f>
        <x:v>31</x:v>
      </x:c>
      <x:c r="L223" t="str">
        <x:f>IF(K223&lt;25,"18-24",IF(K223&lt;35,"25-34",IF(K223&lt;45,"35-44",IF(K223&lt;55,"45-54","55+"))))</x:f>
        <x:v>25-34</x:v>
      </x:c>
      <x:c r="M223" s="15" t="n">
        <x:v>45739.239696944445</x:v>
      </x:c>
      <x:c r="N223" t="n">
        <x:f>(YEAR(DATE(2025,12,31))-YEAR(M223))*12+MONTH(DATE(2025,12,31))-MONTH(M223)</x:f>
        <x:v>9</x:v>
      </x:c>
      <x:c r="O223" t="str">
        <x:v>ACTIVE</x:v>
      </x:c>
      <x:c r="P223" t="str">
        <x:v>INDEPENDENT_CONTRACTOR</x:v>
      </x:c>
      <x:c r="Q223" t="str">
        <x:v>CAR</x:v>
      </x:c>
      <x:c r="R223" t="str">
        <x:v>FLEXIBLE</x:v>
      </x:c>
      <x:c r="S223" t="n">
        <x:v>40</x:v>
      </x:c>
      <x:c r="T223" t="str">
        <x:v>REVIEW_REQUIRED</x:v>
      </x:c>
      <x:c r="U223" t="str">
        <x:v>VALID</x:v>
      </x:c>
      <x:c r="V223" s="16" t="n">
        <x:v>0.802</x:v>
      </x:c>
      <x:c r="W223" t="str">
        <x:v>French</x:v>
      </x:c>
      <x:c r="X223"/>
      <x:c r="Y223" t="n">
        <x:v>1295</x:v>
      </x:c>
      <x:c r="Z223" s="17" t="n">
        <x:v>4.76</x:v>
      </x:c>
      <x:c r="AA223" s="16" t="n">
        <x:v>0.9145</x:v>
      </x:c>
      <x:c r="AB223" s="16" t="n">
        <x:v>0.971</x:v>
      </x:c>
      <x:c r="AC223" s="16" t="n">
        <x:v>0.895</x:v>
      </x:c>
      <x:c r="AD223" t="n">
        <x:v>0</x:v>
      </x:c>
      <x:c r="AE223" t="str">
        <x:f>IF(O223&lt;&gt;"ACTIVE","NOT_RATED",IF(AND(Z223&gt;=4.8,AB223&gt;=0.97,AC223&gt;=0.93,AD223=0),"ELITE",IF(AND(Z223&gt;=4.6,AB223&gt;=0.94,AC223&gt;=0.88),"HIGH_PERFORMER",IF(OR(Z223&lt;4.2,AB223&lt;0.85,AD223&gt;=2),"AT_RISK","STANDARD"))))</x:f>
        <x:v>HIGH_PERFORMER</x:v>
      </x:c>
      <x:c r="AF223" s="15" t="n">
        <x:v>46008</x:v>
      </x:c>
      <x:c r="AG223" t="str">
        <x:v>VERIFIED</x:v>
      </x:c>
      <x:c r="AH223" t="str">
        <x:v>COMPLETE</x:v>
      </x:c>
      <x:c r="AI223" t="str">
        <x:v>Sam White</x:v>
      </x:c>
      <x:c r="AJ223" t="str">
        <x:v>PARENT</x:v>
      </x:c>
      <x:c r="AK223" t="str">
        <x:v>+1 (213) 555-0170</x:v>
      </x:c>
    </x:row>
    <x:row r="224" ht="18" customHeight="1">
      <x:c r="A224" t="str">
        <x:v>DHR-00223</x:v>
      </x:c>
      <x:c r="B224" t="str">
        <x:v>Hayden Davis</x:v>
      </x:c>
      <x:c r="C224" t="str">
        <x:v>https://api.dicebear.com/9.x/adventurer/png?seed=DHR-00223-Hayden%20Davis&amp;size=256&amp;radius=50&amp;backgroundColor=b6e3f4,c0aede,d1d4f9,ffd5dc,ffdfbf</x:v>
      </x:c>
      <x:c r="D224" t="str">
        <x:v>hayden.davis.223@example.com</x:v>
      </x:c>
      <x:c r="E224" t="str">
        <x:v>+1 (215) 555-0122</x:v>
      </x:c>
      <x:c r="F224" t="str">
        <x:v>Philadelphia, PA</x:v>
      </x:c>
      <x:c r="G224" t="str">
        <x:v>Philadelphia</x:v>
      </x:c>
      <x:c r="H224" t="str">
        <x:v>PA</x:v>
      </x:c>
      <x:c r="I224" s="18" t="str">
        <x:v>19103</x:v>
      </x:c>
      <x:c r="J224" s="15" t="n">
        <x:v>26710.413764502315</x:v>
      </x:c>
      <x:c r="K224" t="n">
        <x:f>INT((DATE(2025,12,31)-J224)/365.25)</x:f>
        <x:v>52</x:v>
      </x:c>
      <x:c r="L224" t="str">
        <x:f>IF(K224&lt;25,"18-24",IF(K224&lt;35,"25-34",IF(K224&lt;45,"35-44",IF(K224&lt;55,"45-54","55+"))))</x:f>
        <x:v>45-54</x:v>
      </x:c>
      <x:c r="M224" s="15" t="n">
        <x:v>44189.56093861111</x:v>
      </x:c>
      <x:c r="N224" t="n">
        <x:f>(YEAR(DATE(2025,12,31))-YEAR(M224))*12+MONTH(DATE(2025,12,31))-MONTH(M224)</x:f>
        <x:v>60</x:v>
      </x:c>
      <x:c r="O224" t="str">
        <x:v>ACTIVE</x:v>
      </x:c>
      <x:c r="P224" t="str">
        <x:v>INDEPENDENT_CONTRACTOR</x:v>
      </x:c>
      <x:c r="Q224" t="str">
        <x:v>CAR</x:v>
      </x:c>
      <x:c r="R224" t="str">
        <x:v>FLEXIBLE</x:v>
      </x:c>
      <x:c r="S224" t="n">
        <x:v>18</x:v>
      </x:c>
      <x:c r="T224" t="str">
        <x:v>CLEARED</x:v>
      </x:c>
      <x:c r="U224" t="str">
        <x:v>VALID</x:v>
      </x:c>
      <x:c r="V224" s="16" t="n">
        <x:v>0.9499</x:v>
      </x:c>
      <x:c r="W224" t="str">
        <x:v>English</x:v>
      </x:c>
      <x:c r="X224"/>
      <x:c r="Y224" t="n">
        <x:v>4506</x:v>
      </x:c>
      <x:c r="Z224" s="17" t="n">
        <x:v>4.96</x:v>
      </x:c>
      <x:c r="AA224" s="16" t="n">
        <x:v>0.671</x:v>
      </x:c>
      <x:c r="AB224" s="16" t="n">
        <x:v>0.9736</x:v>
      </x:c>
      <x:c r="AC224" s="16" t="n">
        <x:v>0.8786</x:v>
      </x:c>
      <x:c r="AD224" t="n">
        <x:v>0</x:v>
      </x:c>
      <x:c r="AE224" t="str">
        <x:f>IF(O224&lt;&gt;"ACTIVE","NOT_RATED",IF(AND(Z224&gt;=4.8,AB224&gt;=0.97,AC224&gt;=0.93,AD224=0),"ELITE",IF(AND(Z224&gt;=4.6,AB224&gt;=0.94,AC224&gt;=0.88),"HIGH_PERFORMER",IF(OR(Z224&lt;4.2,AB224&lt;0.85,AD224&gt;=2),"AT_RISK","STANDARD"))))</x:f>
        <x:v>STANDARD</x:v>
      </x:c>
      <x:c r="AF224" s="15" t="n">
        <x:v>46014</x:v>
      </x:c>
      <x:c r="AG224" t="str">
        <x:v>VERIFIED</x:v>
      </x:c>
      <x:c r="AH224" t="str">
        <x:v>COMPLETE</x:v>
      </x:c>
      <x:c r="AI224" t="str">
        <x:v>Alex Perez</x:v>
      </x:c>
      <x:c r="AJ224" t="str">
        <x:v>SPOUSE_PARTNER</x:v>
      </x:c>
      <x:c r="AK224" t="str">
        <x:v>+1 (215) 555-0177</x:v>
      </x:c>
    </x:row>
    <x:row r="225" ht="18" customHeight="1">
      <x:c r="A225" t="str">
        <x:v>DHR-00224</x:v>
      </x:c>
      <x:c r="B225" t="str">
        <x:v>Hayden Garcia</x:v>
      </x:c>
      <x:c r="C225" t="str">
        <x:v>https://api.dicebear.com/9.x/adventurer/png?seed=DHR-00224-Hayden%20Garcia&amp;size=256&amp;radius=50&amp;backgroundColor=b6e3f4,c0aede,d1d4f9,ffd5dc,ffdfbf</x:v>
      </x:c>
      <x:c r="D225" t="str">
        <x:v>hayden.garcia.224@example.com</x:v>
      </x:c>
      <x:c r="E225" t="str">
        <x:v>+1 (312) 555-0123</x:v>
      </x:c>
      <x:c r="F225" t="str">
        <x:v>Chicago, IL</x:v>
      </x:c>
      <x:c r="G225" t="str">
        <x:v>Chicago</x:v>
      </x:c>
      <x:c r="H225" t="str">
        <x:v>IL</x:v>
      </x:c>
      <x:c r="I225" s="18" t="str">
        <x:v>60601</x:v>
      </x:c>
      <x:c r="J225" s="15" t="n">
        <x:v>36741.191065949075</x:v>
      </x:c>
      <x:c r="K225" t="n">
        <x:f>INT((DATE(2025,12,31)-J225)/365.25)</x:f>
        <x:v>25</x:v>
      </x:c>
      <x:c r="L225" t="str">
        <x:f>IF(K225&lt;25,"18-24",IF(K225&lt;35,"25-34",IF(K225&lt;45,"35-44",IF(K225&lt;55,"45-54","55+"))))</x:f>
        <x:v>25-34</x:v>
      </x:c>
      <x:c r="M225" s="15" t="n">
        <x:v>45579.46279253472</x:v>
      </x:c>
      <x:c r="N225" t="n">
        <x:f>(YEAR(DATE(2025,12,31))-YEAR(M225))*12+MONTH(DATE(2025,12,31))-MONTH(M225)</x:f>
        <x:v>14</x:v>
      </x:c>
      <x:c r="O225" t="str">
        <x:v>ACTIVE</x:v>
      </x:c>
      <x:c r="P225" t="str">
        <x:v>INDEPENDENT_CONTRACTOR</x:v>
      </x:c>
      <x:c r="Q225" t="str">
        <x:v>E_BIKE</x:v>
      </x:c>
      <x:c r="R225" t="str">
        <x:v>DINNER</x:v>
      </x:c>
      <x:c r="S225" t="n">
        <x:v>30</x:v>
      </x:c>
      <x:c r="T225" t="str">
        <x:v>CLEARED</x:v>
      </x:c>
      <x:c r="U225" t="str">
        <x:v>NOT_REQUIRED</x:v>
      </x:c>
      <x:c r="V225" s="16" t="n">
        <x:v>0.7945</x:v>
      </x:c>
      <x:c r="W225" t="str">
        <x:v>English</x:v>
      </x:c>
      <x:c r="X225"/>
      <x:c r="Y225" t="n">
        <x:v>1184</x:v>
      </x:c>
      <x:c r="Z225" s="17" t="n">
        <x:v>4.65</x:v>
      </x:c>
      <x:c r="AA225" s="16" t="n">
        <x:v>0.8777</x:v>
      </x:c>
      <x:c r="AB225" s="16" t="n">
        <x:v>0.9781</x:v>
      </x:c>
      <x:c r="AC225" s="16" t="n">
        <x:v>0.8304</x:v>
      </x:c>
      <x:c r="AD225" t="n">
        <x:v>0</x:v>
      </x:c>
      <x:c r="AE225" t="str">
        <x:f>IF(O225&lt;&gt;"ACTIVE","NOT_RATED",IF(AND(Z225&gt;=4.8,AB225&gt;=0.97,AC225&gt;=0.93,AD225=0),"ELITE",IF(AND(Z225&gt;=4.6,AB225&gt;=0.94,AC225&gt;=0.88),"HIGH_PERFORMER",IF(OR(Z225&lt;4.2,AB225&lt;0.85,AD225&gt;=2),"AT_RISK","STANDARD"))))</x:f>
        <x:v>STANDARD</x:v>
      </x:c>
      <x:c r="AF225" s="15" t="n">
        <x:v>46022</x:v>
      </x:c>
      <x:c r="AG225" t="str">
        <x:v>VERIFIED</x:v>
      </x:c>
      <x:c r="AH225" t="str">
        <x:v>COMPLETE</x:v>
      </x:c>
      <x:c r="AI225" t="str">
        <x:v>Devin Walker</x:v>
      </x:c>
      <x:c r="AJ225" t="str">
        <x:v>PARENT</x:v>
      </x:c>
      <x:c r="AK225" t="str">
        <x:v>+1 (312) 555-0184</x:v>
      </x:c>
    </x:row>
    <x:row r="226" ht="18" customHeight="1">
      <x:c r="A226" t="str">
        <x:v>DHR-00225</x:v>
      </x:c>
      <x:c r="B226" t="str">
        <x:v>Hayden Harris</x:v>
      </x:c>
      <x:c r="C226" t="str">
        <x:v>https://api.dicebear.com/9.x/adventurer/png?seed=DHR-00225-Hayden%20Harris&amp;size=256&amp;radius=50&amp;backgroundColor=b6e3f4,c0aede,d1d4f9,ffd5dc,ffdfbf</x:v>
      </x:c>
      <x:c r="D226" t="str">
        <x:v>hayden.harris.225@example.com</x:v>
      </x:c>
      <x:c r="E226" t="str">
        <x:v>+1 (614) 555-0124</x:v>
      </x:c>
      <x:c r="F226" t="str">
        <x:v>Columbus, OH</x:v>
      </x:c>
      <x:c r="G226" t="str">
        <x:v>Columbus</x:v>
      </x:c>
      <x:c r="H226" t="str">
        <x:v>OH</x:v>
      </x:c>
      <x:c r="I226" s="18" t="str">
        <x:v>43215</x:v>
      </x:c>
      <x:c r="J226" s="15" t="n">
        <x:v>38498.333996030095</x:v>
      </x:c>
      <x:c r="K226" t="n">
        <x:f>INT((DATE(2025,12,31)-J226)/365.25)</x:f>
        <x:v>20</x:v>
      </x:c>
      <x:c r="L226" t="str">
        <x:f>IF(K226&lt;25,"18-24",IF(K226&lt;35,"25-34",IF(K226&lt;45,"35-44",IF(K226&lt;55,"45-54","55+"))))</x:f>
        <x:v>18-24</x:v>
      </x:c>
      <x:c r="M226" s="15" t="n">
        <x:v>45725.48904958333</x:v>
      </x:c>
      <x:c r="N226" t="n">
        <x:f>(YEAR(DATE(2025,12,31))-YEAR(M226))*12+MONTH(DATE(2025,12,31))-MONTH(M226)</x:f>
        <x:v>9</x:v>
      </x:c>
      <x:c r="O226" t="str">
        <x:v>ACTIVE</x:v>
      </x:c>
      <x:c r="P226" t="str">
        <x:v>INDEPENDENT_CONTRACTOR</x:v>
      </x:c>
      <x:c r="Q226" t="str">
        <x:v>BICYCLE</x:v>
      </x:c>
      <x:c r="R226" t="str">
        <x:v>DINNER</x:v>
      </x:c>
      <x:c r="S226" t="n">
        <x:v>43</x:v>
      </x:c>
      <x:c r="T226" t="str">
        <x:v>CLEARED</x:v>
      </x:c>
      <x:c r="U226" t="str">
        <x:v>NOT_REQUIRED</x:v>
      </x:c>
      <x:c r="V226" s="16" t="n">
        <x:v>0.8112</x:v>
      </x:c>
      <x:c r="W226" t="str">
        <x:v>English</x:v>
      </x:c>
      <x:c r="X226"/>
      <x:c r="Y226" t="n">
        <x:v>1252</x:v>
      </x:c>
      <x:c r="Z226" s="17" t="n">
        <x:v>4.41</x:v>
      </x:c>
      <x:c r="AA226" s="16" t="n">
        <x:v>0.9439</x:v>
      </x:c>
      <x:c r="AB226" s="16" t="n">
        <x:v>0.9169</x:v>
      </x:c>
      <x:c r="AC226" s="16" t="n">
        <x:v>0.9005</x:v>
      </x:c>
      <x:c r="AD226" t="n">
        <x:v>1</x:v>
      </x:c>
      <x:c r="AE226" t="str">
        <x:f>IF(O226&lt;&gt;"ACTIVE","NOT_RATED",IF(AND(Z226&gt;=4.8,AB226&gt;=0.97,AC226&gt;=0.93,AD226=0),"ELITE",IF(AND(Z226&gt;=4.6,AB226&gt;=0.94,AC226&gt;=0.88),"HIGH_PERFORMER",IF(OR(Z226&lt;4.2,AB226&lt;0.85,AD226&gt;=2),"AT_RISK","STANDARD"))))</x:f>
        <x:v>STANDARD</x:v>
      </x:c>
      <x:c r="AF226" s="15" t="n">
        <x:v>46009</x:v>
      </x:c>
      <x:c r="AG226" t="str">
        <x:v>VERIFIED</x:v>
      </x:c>
      <x:c r="AH226" t="str">
        <x:v>COMPLETE</x:v>
      </x:c>
      <x:c r="AI226" t="str">
        <x:v>Mia Wilson</x:v>
      </x:c>
      <x:c r="AJ226" t="str">
        <x:v>PARENT</x:v>
      </x:c>
      <x:c r="AK226" t="str">
        <x:v>+1 (614) 555-0191</x:v>
      </x:c>
    </x:row>
    <x:row r="227" ht="18" customHeight="1">
      <x:c r="A227" t="str">
        <x:v>DHR-00226</x:v>
      </x:c>
      <x:c r="B227" t="str">
        <x:v>Hayden Jackson</x:v>
      </x:c>
      <x:c r="C227" t="str">
        <x:v>https://api.dicebear.com/9.x/adventurer/png?seed=DHR-00226-Hayden%20Jackson&amp;size=256&amp;radius=50&amp;backgroundColor=b6e3f4,c0aede,d1d4f9,ffd5dc,ffdfbf</x:v>
      </x:c>
      <x:c r="D227" t="str">
        <x:v>hayden.jackson.226@example.com</x:v>
      </x:c>
      <x:c r="E227" t="str">
        <x:v>+1 (713) 555-0125</x:v>
      </x:c>
      <x:c r="F227" t="str">
        <x:v>Houston, TX</x:v>
      </x:c>
      <x:c r="G227" t="str">
        <x:v>Houston</x:v>
      </x:c>
      <x:c r="H227" t="str">
        <x:v>TX</x:v>
      </x:c>
      <x:c r="I227" s="18" t="str">
        <x:v>77002</x:v>
      </x:c>
      <x:c r="J227" s="15" t="n">
        <x:v>28260.735503773147</x:v>
      </x:c>
      <x:c r="K227" t="n">
        <x:f>INT((DATE(2025,12,31)-J227)/365.25)</x:f>
        <x:v>48</x:v>
      </x:c>
      <x:c r="L227" t="str">
        <x:f>IF(K227&lt;25,"18-24",IF(K227&lt;35,"25-34",IF(K227&lt;45,"35-44",IF(K227&lt;55,"45-54","55+"))))</x:f>
        <x:v>45-54</x:v>
      </x:c>
      <x:c r="M227" s="15" t="n">
        <x:v>45346.34643366898</x:v>
      </x:c>
      <x:c r="N227" t="n">
        <x:f>(YEAR(DATE(2025,12,31))-YEAR(M227))*12+MONTH(DATE(2025,12,31))-MONTH(M227)</x:f>
        <x:v>22</x:v>
      </x:c>
      <x:c r="O227" t="str">
        <x:v>ACTIVE</x:v>
      </x:c>
      <x:c r="P227" t="str">
        <x:v>INDEPENDENT_CONTRACTOR</x:v>
      </x:c>
      <x:c r="Q227" t="str">
        <x:v>CAR</x:v>
      </x:c>
      <x:c r="R227" t="str">
        <x:v>FLEXIBLE</x:v>
      </x:c>
      <x:c r="S227" t="n">
        <x:v>46</x:v>
      </x:c>
      <x:c r="T227" t="str">
        <x:v>CLEARED</x:v>
      </x:c>
      <x:c r="U227" t="str">
        <x:v>VALID</x:v>
      </x:c>
      <x:c r="V227" s="16" t="n">
        <x:v>0.8534</x:v>
      </x:c>
      <x:c r="W227" t="str">
        <x:v>English</x:v>
      </x:c>
      <x:c r="X227"/>
      <x:c r="Y227" t="n">
        <x:v>2391</x:v>
      </x:c>
      <x:c r="Z227" s="17" t="n">
        <x:v>4.77</x:v>
      </x:c>
      <x:c r="AA227" s="16" t="n">
        <x:v>0.7942</x:v>
      </x:c>
      <x:c r="AB227" s="16" t="n">
        <x:v>0.9389</x:v>
      </x:c>
      <x:c r="AC227" s="16" t="n">
        <x:v>0.9614</x:v>
      </x:c>
      <x:c r="AD227" t="n">
        <x:v>0</x:v>
      </x:c>
      <x:c r="AE227" t="str">
        <x:f>IF(O227&lt;&gt;"ACTIVE","NOT_RATED",IF(AND(Z227&gt;=4.8,AB227&gt;=0.97,AC227&gt;=0.93,AD227=0),"ELITE",IF(AND(Z227&gt;=4.6,AB227&gt;=0.94,AC227&gt;=0.88),"HIGH_PERFORMER",IF(OR(Z227&lt;4.2,AB227&lt;0.85,AD227&gt;=2),"AT_RISK","STANDARD"))))</x:f>
        <x:v>STANDARD</x:v>
      </x:c>
      <x:c r="AF227" s="15" t="n">
        <x:v>46020</x:v>
      </x:c>
      <x:c r="AG227" t="str">
        <x:v>VERIFIED</x:v>
      </x:c>
      <x:c r="AH227" t="str">
        <x:v>COMPLETE</x:v>
      </x:c>
      <x:c r="AI227" t="str">
        <x:v>Jesse Lewis</x:v>
      </x:c>
      <x:c r="AJ227" t="str">
        <x:v>SIBLING</x:v>
      </x:c>
      <x:c r="AK227" t="str">
        <x:v>+1 (713) 555-0198</x:v>
      </x:c>
    </x:row>
    <x:row r="228" ht="18" customHeight="1">
      <x:c r="A228" t="str">
        <x:v>DHR-00227</x:v>
      </x:c>
      <x:c r="B228" t="str">
        <x:v>Hayden Johnson</x:v>
      </x:c>
      <x:c r="C228" t="str">
        <x:v>https://api.dicebear.com/9.x/adventurer/png?seed=DHR-00227-Hayden%20Johnson&amp;size=256&amp;radius=50&amp;backgroundColor=b6e3f4,c0aede,d1d4f9,ffd5dc,ffdfbf</x:v>
      </x:c>
      <x:c r="D228" t="str">
        <x:v>hayden.johnson.227@example.com</x:v>
      </x:c>
      <x:c r="E228" t="str">
        <x:v>+1 (702) 555-0126</x:v>
      </x:c>
      <x:c r="F228" t="str">
        <x:v>Las Vegas, NV</x:v>
      </x:c>
      <x:c r="G228" t="str">
        <x:v>Las Vegas</x:v>
      </x:c>
      <x:c r="H228" t="str">
        <x:v>NV</x:v>
      </x:c>
      <x:c r="I228" s="18" t="str">
        <x:v>89101</x:v>
      </x:c>
      <x:c r="J228" s="15" t="n">
        <x:v>32959.20980267361</x:v>
      </x:c>
      <x:c r="K228" t="n">
        <x:f>INT((DATE(2025,12,31)-J228)/365.25)</x:f>
        <x:v>35</x:v>
      </x:c>
      <x:c r="L228" t="str">
        <x:f>IF(K228&lt;25,"18-24",IF(K228&lt;35,"25-34",IF(K228&lt;45,"35-44",IF(K228&lt;55,"45-54","55+"))))</x:f>
        <x:v>35-44</x:v>
      </x:c>
      <x:c r="M228" s="15" t="n">
        <x:v>44790.9823662037</x:v>
      </x:c>
      <x:c r="N228" t="n">
        <x:f>(YEAR(DATE(2025,12,31))-YEAR(M228))*12+MONTH(DATE(2025,12,31))-MONTH(M228)</x:f>
        <x:v>40</x:v>
      </x:c>
      <x:c r="O228" t="str">
        <x:v>ACTIVE</x:v>
      </x:c>
      <x:c r="P228" t="str">
        <x:v>INDEPENDENT_CONTRACTOR</x:v>
      </x:c>
      <x:c r="Q228" t="str">
        <x:v>SCOOTER</x:v>
      </x:c>
      <x:c r="R228" t="str">
        <x:v>LUNCH</x:v>
      </x:c>
      <x:c r="S228" t="n">
        <x:v>38</x:v>
      </x:c>
      <x:c r="T228" t="str">
        <x:v>CLEARED</x:v>
      </x:c>
      <x:c r="U228" t="str">
        <x:v>VALID</x:v>
      </x:c>
      <x:c r="V228" s="16" t="n">
        <x:v>0.9101</x:v>
      </x:c>
      <x:c r="W228" t="str">
        <x:v>English</x:v>
      </x:c>
      <x:c r="X228"/>
      <x:c r="Y228" t="n">
        <x:v>4705</x:v>
      </x:c>
      <x:c r="Z228" s="17" t="n">
        <x:v>4.4</x:v>
      </x:c>
      <x:c r="AA228" s="16" t="n">
        <x:v>0.9432</x:v>
      </x:c>
      <x:c r="AB228" s="16" t="n">
        <x:v>0.9348</x:v>
      </x:c>
      <x:c r="AC228" s="16" t="n">
        <x:v>0.915</x:v>
      </x:c>
      <x:c r="AD228" t="n">
        <x:v>0</x:v>
      </x:c>
      <x:c r="AE228" t="str">
        <x:f>IF(O228&lt;&gt;"ACTIVE","NOT_RATED",IF(AND(Z228&gt;=4.8,AB228&gt;=0.97,AC228&gt;=0.93,AD228=0),"ELITE",IF(AND(Z228&gt;=4.6,AB228&gt;=0.94,AC228&gt;=0.88),"HIGH_PERFORMER",IF(OR(Z228&lt;4.2,AB228&lt;0.85,AD228&gt;=2),"AT_RISK","STANDARD"))))</x:f>
        <x:v>STANDARD</x:v>
      </x:c>
      <x:c r="AF228" s="15" t="n">
        <x:v>46011</x:v>
      </x:c>
      <x:c r="AG228" t="str">
        <x:v>PENDING</x:v>
      </x:c>
      <x:c r="AH228" t="str">
        <x:v>COMPLETE</x:v>
      </x:c>
      <x:c r="AI228" t="str">
        <x:v>Cameron Johnson</x:v>
      </x:c>
      <x:c r="AJ228" t="str">
        <x:v>PARENT</x:v>
      </x:c>
      <x:c r="AK228" t="str">
        <x:v>+1 (702) 555-0105</x:v>
      </x:c>
    </x:row>
    <x:row r="229" ht="18" customHeight="1">
      <x:c r="A229" t="str">
        <x:v>DHR-00228</x:v>
      </x:c>
      <x:c r="B229" t="str">
        <x:v>Hayden Jones</x:v>
      </x:c>
      <x:c r="C229" t="str">
        <x:v>https://api.dicebear.com/9.x/adventurer/png?seed=DHR-00228-Hayden%20Jones&amp;size=256&amp;radius=50&amp;backgroundColor=b6e3f4,c0aede,d1d4f9,ffd5dc,ffdfbf</x:v>
      </x:c>
      <x:c r="D229" t="str">
        <x:v>hayden.jones.228@example.com</x:v>
      </x:c>
      <x:c r="E229" t="str">
        <x:v>+1 (713) 555-0127</x:v>
      </x:c>
      <x:c r="F229" t="str">
        <x:v>Houston, TX</x:v>
      </x:c>
      <x:c r="G229" t="str">
        <x:v>Houston</x:v>
      </x:c>
      <x:c r="H229" t="str">
        <x:v>TX</x:v>
      </x:c>
      <x:c r="I229" s="18" t="str">
        <x:v>77002</x:v>
      </x:c>
      <x:c r="J229" s="15" t="n">
        <x:v>23785.405333599538</x:v>
      </x:c>
      <x:c r="K229" t="n">
        <x:f>INT((DATE(2025,12,31)-J229)/365.25)</x:f>
        <x:v>60</x:v>
      </x:c>
      <x:c r="L229" t="str">
        <x:f>IF(K229&lt;25,"18-24",IF(K229&lt;35,"25-34",IF(K229&lt;45,"35-44",IF(K229&lt;55,"45-54","55+"))))</x:f>
        <x:v>55+</x:v>
      </x:c>
      <x:c r="M229" s="15" t="n">
        <x:v>45416.70716792824</x:v>
      </x:c>
      <x:c r="N229" t="n">
        <x:f>(YEAR(DATE(2025,12,31))-YEAR(M229))*12+MONTH(DATE(2025,12,31))-MONTH(M229)</x:f>
        <x:v>19</x:v>
      </x:c>
      <x:c r="O229" t="str">
        <x:v>ACTIVE</x:v>
      </x:c>
      <x:c r="P229" t="str">
        <x:v>INDEPENDENT_CONTRACTOR</x:v>
      </x:c>
      <x:c r="Q229" t="str">
        <x:v>CAR</x:v>
      </x:c>
      <x:c r="R229" t="str">
        <x:v>DINNER</x:v>
      </x:c>
      <x:c r="S229" t="n">
        <x:v>17</x:v>
      </x:c>
      <x:c r="T229" t="str">
        <x:v>CLEARED</x:v>
      </x:c>
      <x:c r="U229" t="str">
        <x:v>VALID</x:v>
      </x:c>
      <x:c r="V229" s="16" t="n">
        <x:v>0.7973</x:v>
      </x:c>
      <x:c r="W229" t="str">
        <x:v>English</x:v>
      </x:c>
      <x:c r="X229" t="str">
        <x:v>French</x:v>
      </x:c>
      <x:c r="Y229" t="n">
        <x:v>784</x:v>
      </x:c>
      <x:c r="Z229" s="17" t="n">
        <x:v>4.77</x:v>
      </x:c>
      <x:c r="AA229" s="16" t="n">
        <x:v>0.7309</x:v>
      </x:c>
      <x:c r="AB229" s="16" t="n">
        <x:v>0.9435</x:v>
      </x:c>
      <x:c r="AC229" s="16" t="n">
        <x:v>0.957</x:v>
      </x:c>
      <x:c r="AD229" t="n">
        <x:v>1</x:v>
      </x:c>
      <x:c r="AE229" t="str">
        <x:f>IF(O229&lt;&gt;"ACTIVE","NOT_RATED",IF(AND(Z229&gt;=4.8,AB229&gt;=0.97,AC229&gt;=0.93,AD229=0),"ELITE",IF(AND(Z229&gt;=4.6,AB229&gt;=0.94,AC229&gt;=0.88),"HIGH_PERFORMER",IF(OR(Z229&lt;4.2,AB229&lt;0.85,AD229&gt;=2),"AT_RISK","STANDARD"))))</x:f>
        <x:v>HIGH_PERFORMER</x:v>
      </x:c>
      <x:c r="AF229" s="15" t="n">
        <x:v>46013</x:v>
      </x:c>
      <x:c r="AG229" t="str">
        <x:v>VERIFIED</x:v>
      </x:c>
      <x:c r="AH229" t="str">
        <x:v>COMPLETE</x:v>
      </x:c>
      <x:c r="AI229" t="str">
        <x:v>Olivia Lee</x:v>
      </x:c>
      <x:c r="AJ229" t="str">
        <x:v>PARENT</x:v>
      </x:c>
      <x:c r="AK229" t="str">
        <x:v>+1 (713) 555-0112</x:v>
      </x:c>
    </x:row>
    <x:row r="230" ht="18" customHeight="1">
      <x:c r="A230" t="str">
        <x:v>DHR-00229</x:v>
      </x:c>
      <x:c r="B230" t="str">
        <x:v>Hayden Lee</x:v>
      </x:c>
      <x:c r="C230" t="str">
        <x:v>https://api.dicebear.com/9.x/adventurer/png?seed=DHR-00229-Hayden%20Lee&amp;size=256&amp;radius=50&amp;backgroundColor=b6e3f4,c0aede,d1d4f9,ffd5dc,ffdfbf</x:v>
      </x:c>
      <x:c r="D230" t="str">
        <x:v>hayden.lee.229@example.com</x:v>
      </x:c>
      <x:c r="E230" t="str">
        <x:v>+1 (615) 555-0128</x:v>
      </x:c>
      <x:c r="F230" t="str">
        <x:v>Nashville, TN</x:v>
      </x:c>
      <x:c r="G230" t="str">
        <x:v>Nashville</x:v>
      </x:c>
      <x:c r="H230" t="str">
        <x:v>TN</x:v>
      </x:c>
      <x:c r="I230" s="18" t="str">
        <x:v>37219</x:v>
      </x:c>
      <x:c r="J230" s="15" t="n">
        <x:v>37653.78697256945</x:v>
      </x:c>
      <x:c r="K230" t="n">
        <x:f>INT((DATE(2025,12,31)-J230)/365.25)</x:f>
        <x:v>22</x:v>
      </x:c>
      <x:c r="L230" t="str">
        <x:f>IF(K230&lt;25,"18-24",IF(K230&lt;35,"25-34",IF(K230&lt;45,"35-44",IF(K230&lt;55,"45-54","55+"))))</x:f>
        <x:v>18-24</x:v>
      </x:c>
      <x:c r="M230" s="15" t="n">
        <x:v>45198.62790935185</x:v>
      </x:c>
      <x:c r="N230" t="n">
        <x:f>(YEAR(DATE(2025,12,31))-YEAR(M230))*12+MONTH(DATE(2025,12,31))-MONTH(M230)</x:f>
        <x:v>27</x:v>
      </x:c>
      <x:c r="O230" t="str">
        <x:v>ACTIVE</x:v>
      </x:c>
      <x:c r="P230" t="str">
        <x:v>INDEPENDENT_CONTRACTOR</x:v>
      </x:c>
      <x:c r="Q230" t="str">
        <x:v>CAR</x:v>
      </x:c>
      <x:c r="R230" t="str">
        <x:v>FLEXIBLE</x:v>
      </x:c>
      <x:c r="S230" t="n">
        <x:v>43</x:v>
      </x:c>
      <x:c r="T230" t="str">
        <x:v>CLEARED</x:v>
      </x:c>
      <x:c r="U230" t="str">
        <x:v>VALID</x:v>
      </x:c>
      <x:c r="V230" s="16" t="n">
        <x:v>0.9664</x:v>
      </x:c>
      <x:c r="W230" t="str">
        <x:v>English</x:v>
      </x:c>
      <x:c r="X230"/>
      <x:c r="Y230" t="n">
        <x:v>3475</x:v>
      </x:c>
      <x:c r="Z230" s="17" t="n">
        <x:v>4.7</x:v>
      </x:c>
      <x:c r="AA230" s="16" t="n">
        <x:v>0.7522</x:v>
      </x:c>
      <x:c r="AB230" s="16" t="n">
        <x:v>0.9828</x:v>
      </x:c>
      <x:c r="AC230" s="16" t="n">
        <x:v>0.8457</x:v>
      </x:c>
      <x:c r="AD230" t="n">
        <x:v>0</x:v>
      </x:c>
      <x:c r="AE230" t="str">
        <x:f>IF(O230&lt;&gt;"ACTIVE","NOT_RATED",IF(AND(Z230&gt;=4.8,AB230&gt;=0.97,AC230&gt;=0.93,AD230=0),"ELITE",IF(AND(Z230&gt;=4.6,AB230&gt;=0.94,AC230&gt;=0.88),"HIGH_PERFORMER",IF(OR(Z230&lt;4.2,AB230&lt;0.85,AD230&gt;=2),"AT_RISK","STANDARD"))))</x:f>
        <x:v>STANDARD</x:v>
      </x:c>
      <x:c r="AF230" s="15" t="n">
        <x:v>46013</x:v>
      </x:c>
      <x:c r="AG230" t="str">
        <x:v>VERIFIED</x:v>
      </x:c>
      <x:c r="AH230" t="str">
        <x:v>PENDING</x:v>
      </x:c>
      <x:c r="AI230" t="str">
        <x:v>Morgan Thompson</x:v>
      </x:c>
      <x:c r="AJ230" t="str">
        <x:v>SIBLING</x:v>
      </x:c>
      <x:c r="AK230" t="str">
        <x:v>+1 (615) 555-0119</x:v>
      </x:c>
    </x:row>
    <x:row r="231" ht="18" customHeight="1">
      <x:c r="A231" t="str">
        <x:v>DHR-00230</x:v>
      </x:c>
      <x:c r="B231" t="str">
        <x:v>Hayden Lewis</x:v>
      </x:c>
      <x:c r="C231" t="str">
        <x:v>https://api.dicebear.com/9.x/adventurer/png?seed=DHR-00230-Hayden%20Lewis&amp;size=256&amp;radius=50&amp;backgroundColor=b6e3f4,c0aede,d1d4f9,ffd5dc,ffdfbf</x:v>
      </x:c>
      <x:c r="D231" t="str">
        <x:v>hayden.lewis.230@example.com</x:v>
      </x:c>
      <x:c r="E231" t="str">
        <x:v>+1 (503) 555-0129</x:v>
      </x:c>
      <x:c r="F231" t="str">
        <x:v>Portland, OR</x:v>
      </x:c>
      <x:c r="G231" t="str">
        <x:v>Portland</x:v>
      </x:c>
      <x:c r="H231" t="str">
        <x:v>OR</x:v>
      </x:c>
      <x:c r="I231" s="18" t="str">
        <x:v>97205</x:v>
      </x:c>
      <x:c r="J231" s="15" t="n">
        <x:v>28682.83581148148</x:v>
      </x:c>
      <x:c r="K231" t="n">
        <x:f>INT((DATE(2025,12,31)-J231)/365.25)</x:f>
        <x:v>47</x:v>
      </x:c>
      <x:c r="L231" t="str">
        <x:f>IF(K231&lt;25,"18-24",IF(K231&lt;35,"25-34",IF(K231&lt;45,"35-44",IF(K231&lt;55,"45-54","55+"))))</x:f>
        <x:v>45-54</x:v>
      </x:c>
      <x:c r="M231" s="15" t="n">
        <x:v>44735.27083876157</x:v>
      </x:c>
      <x:c r="N231" t="n">
        <x:f>(YEAR(DATE(2025,12,31))-YEAR(M231))*12+MONTH(DATE(2025,12,31))-MONTH(M231)</x:f>
        <x:v>42</x:v>
      </x:c>
      <x:c r="O231" t="str">
        <x:v>PAUSED</x:v>
      </x:c>
      <x:c r="P231" t="str">
        <x:v>INDEPENDENT_CONTRACTOR</x:v>
      </x:c>
      <x:c r="Q231" t="str">
        <x:v>CAR</x:v>
      </x:c>
      <x:c r="R231" t="str">
        <x:v>WEEKENDS</x:v>
      </x:c>
      <x:c r="S231" t="n">
        <x:v>20</x:v>
      </x:c>
      <x:c r="T231" t="str">
        <x:v>CLEARED</x:v>
      </x:c>
      <x:c r="U231" t="str">
        <x:v>VALID</x:v>
      </x:c>
      <x:c r="V231" s="16" t="n">
        <x:v>0.9406</x:v>
      </x:c>
      <x:c r="W231" t="str">
        <x:v>French</x:v>
      </x:c>
      <x:c r="X231" t="str">
        <x:v>Portuguese</x:v>
      </x:c>
      <x:c r="Y231" t="n">
        <x:v>1385</x:v>
      </x:c>
      <x:c r="Z231" s="17" t="n">
        <x:v>4.33</x:v>
      </x:c>
      <x:c r="AA231" s="16" t="n">
        <x:v>0.6603</x:v>
      </x:c>
      <x:c r="AB231" s="16" t="n">
        <x:v>0.9649</x:v>
      </x:c>
      <x:c r="AC231" s="16" t="n">
        <x:v>0.9238</x:v>
      </x:c>
      <x:c r="AD231" t="n">
        <x:v>0</x:v>
      </x:c>
      <x:c r="AE231" t="str">
        <x:f>IF(O231&lt;&gt;"ACTIVE","NOT_RATED",IF(AND(Z231&gt;=4.8,AB231&gt;=0.97,AC231&gt;=0.93,AD231=0),"ELITE",IF(AND(Z231&gt;=4.6,AB231&gt;=0.94,AC231&gt;=0.88),"HIGH_PERFORMER",IF(OR(Z231&lt;4.2,AB231&lt;0.85,AD231&gt;=2),"AT_RISK","STANDARD"))))</x:f>
        <x:v>NOT_RATED</x:v>
      </x:c>
      <x:c r="AF231" s="15" t="n">
        <x:v>45917</x:v>
      </x:c>
      <x:c r="AG231" t="str">
        <x:v>VERIFIED</x:v>
      </x:c>
      <x:c r="AH231" t="str">
        <x:v>COMPLETE</x:v>
      </x:c>
      <x:c r="AI231" t="str">
        <x:v>Devin Martin</x:v>
      </x:c>
      <x:c r="AJ231" t="str">
        <x:v>OTHER</x:v>
      </x:c>
      <x:c r="AK231" t="str">
        <x:v>+1 (503) 555-0126</x:v>
      </x:c>
    </x:row>
    <x:row r="232" ht="18" customHeight="1">
      <x:c r="A232" t="str">
        <x:v>DHR-00231</x:v>
      </x:c>
      <x:c r="B232" t="str">
        <x:v>Hayden Martin</x:v>
      </x:c>
      <x:c r="C232" t="str">
        <x:v>https://api.dicebear.com/9.x/adventurer/png?seed=DHR-00231-Hayden%20Martin&amp;size=256&amp;radius=50&amp;backgroundColor=b6e3f4,c0aede,d1d4f9,ffd5dc,ffdfbf</x:v>
      </x:c>
      <x:c r="D232" t="str">
        <x:v>hayden.martin.231@example.com</x:v>
      </x:c>
      <x:c r="E232" t="str">
        <x:v>+1 (312) 555-0130</x:v>
      </x:c>
      <x:c r="F232" t="str">
        <x:v>Chicago, IL</x:v>
      </x:c>
      <x:c r="G232" t="str">
        <x:v>Chicago</x:v>
      </x:c>
      <x:c r="H232" t="str">
        <x:v>IL</x:v>
      </x:c>
      <x:c r="I232" s="18" t="str">
        <x:v>60601</x:v>
      </x:c>
      <x:c r="J232" s="15" t="n">
        <x:v>24598.377735717593</x:v>
      </x:c>
      <x:c r="K232" t="n">
        <x:f>INT((DATE(2025,12,31)-J232)/365.25)</x:f>
        <x:v>58</x:v>
      </x:c>
      <x:c r="L232" t="str">
        <x:f>IF(K232&lt;25,"18-24",IF(K232&lt;35,"25-34",IF(K232&lt;45,"35-44",IF(K232&lt;55,"45-54","55+"))))</x:f>
        <x:v>55+</x:v>
      </x:c>
      <x:c r="M232" s="15" t="n">
        <x:v>45452.112780578704</x:v>
      </x:c>
      <x:c r="N232" t="n">
        <x:f>(YEAR(DATE(2025,12,31))-YEAR(M232))*12+MONTH(DATE(2025,12,31))-MONTH(M232)</x:f>
        <x:v>18</x:v>
      </x:c>
      <x:c r="O232" t="str">
        <x:v>ACTIVE</x:v>
      </x:c>
      <x:c r="P232" t="str">
        <x:v>INDEPENDENT_CONTRACTOR</x:v>
      </x:c>
      <x:c r="Q232" t="str">
        <x:v>BICYCLE</x:v>
      </x:c>
      <x:c r="R232" t="str">
        <x:v>FLEXIBLE</x:v>
      </x:c>
      <x:c r="S232" t="n">
        <x:v>17</x:v>
      </x:c>
      <x:c r="T232" t="str">
        <x:v>CLEARED</x:v>
      </x:c>
      <x:c r="U232" t="str">
        <x:v>NOT_REQUIRED</x:v>
      </x:c>
      <x:c r="V232" s="16" t="n">
        <x:v>0.8119</x:v>
      </x:c>
      <x:c r="W232" t="str">
        <x:v>English</x:v>
      </x:c>
      <x:c r="X232"/>
      <x:c r="Y232" t="n">
        <x:v>1255</x:v>
      </x:c>
      <x:c r="Z232" s="17" t="n">
        <x:v>4.67</x:v>
      </x:c>
      <x:c r="AA232" s="16" t="n">
        <x:v>0.8551</x:v>
      </x:c>
      <x:c r="AB232" s="16" t="n">
        <x:v>0.9124</x:v>
      </x:c>
      <x:c r="AC232" s="16" t="n">
        <x:v>0.8117</x:v>
      </x:c>
      <x:c r="AD232" t="n">
        <x:v>1</x:v>
      </x:c>
      <x:c r="AE232" t="str">
        <x:f>IF(O232&lt;&gt;"ACTIVE","NOT_RATED",IF(AND(Z232&gt;=4.8,AB232&gt;=0.97,AC232&gt;=0.93,AD232=0),"ELITE",IF(AND(Z232&gt;=4.6,AB232&gt;=0.94,AC232&gt;=0.88),"HIGH_PERFORMER",IF(OR(Z232&lt;4.2,AB232&lt;0.85,AD232&gt;=2),"AT_RISK","STANDARD"))))</x:f>
        <x:v>STANDARD</x:v>
      </x:c>
      <x:c r="AF232" s="15" t="n">
        <x:v>46022</x:v>
      </x:c>
      <x:c r="AG232" t="str">
        <x:v>VERIFIED</x:v>
      </x:c>
      <x:c r="AH232" t="str">
        <x:v>COMPLETE</x:v>
      </x:c>
      <x:c r="AI232" t="str">
        <x:v>Lucas Rodriguez</x:v>
      </x:c>
      <x:c r="AJ232" t="str">
        <x:v>PARENT</x:v>
      </x:c>
      <x:c r="AK232" t="str">
        <x:v>+1 (312) 555-0133</x:v>
      </x:c>
    </x:row>
    <x:row r="233" ht="18" customHeight="1">
      <x:c r="A233" t="str">
        <x:v>DHR-00232</x:v>
      </x:c>
      <x:c r="B233" t="str">
        <x:v>Hayden Martinez</x:v>
      </x:c>
      <x:c r="C233" t="str">
        <x:v>https://api.dicebear.com/9.x/adventurer/png?seed=DHR-00232-Hayden%20Martinez&amp;size=256&amp;radius=50&amp;backgroundColor=b6e3f4,c0aede,d1d4f9,ffd5dc,ffdfbf</x:v>
      </x:c>
      <x:c r="D233" t="str">
        <x:v>hayden.martinez.232@example.com</x:v>
      </x:c>
      <x:c r="E233" t="str">
        <x:v>+1 (312) 555-0131</x:v>
      </x:c>
      <x:c r="F233" t="str">
        <x:v>Chicago, IL</x:v>
      </x:c>
      <x:c r="G233" t="str">
        <x:v>Chicago</x:v>
      </x:c>
      <x:c r="H233" t="str">
        <x:v>IL</x:v>
      </x:c>
      <x:c r="I233" s="18" t="str">
        <x:v>60601</x:v>
      </x:c>
      <x:c r="J233" s="15" t="n">
        <x:v>37834.79382195602</x:v>
      </x:c>
      <x:c r="K233" t="n">
        <x:f>INT((DATE(2025,12,31)-J233)/365.25)</x:f>
        <x:v>22</x:v>
      </x:c>
      <x:c r="L233" t="str">
        <x:f>IF(K233&lt;25,"18-24",IF(K233&lt;35,"25-34",IF(K233&lt;45,"35-44",IF(K233&lt;55,"45-54","55+"))))</x:f>
        <x:v>18-24</x:v>
      </x:c>
      <x:c r="M233" s="15" t="n">
        <x:v>45650.68178572917</x:v>
      </x:c>
      <x:c r="N233" t="n">
        <x:f>(YEAR(DATE(2025,12,31))-YEAR(M233))*12+MONTH(DATE(2025,12,31))-MONTH(M233)</x:f>
        <x:v>12</x:v>
      </x:c>
      <x:c r="O233" t="str">
        <x:v>ACTIVE</x:v>
      </x:c>
      <x:c r="P233" t="str">
        <x:v>INDEPENDENT_CONTRACTOR</x:v>
      </x:c>
      <x:c r="Q233" t="str">
        <x:v>BICYCLE</x:v>
      </x:c>
      <x:c r="R233" t="str">
        <x:v>WEEKENDS</x:v>
      </x:c>
      <x:c r="S233" t="n">
        <x:v>18</x:v>
      </x:c>
      <x:c r="T233" t="str">
        <x:v>CLEARED</x:v>
      </x:c>
      <x:c r="U233" t="str">
        <x:v>NOT_REQUIRED</x:v>
      </x:c>
      <x:c r="V233" s="16" t="n">
        <x:v>0.9206</x:v>
      </x:c>
      <x:c r="W233" t="str">
        <x:v>Mandarin</x:v>
      </x:c>
      <x:c r="X233"/>
      <x:c r="Y233" t="n">
        <x:v>493</x:v>
      </x:c>
      <x:c r="Z233" s="17" t="n">
        <x:v>4.28</x:v>
      </x:c>
      <x:c r="AA233" s="16" t="n">
        <x:v>0.7478</x:v>
      </x:c>
      <x:c r="AB233" s="16" t="n">
        <x:v>0.9743</x:v>
      </x:c>
      <x:c r="AC233" s="16" t="n">
        <x:v>0.9238</x:v>
      </x:c>
      <x:c r="AD233" t="n">
        <x:v>0</x:v>
      </x:c>
      <x:c r="AE233" t="str">
        <x:f>IF(O233&lt;&gt;"ACTIVE","NOT_RATED",IF(AND(Z233&gt;=4.8,AB233&gt;=0.97,AC233&gt;=0.93,AD233=0),"ELITE",IF(AND(Z233&gt;=4.6,AB233&gt;=0.94,AC233&gt;=0.88),"HIGH_PERFORMER",IF(OR(Z233&lt;4.2,AB233&lt;0.85,AD233&gt;=2),"AT_RISK","STANDARD"))))</x:f>
        <x:v>STANDARD</x:v>
      </x:c>
      <x:c r="AF233" s="15" t="n">
        <x:v>46016</x:v>
      </x:c>
      <x:c r="AG233" t="str">
        <x:v>VERIFIED</x:v>
      </x:c>
      <x:c r="AH233" t="str">
        <x:v>COMPLETE</x:v>
      </x:c>
      <x:c r="AI233" t="str">
        <x:v>Chris Young</x:v>
      </x:c>
      <x:c r="AJ233" t="str">
        <x:v>SPOUSE_PARTNER</x:v>
      </x:c>
      <x:c r="AK233" t="str">
        <x:v>+1 (312) 555-0140</x:v>
      </x:c>
    </x:row>
    <x:row r="234" ht="18" customHeight="1">
      <x:c r="A234" t="str">
        <x:v>DHR-00233</x:v>
      </x:c>
      <x:c r="B234" t="str">
        <x:v>Hayden Moore</x:v>
      </x:c>
      <x:c r="C234" t="str">
        <x:v>https://api.dicebear.com/9.x/adventurer/png?seed=DHR-00233-Hayden%20Moore&amp;size=256&amp;radius=50&amp;backgroundColor=b6e3f4,c0aede,d1d4f9,ffd5dc,ffdfbf</x:v>
      </x:c>
      <x:c r="D234" t="str">
        <x:v>hayden.moore.233@example.com</x:v>
      </x:c>
      <x:c r="E234" t="str">
        <x:v>+1 (305) 555-0132</x:v>
      </x:c>
      <x:c r="F234" t="str">
        <x:v>Miami, FL</x:v>
      </x:c>
      <x:c r="G234" t="str">
        <x:v>Miami</x:v>
      </x:c>
      <x:c r="H234" t="str">
        <x:v>FL</x:v>
      </x:c>
      <x:c r="I234" s="18" t="str">
        <x:v>33130</x:v>
      </x:c>
      <x:c r="J234" s="15" t="n">
        <x:v>34307.36752130787</x:v>
      </x:c>
      <x:c r="K234" t="n">
        <x:f>INT((DATE(2025,12,31)-J234)/365.25)</x:f>
        <x:v>32</x:v>
      </x:c>
      <x:c r="L234" t="str">
        <x:f>IF(K234&lt;25,"18-24",IF(K234&lt;35,"25-34",IF(K234&lt;45,"35-44",IF(K234&lt;55,"45-54","55+"))))</x:f>
        <x:v>25-34</x:v>
      </x:c>
      <x:c r="M234" s="15" t="n">
        <x:v>45624.03648721065</x:v>
      </x:c>
      <x:c r="N234" t="n">
        <x:f>(YEAR(DATE(2025,12,31))-YEAR(M234))*12+MONTH(DATE(2025,12,31))-MONTH(M234)</x:f>
        <x:v>13</x:v>
      </x:c>
      <x:c r="O234" t="str">
        <x:v>ACTIVE</x:v>
      </x:c>
      <x:c r="P234" t="str">
        <x:v>INDEPENDENT_CONTRACTOR</x:v>
      </x:c>
      <x:c r="Q234" t="str">
        <x:v>CAR</x:v>
      </x:c>
      <x:c r="R234" t="str">
        <x:v>LUNCH</x:v>
      </x:c>
      <x:c r="S234" t="n">
        <x:v>15</x:v>
      </x:c>
      <x:c r="T234" t="str">
        <x:v>CLEARED</x:v>
      </x:c>
      <x:c r="U234" t="str">
        <x:v>VALID</x:v>
      </x:c>
      <x:c r="V234" s="16" t="n">
        <x:v>0.9505</x:v>
      </x:c>
      <x:c r="W234" t="str">
        <x:v>English</x:v>
      </x:c>
      <x:c r="X234"/>
      <x:c r="Y234" t="n">
        <x:v>590</x:v>
      </x:c>
      <x:c r="Z234" s="17" t="n">
        <x:v>4.3</x:v>
      </x:c>
      <x:c r="AA234" s="16" t="n">
        <x:v>0.7185</x:v>
      </x:c>
      <x:c r="AB234" s="16" t="n">
        <x:v>0.9177</x:v>
      </x:c>
      <x:c r="AC234" s="16" t="n">
        <x:v>0.8921</x:v>
      </x:c>
      <x:c r="AD234" t="n">
        <x:v>0</x:v>
      </x:c>
      <x:c r="AE234" t="str">
        <x:f>IF(O234&lt;&gt;"ACTIVE","NOT_RATED",IF(AND(Z234&gt;=4.8,AB234&gt;=0.97,AC234&gt;=0.93,AD234=0),"ELITE",IF(AND(Z234&gt;=4.6,AB234&gt;=0.94,AC234&gt;=0.88),"HIGH_PERFORMER",IF(OR(Z234&lt;4.2,AB234&lt;0.85,AD234&gt;=2),"AT_RISK","STANDARD"))))</x:f>
        <x:v>STANDARD</x:v>
      </x:c>
      <x:c r="AF234" s="15" t="n">
        <x:v>46011</x:v>
      </x:c>
      <x:c r="AG234" t="str">
        <x:v>VERIFIED</x:v>
      </x:c>
      <x:c r="AH234" t="str">
        <x:v>COMPLETE</x:v>
      </x:c>
      <x:c r="AI234" t="str">
        <x:v>Mia Martinez</x:v>
      </x:c>
      <x:c r="AJ234" t="str">
        <x:v>SPOUSE_PARTNER</x:v>
      </x:c>
      <x:c r="AK234" t="str">
        <x:v>+1 (305) 555-0147</x:v>
      </x:c>
    </x:row>
    <x:row r="235" ht="18" customHeight="1">
      <x:c r="A235" t="str">
        <x:v>DHR-00234</x:v>
      </x:c>
      <x:c r="B235" t="str">
        <x:v>Hayden Perez</x:v>
      </x:c>
      <x:c r="C235" t="str">
        <x:v>https://api.dicebear.com/9.x/adventurer/png?seed=DHR-00234-Hayden%20Perez&amp;size=256&amp;radius=50&amp;backgroundColor=b6e3f4,c0aede,d1d4f9,ffd5dc,ffdfbf</x:v>
      </x:c>
      <x:c r="D235" t="str">
        <x:v>hayden.perez.234@example.com</x:v>
      </x:c>
      <x:c r="E235" t="str">
        <x:v>+1 (713) 555-0133</x:v>
      </x:c>
      <x:c r="F235" t="str">
        <x:v>Houston, TX</x:v>
      </x:c>
      <x:c r="G235" t="str">
        <x:v>Houston</x:v>
      </x:c>
      <x:c r="H235" t="str">
        <x:v>TX</x:v>
      </x:c>
      <x:c r="I235" s="18" t="str">
        <x:v>77002</x:v>
      </x:c>
      <x:c r="J235" s="15" t="n">
        <x:v>23736.08780454861</x:v>
      </x:c>
      <x:c r="K235" t="n">
        <x:f>INT((DATE(2025,12,31)-J235)/365.25)</x:f>
        <x:v>61</x:v>
      </x:c>
      <x:c r="L235" t="str">
        <x:f>IF(K235&lt;25,"18-24",IF(K235&lt;35,"25-34",IF(K235&lt;45,"35-44",IF(K235&lt;55,"45-54","55+"))))</x:f>
        <x:v>55+</x:v>
      </x:c>
      <x:c r="M235" s="15" t="n">
        <x:v>45768.48713690972</x:v>
      </x:c>
      <x:c r="N235" t="n">
        <x:f>(YEAR(DATE(2025,12,31))-YEAR(M235))*12+MONTH(DATE(2025,12,31))-MONTH(M235)</x:f>
        <x:v>8</x:v>
      </x:c>
      <x:c r="O235" t="str">
        <x:v>ACTIVE</x:v>
      </x:c>
      <x:c r="P235" t="str">
        <x:v>INDEPENDENT_CONTRACTOR</x:v>
      </x:c>
      <x:c r="Q235" t="str">
        <x:v>CAR</x:v>
      </x:c>
      <x:c r="R235" t="str">
        <x:v>LUNCH</x:v>
      </x:c>
      <x:c r="S235" t="n">
        <x:v>22</x:v>
      </x:c>
      <x:c r="T235" t="str">
        <x:v>CLEARED</x:v>
      </x:c>
      <x:c r="U235" t="str">
        <x:v>VALID</x:v>
      </x:c>
      <x:c r="V235" s="16" t="n">
        <x:v>0.9164</x:v>
      </x:c>
      <x:c r="W235" t="str">
        <x:v>English</x:v>
      </x:c>
      <x:c r="X235"/>
      <x:c r="Y235" t="n">
        <x:v>290</x:v>
      </x:c>
      <x:c r="Z235" s="17" t="n">
        <x:v>4.58</x:v>
      </x:c>
      <x:c r="AA235" s="16" t="n">
        <x:v>0.8961</x:v>
      </x:c>
      <x:c r="AB235" s="16" t="n">
        <x:v>0.8948</x:v>
      </x:c>
      <x:c r="AC235" s="16" t="n">
        <x:v>0.8185</x:v>
      </x:c>
      <x:c r="AD235" t="n">
        <x:v>0</x:v>
      </x:c>
      <x:c r="AE235" t="str">
        <x:f>IF(O235&lt;&gt;"ACTIVE","NOT_RATED",IF(AND(Z235&gt;=4.8,AB235&gt;=0.97,AC235&gt;=0.93,AD235=0),"ELITE",IF(AND(Z235&gt;=4.6,AB235&gt;=0.94,AC235&gt;=0.88),"HIGH_PERFORMER",IF(OR(Z235&lt;4.2,AB235&lt;0.85,AD235&gt;=2),"AT_RISK","STANDARD"))))</x:f>
        <x:v>STANDARD</x:v>
      </x:c>
      <x:c r="AF235" s="15" t="n">
        <x:v>46016</x:v>
      </x:c>
      <x:c r="AG235" t="str">
        <x:v>VERIFIED</x:v>
      </x:c>
      <x:c r="AH235" t="str">
        <x:v>COMPLETE</x:v>
      </x:c>
      <x:c r="AI235" t="str">
        <x:v>Riley White</x:v>
      </x:c>
      <x:c r="AJ235" t="str">
        <x:v>SIBLING</x:v>
      </x:c>
      <x:c r="AK235" t="str">
        <x:v>+1 (713) 555-0154</x:v>
      </x:c>
    </x:row>
    <x:row r="236" ht="18" customHeight="1">
      <x:c r="A236" t="str">
        <x:v>DHR-00235</x:v>
      </x:c>
      <x:c r="B236" t="str">
        <x:v>Hayden Rodriguez</x:v>
      </x:c>
      <x:c r="C236" t="str">
        <x:v>https://api.dicebear.com/9.x/adventurer/png?seed=DHR-00235-Hayden%20Rodriguez&amp;size=256&amp;radius=50&amp;backgroundColor=b6e3f4,c0aede,d1d4f9,ffd5dc,ffdfbf</x:v>
      </x:c>
      <x:c r="D236" t="str">
        <x:v>hayden.rodriguez.235@example.com</x:v>
      </x:c>
      <x:c r="E236" t="str">
        <x:v>+1 (704) 555-0134</x:v>
      </x:c>
      <x:c r="F236" t="str">
        <x:v>Charlotte, NC</x:v>
      </x:c>
      <x:c r="G236" t="str">
        <x:v>Charlotte</x:v>
      </x:c>
      <x:c r="H236" t="str">
        <x:v>NC</x:v>
      </x:c>
      <x:c r="I236" s="18" t="str">
        <x:v>28202</x:v>
      </x:c>
      <x:c r="J236" s="15" t="n">
        <x:v>36277.66006362269</x:v>
      </x:c>
      <x:c r="K236" t="n">
        <x:f>INT((DATE(2025,12,31)-J236)/365.25)</x:f>
        <x:v>26</x:v>
      </x:c>
      <x:c r="L236" t="str">
        <x:f>IF(K236&lt;25,"18-24",IF(K236&lt;35,"25-34",IF(K236&lt;45,"35-44",IF(K236&lt;55,"45-54","55+"))))</x:f>
        <x:v>25-34</x:v>
      </x:c>
      <x:c r="M236" s="15" t="n">
        <x:v>43527.21473658565</x:v>
      </x:c>
      <x:c r="N236" t="n">
        <x:f>(YEAR(DATE(2025,12,31))-YEAR(M236))*12+MONTH(DATE(2025,12,31))-MONTH(M236)</x:f>
        <x:v>81</x:v>
      </x:c>
      <x:c r="O236" t="str">
        <x:v>ACTIVE</x:v>
      </x:c>
      <x:c r="P236" t="str">
        <x:v>INDEPENDENT_CONTRACTOR</x:v>
      </x:c>
      <x:c r="Q236" t="str">
        <x:v>CAR</x:v>
      </x:c>
      <x:c r="R236" t="str">
        <x:v>FLEXIBLE</x:v>
      </x:c>
      <x:c r="S236" t="n">
        <x:v>27</x:v>
      </x:c>
      <x:c r="T236" t="str">
        <x:v>CLEARED</x:v>
      </x:c>
      <x:c r="U236" t="str">
        <x:v>VALID</x:v>
      </x:c>
      <x:c r="V236" s="16" t="n">
        <x:v>0.7872</x:v>
      </x:c>
      <x:c r="W236" t="str">
        <x:v>English</x:v>
      </x:c>
      <x:c r="X236"/>
      <x:c r="Y236" t="n">
        <x:v>5412</x:v>
      </x:c>
      <x:c r="Z236" s="17" t="n">
        <x:v>4.55</x:v>
      </x:c>
      <x:c r="AA236" s="16" t="n">
        <x:v>0.9834</x:v>
      </x:c>
      <x:c r="AB236" s="16" t="n">
        <x:v>0.9729</x:v>
      </x:c>
      <x:c r="AC236" s="16" t="n">
        <x:v>0.9416</x:v>
      </x:c>
      <x:c r="AD236" t="n">
        <x:v>0</x:v>
      </x:c>
      <x:c r="AE236" t="str">
        <x:f>IF(O236&lt;&gt;"ACTIVE","NOT_RATED",IF(AND(Z236&gt;=4.8,AB236&gt;=0.97,AC236&gt;=0.93,AD236=0),"ELITE",IF(AND(Z236&gt;=4.6,AB236&gt;=0.94,AC236&gt;=0.88),"HIGH_PERFORMER",IF(OR(Z236&lt;4.2,AB236&lt;0.85,AD236&gt;=2),"AT_RISK","STANDARD"))))</x:f>
        <x:v>STANDARD</x:v>
      </x:c>
      <x:c r="AF236" s="15" t="n">
        <x:v>46013</x:v>
      </x:c>
      <x:c r="AG236" t="str">
        <x:v>PENDING</x:v>
      </x:c>
      <x:c r="AH236" t="str">
        <x:v>COMPLETE</x:v>
      </x:c>
      <x:c r="AI236" t="str">
        <x:v>Cameron Davis</x:v>
      </x:c>
      <x:c r="AJ236" t="str">
        <x:v>SPOUSE_PARTNER</x:v>
      </x:c>
      <x:c r="AK236" t="str">
        <x:v>+1 (704) 555-0161</x:v>
      </x:c>
    </x:row>
    <x:row r="237" ht="18" customHeight="1">
      <x:c r="A237" t="str">
        <x:v>DHR-00236</x:v>
      </x:c>
      <x:c r="B237" t="str">
        <x:v>Hayden Taylor</x:v>
      </x:c>
      <x:c r="C237" t="str">
        <x:v>https://api.dicebear.com/9.x/adventurer/png?seed=DHR-00236-Hayden%20Taylor&amp;size=256&amp;radius=50&amp;backgroundColor=b6e3f4,c0aede,d1d4f9,ffd5dc,ffdfbf</x:v>
      </x:c>
      <x:c r="D237" t="str">
        <x:v>hayden.taylor.236@example.com</x:v>
      </x:c>
      <x:c r="E237" t="str">
        <x:v>+1 (312) 555-0135</x:v>
      </x:c>
      <x:c r="F237" t="str">
        <x:v>Chicago, IL</x:v>
      </x:c>
      <x:c r="G237" t="str">
        <x:v>Chicago</x:v>
      </x:c>
      <x:c r="H237" t="str">
        <x:v>IL</x:v>
      </x:c>
      <x:c r="I237" s="18" t="str">
        <x:v>60601</x:v>
      </x:c>
      <x:c r="J237" s="15" t="n">
        <x:v>38392.87313954861</x:v>
      </x:c>
      <x:c r="K237" t="n">
        <x:f>INT((DATE(2025,12,31)-J237)/365.25)</x:f>
        <x:v>20</x:v>
      </x:c>
      <x:c r="L237" t="str">
        <x:f>IF(K237&lt;25,"18-24",IF(K237&lt;35,"25-34",IF(K237&lt;45,"35-44",IF(K237&lt;55,"45-54","55+"))))</x:f>
        <x:v>18-24</x:v>
      </x:c>
      <x:c r="M237" s="15" t="n">
        <x:v>45731.40469645833</x:v>
      </x:c>
      <x:c r="N237" t="n">
        <x:f>(YEAR(DATE(2025,12,31))-YEAR(M237))*12+MONTH(DATE(2025,12,31))-MONTH(M237)</x:f>
        <x:v>9</x:v>
      </x:c>
      <x:c r="O237" t="str">
        <x:v>ACTIVE</x:v>
      </x:c>
      <x:c r="P237" t="str">
        <x:v>INDEPENDENT_CONTRACTOR</x:v>
      </x:c>
      <x:c r="Q237" t="str">
        <x:v>CAR</x:v>
      </x:c>
      <x:c r="R237" t="str">
        <x:v>LUNCH</x:v>
      </x:c>
      <x:c r="S237" t="n">
        <x:v>47</x:v>
      </x:c>
      <x:c r="T237" t="str">
        <x:v>CLEARED</x:v>
      </x:c>
      <x:c r="U237" t="str">
        <x:v>VALID</x:v>
      </x:c>
      <x:c r="V237" s="16" t="n">
        <x:v>0.9415</x:v>
      </x:c>
      <x:c r="W237" t="str">
        <x:v>English</x:v>
      </x:c>
      <x:c r="X237" t="str">
        <x:v>Spanish</x:v>
      </x:c>
      <x:c r="Y237" t="n">
        <x:v>1732</x:v>
      </x:c>
      <x:c r="Z237" s="17" t="n">
        <x:v>4.41</x:v>
      </x:c>
      <x:c r="AA237" s="16" t="n">
        <x:v>0.8519</x:v>
      </x:c>
      <x:c r="AB237" s="16" t="n">
        <x:v>0.9226</x:v>
      </x:c>
      <x:c r="AC237" s="16" t="n">
        <x:v>0.9255</x:v>
      </x:c>
      <x:c r="AD237" t="n">
        <x:v>1</x:v>
      </x:c>
      <x:c r="AE237" t="str">
        <x:f>IF(O237&lt;&gt;"ACTIVE","NOT_RATED",IF(AND(Z237&gt;=4.8,AB237&gt;=0.97,AC237&gt;=0.93,AD237=0),"ELITE",IF(AND(Z237&gt;=4.6,AB237&gt;=0.94,AC237&gt;=0.88),"HIGH_PERFORMER",IF(OR(Z237&lt;4.2,AB237&lt;0.85,AD237&gt;=2),"AT_RISK","STANDARD"))))</x:f>
        <x:v>STANDARD</x:v>
      </x:c>
      <x:c r="AF237" s="15" t="n">
        <x:v>46018</x:v>
      </x:c>
      <x:c r="AG237" t="str">
        <x:v>VERIFIED</x:v>
      </x:c>
      <x:c r="AH237" t="str">
        <x:v>COMPLETE</x:v>
      </x:c>
      <x:c r="AI237" t="str">
        <x:v>Jesse Young</x:v>
      </x:c>
      <x:c r="AJ237" t="str">
        <x:v>SPOUSE_PARTNER</x:v>
      </x:c>
      <x:c r="AK237" t="str">
        <x:v>+1 (312) 555-0168</x:v>
      </x:c>
    </x:row>
    <x:row r="238" ht="18" customHeight="1">
      <x:c r="A238" t="str">
        <x:v>DHR-00237</x:v>
      </x:c>
      <x:c r="B238" t="str">
        <x:v>Hayden Thomas</x:v>
      </x:c>
      <x:c r="C238" t="str">
        <x:v>https://api.dicebear.com/9.x/adventurer/png?seed=DHR-00237-Hayden%20Thomas&amp;size=256&amp;radius=50&amp;backgroundColor=b6e3f4,c0aede,d1d4f9,ffd5dc,ffdfbf</x:v>
      </x:c>
      <x:c r="D238" t="str">
        <x:v>hayden.thomas.237@example.com</x:v>
      </x:c>
      <x:c r="E238" t="str">
        <x:v>+1 (602) 555-0136</x:v>
      </x:c>
      <x:c r="F238" t="str">
        <x:v>Phoenix, AZ</x:v>
      </x:c>
      <x:c r="G238" t="str">
        <x:v>Phoenix</x:v>
      </x:c>
      <x:c r="H238" t="str">
        <x:v>AZ</x:v>
      </x:c>
      <x:c r="I238" s="18" t="str">
        <x:v>85004</x:v>
      </x:c>
      <x:c r="J238" s="15" t="n">
        <x:v>25837.86113804398</x:v>
      </x:c>
      <x:c r="K238" t="n">
        <x:f>INT((DATE(2025,12,31)-J238)/365.25)</x:f>
        <x:v>55</x:v>
      </x:c>
      <x:c r="L238" t="str">
        <x:f>IF(K238&lt;25,"18-24",IF(K238&lt;35,"25-34",IF(K238&lt;45,"35-44",IF(K238&lt;55,"45-54","55+"))))</x:f>
        <x:v>55+</x:v>
      </x:c>
      <x:c r="M238" s="15" t="n">
        <x:v>45025.093983576386</x:v>
      </x:c>
      <x:c r="N238" t="n">
        <x:f>(YEAR(DATE(2025,12,31))-YEAR(M238))*12+MONTH(DATE(2025,12,31))-MONTH(M238)</x:f>
        <x:v>32</x:v>
      </x:c>
      <x:c r="O238" t="str">
        <x:v>ACTIVE</x:v>
      </x:c>
      <x:c r="P238" t="str">
        <x:v>INDEPENDENT_CONTRACTOR</x:v>
      </x:c>
      <x:c r="Q238" t="str">
        <x:v>SCOOTER</x:v>
      </x:c>
      <x:c r="R238" t="str">
        <x:v>WEEKENDS</x:v>
      </x:c>
      <x:c r="S238" t="n">
        <x:v>15</x:v>
      </x:c>
      <x:c r="T238" t="str">
        <x:v>CLEARED</x:v>
      </x:c>
      <x:c r="U238" t="str">
        <x:v>VALID</x:v>
      </x:c>
      <x:c r="V238" s="16" t="n">
        <x:v>0.9071</x:v>
      </x:c>
      <x:c r="W238" t="str">
        <x:v>Spanish</x:v>
      </x:c>
      <x:c r="X238"/>
      <x:c r="Y238" t="n">
        <x:v>1269</x:v>
      </x:c>
      <x:c r="Z238" s="17" t="n">
        <x:v>4.52</x:v>
      </x:c>
      <x:c r="AA238" s="16" t="n">
        <x:v>0.9324</x:v>
      </x:c>
      <x:c r="AB238" s="16" t="n">
        <x:v>0.9364</x:v>
      </x:c>
      <x:c r="AC238" s="16" t="n">
        <x:v>0.8179</x:v>
      </x:c>
      <x:c r="AD238" t="n">
        <x:v>0</x:v>
      </x:c>
      <x:c r="AE238" t="str">
        <x:f>IF(O238&lt;&gt;"ACTIVE","NOT_RATED",IF(AND(Z238&gt;=4.8,AB238&gt;=0.97,AC238&gt;=0.93,AD238=0),"ELITE",IF(AND(Z238&gt;=4.6,AB238&gt;=0.94,AC238&gt;=0.88),"HIGH_PERFORMER",IF(OR(Z238&lt;4.2,AB238&lt;0.85,AD238&gt;=2),"AT_RISK","STANDARD"))))</x:f>
        <x:v>STANDARD</x:v>
      </x:c>
      <x:c r="AF238" s="15" t="n">
        <x:v>46017</x:v>
      </x:c>
      <x:c r="AG238" t="str">
        <x:v>PENDING</x:v>
      </x:c>
      <x:c r="AH238" t="str">
        <x:v>PENDING</x:v>
      </x:c>
      <x:c r="AI238" t="str">
        <x:v>Mia Miller</x:v>
      </x:c>
      <x:c r="AJ238" t="str">
        <x:v>PARENT</x:v>
      </x:c>
      <x:c r="AK238" t="str">
        <x:v>+1 (602) 555-0175</x:v>
      </x:c>
    </x:row>
    <x:row r="239" ht="18" customHeight="1">
      <x:c r="A239" t="str">
        <x:v>DHR-00238</x:v>
      </x:c>
      <x:c r="B239" t="str">
        <x:v>Hayden Walker</x:v>
      </x:c>
      <x:c r="C239" t="str">
        <x:v>https://api.dicebear.com/9.x/adventurer/png?seed=DHR-00238-Hayden%20Walker&amp;size=256&amp;radius=50&amp;backgroundColor=b6e3f4,c0aede,d1d4f9,ffd5dc,ffdfbf</x:v>
      </x:c>
      <x:c r="D239" t="str">
        <x:v>hayden.walker.238@example.com</x:v>
      </x:c>
      <x:c r="E239" t="str">
        <x:v>+1 (415) 555-0137</x:v>
      </x:c>
      <x:c r="F239" t="str">
        <x:v>San Francisco, CA</x:v>
      </x:c>
      <x:c r="G239" t="str">
        <x:v>San Francisco</x:v>
      </x:c>
      <x:c r="H239" t="str">
        <x:v>CA</x:v>
      </x:c>
      <x:c r="I239" s="18" t="str">
        <x:v>94103</x:v>
      </x:c>
      <x:c r="J239" s="15" t="n">
        <x:v>25934.586906990742</x:v>
      </x:c>
      <x:c r="K239" t="n">
        <x:f>INT((DATE(2025,12,31)-J239)/365.25)</x:f>
        <x:v>54</x:v>
      </x:c>
      <x:c r="L239" t="str">
        <x:f>IF(K239&lt;25,"18-24",IF(K239&lt;35,"25-34",IF(K239&lt;45,"35-44",IF(K239&lt;55,"45-54","55+"))))</x:f>
        <x:v>45-54</x:v>
      </x:c>
      <x:c r="M239" s="15" t="n">
        <x:v>45039.66498475694</x:v>
      </x:c>
      <x:c r="N239" t="n">
        <x:f>(YEAR(DATE(2025,12,31))-YEAR(M239))*12+MONTH(DATE(2025,12,31))-MONTH(M239)</x:f>
        <x:v>32</x:v>
      </x:c>
      <x:c r="O239" t="str">
        <x:v>ACTIVE</x:v>
      </x:c>
      <x:c r="P239" t="str">
        <x:v>INDEPENDENT_CONTRACTOR</x:v>
      </x:c>
      <x:c r="Q239" t="str">
        <x:v>CAR</x:v>
      </x:c>
      <x:c r="R239" t="str">
        <x:v>FLEXIBLE</x:v>
      </x:c>
      <x:c r="S239" t="n">
        <x:v>13</x:v>
      </x:c>
      <x:c r="T239" t="str">
        <x:v>CLEARED</x:v>
      </x:c>
      <x:c r="U239" t="str">
        <x:v>VALID</x:v>
      </x:c>
      <x:c r="V239" s="16" t="n">
        <x:v>0.8687</x:v>
      </x:c>
      <x:c r="W239" t="str">
        <x:v>Mandarin</x:v>
      </x:c>
      <x:c r="X239"/>
      <x:c r="Y239" t="n">
        <x:v>1291</x:v>
      </x:c>
      <x:c r="Z239" s="17" t="n">
        <x:v>4.23</x:v>
      </x:c>
      <x:c r="AA239" s="16" t="n">
        <x:v>0.8525</x:v>
      </x:c>
      <x:c r="AB239" s="16" t="n">
        <x:v>0.9246</x:v>
      </x:c>
      <x:c r="AC239" s="16" t="n">
        <x:v>0.913</x:v>
      </x:c>
      <x:c r="AD239" t="n">
        <x:v>0</x:v>
      </x:c>
      <x:c r="AE239" t="str">
        <x:f>IF(O239&lt;&gt;"ACTIVE","NOT_RATED",IF(AND(Z239&gt;=4.8,AB239&gt;=0.97,AC239&gt;=0.93,AD239=0),"ELITE",IF(AND(Z239&gt;=4.6,AB239&gt;=0.94,AC239&gt;=0.88),"HIGH_PERFORMER",IF(OR(Z239&lt;4.2,AB239&lt;0.85,AD239&gt;=2),"AT_RISK","STANDARD"))))</x:f>
        <x:v>STANDARD</x:v>
      </x:c>
      <x:c r="AF239" s="15" t="n">
        <x:v>46019</x:v>
      </x:c>
      <x:c r="AG239" t="str">
        <x:v>VERIFIED</x:v>
      </x:c>
      <x:c r="AH239" t="str">
        <x:v>COMPLETE</x:v>
      </x:c>
      <x:c r="AI239" t="str">
        <x:v>Liam Moore</x:v>
      </x:c>
      <x:c r="AJ239" t="str">
        <x:v>SPOUSE_PARTNER</x:v>
      </x:c>
      <x:c r="AK239" t="str">
        <x:v>+1 (415) 555-0182</x:v>
      </x:c>
    </x:row>
    <x:row r="240" ht="18" customHeight="1">
      <x:c r="A240" t="str">
        <x:v>DHR-00239</x:v>
      </x:c>
      <x:c r="B240" t="str">
        <x:v>Hayden White</x:v>
      </x:c>
      <x:c r="C240" t="str">
        <x:v>https://api.dicebear.com/9.x/adventurer/png?seed=DHR-00239-Hayden%20White&amp;size=256&amp;radius=50&amp;backgroundColor=b6e3f4,c0aede,d1d4f9,ffd5dc,ffdfbf</x:v>
      </x:c>
      <x:c r="D240" t="str">
        <x:v>hayden.white.239@example.com</x:v>
      </x:c>
      <x:c r="E240" t="str">
        <x:v>+1 (312) 555-0138</x:v>
      </x:c>
      <x:c r="F240" t="str">
        <x:v>Chicago, IL</x:v>
      </x:c>
      <x:c r="G240" t="str">
        <x:v>Chicago</x:v>
      </x:c>
      <x:c r="H240" t="str">
        <x:v>IL</x:v>
      </x:c>
      <x:c r="I240" s="18" t="str">
        <x:v>60601</x:v>
      </x:c>
      <x:c r="J240" s="15" t="n">
        <x:v>25339.62124099537</x:v>
      </x:c>
      <x:c r="K240" t="n">
        <x:f>INT((DATE(2025,12,31)-J240)/365.25)</x:f>
        <x:v>56</x:v>
      </x:c>
      <x:c r="L240" t="str">
        <x:f>IF(K240&lt;25,"18-24",IF(K240&lt;35,"25-34",IF(K240&lt;45,"35-44",IF(K240&lt;55,"45-54","55+"))))</x:f>
        <x:v>55+</x:v>
      </x:c>
      <x:c r="M240" s="15" t="n">
        <x:v>45627.81625638889</x:v>
      </x:c>
      <x:c r="N240" t="n">
        <x:f>(YEAR(DATE(2025,12,31))-YEAR(M240))*12+MONTH(DATE(2025,12,31))-MONTH(M240)</x:f>
        <x:v>12</x:v>
      </x:c>
      <x:c r="O240" t="str">
        <x:v>ACTIVE</x:v>
      </x:c>
      <x:c r="P240" t="str">
        <x:v>INDEPENDENT_CONTRACTOR</x:v>
      </x:c>
      <x:c r="Q240" t="str">
        <x:v>CAR</x:v>
      </x:c>
      <x:c r="R240" t="str">
        <x:v>LUNCH</x:v>
      </x:c>
      <x:c r="S240" t="n">
        <x:v>11</x:v>
      </x:c>
      <x:c r="T240" t="str">
        <x:v>CLEARED</x:v>
      </x:c>
      <x:c r="U240" t="str">
        <x:v>VALID</x:v>
      </x:c>
      <x:c r="V240" s="16" t="n">
        <x:v>0.8147</x:v>
      </x:c>
      <x:c r="W240" t="str">
        <x:v>English</x:v>
      </x:c>
      <x:c r="X240"/>
      <x:c r="Y240" t="n">
        <x:v>304</x:v>
      </x:c>
      <x:c r="Z240" s="17" t="n">
        <x:v>4.52</x:v>
      </x:c>
      <x:c r="AA240" s="16" t="n">
        <x:v>0.7824</x:v>
      </x:c>
      <x:c r="AB240" s="16" t="n">
        <x:v>0.8729</x:v>
      </x:c>
      <x:c r="AC240" s="16" t="n">
        <x:v>0.8963</x:v>
      </x:c>
      <x:c r="AD240" t="n">
        <x:v>1</x:v>
      </x:c>
      <x:c r="AE240" t="str">
        <x:f>IF(O240&lt;&gt;"ACTIVE","NOT_RATED",IF(AND(Z240&gt;=4.8,AB240&gt;=0.97,AC240&gt;=0.93,AD240=0),"ELITE",IF(AND(Z240&gt;=4.6,AB240&gt;=0.94,AC240&gt;=0.88),"HIGH_PERFORMER",IF(OR(Z240&lt;4.2,AB240&lt;0.85,AD240&gt;=2),"AT_RISK","STANDARD"))))</x:f>
        <x:v>STANDARD</x:v>
      </x:c>
      <x:c r="AF240" s="15" t="n">
        <x:v>46021</x:v>
      </x:c>
      <x:c r="AG240" t="str">
        <x:v>VERIFIED</x:v>
      </x:c>
      <x:c r="AH240" t="str">
        <x:v>COMPLETE</x:v>
      </x:c>
      <x:c r="AI240" t="str">
        <x:v>Olivia Moore</x:v>
      </x:c>
      <x:c r="AJ240" t="str">
        <x:v>PARENT</x:v>
      </x:c>
      <x:c r="AK240" t="str">
        <x:v>+1 (312) 555-0189</x:v>
      </x:c>
    </x:row>
    <x:row r="241" ht="18" customHeight="1">
      <x:c r="A241" t="str">
        <x:v>DHR-00240</x:v>
      </x:c>
      <x:c r="B241" t="str">
        <x:v>Hayden Williams</x:v>
      </x:c>
      <x:c r="C241" t="str">
        <x:v>https://api.dicebear.com/9.x/adventurer/png?seed=DHR-00240-Hayden%20Williams&amp;size=256&amp;radius=50&amp;backgroundColor=b6e3f4,c0aede,d1d4f9,ffd5dc,ffdfbf</x:v>
      </x:c>
      <x:c r="D241" t="str">
        <x:v>hayden.williams.240@example.com</x:v>
      </x:c>
      <x:c r="E241" t="str">
        <x:v>+1 (212) 555-0139</x:v>
      </x:c>
      <x:c r="F241" t="str">
        <x:v>New York, NY</x:v>
      </x:c>
      <x:c r="G241" t="str">
        <x:v>New York</x:v>
      </x:c>
      <x:c r="H241" t="str">
        <x:v>NY</x:v>
      </x:c>
      <x:c r="I241" s="18" t="str">
        <x:v>10001</x:v>
      </x:c>
      <x:c r="J241" s="15" t="n">
        <x:v>33202.74123234954</x:v>
      </x:c>
      <x:c r="K241" t="n">
        <x:f>INT((DATE(2025,12,31)-J241)/365.25)</x:f>
        <x:v>35</x:v>
      </x:c>
      <x:c r="L241" t="str">
        <x:f>IF(K241&lt;25,"18-24",IF(K241&lt;35,"25-34",IF(K241&lt;45,"35-44",IF(K241&lt;55,"45-54","55+"))))</x:f>
        <x:v>35-44</x:v>
      </x:c>
      <x:c r="M241" s="15" t="n">
        <x:v>44240.888080868055</x:v>
      </x:c>
      <x:c r="N241" t="n">
        <x:f>(YEAR(DATE(2025,12,31))-YEAR(M241))*12+MONTH(DATE(2025,12,31))-MONTH(M241)</x:f>
        <x:v>58</x:v>
      </x:c>
      <x:c r="O241" t="str">
        <x:v>PAUSED</x:v>
      </x:c>
      <x:c r="P241" t="str">
        <x:v>INDEPENDENT_CONTRACTOR</x:v>
      </x:c>
      <x:c r="Q241" t="str">
        <x:v>CAR</x:v>
      </x:c>
      <x:c r="R241" t="str">
        <x:v>LUNCH</x:v>
      </x:c>
      <x:c r="S241" t="n">
        <x:v>13</x:v>
      </x:c>
      <x:c r="T241" t="str">
        <x:v>CLEARED</x:v>
      </x:c>
      <x:c r="U241" t="str">
        <x:v>VALID</x:v>
      </x:c>
      <x:c r="V241" s="16" t="n">
        <x:v>0.9269</x:v>
      </x:c>
      <x:c r="W241" t="str">
        <x:v>English</x:v>
      </x:c>
      <x:c r="X241"/>
      <x:c r="Y241" t="n">
        <x:v>2013</x:v>
      </x:c>
      <x:c r="Z241" s="17" t="n">
        <x:v>4.97</x:v>
      </x:c>
      <x:c r="AA241" s="16" t="n">
        <x:v>0.8298</x:v>
      </x:c>
      <x:c r="AB241" s="16" t="n">
        <x:v>0.9138</x:v>
      </x:c>
      <x:c r="AC241" s="16" t="n">
        <x:v>0.9382</x:v>
      </x:c>
      <x:c r="AD241" t="n">
        <x:v>0</x:v>
      </x:c>
      <x:c r="AE241" t="str">
        <x:f>IF(O241&lt;&gt;"ACTIVE","NOT_RATED",IF(AND(Z241&gt;=4.8,AB241&gt;=0.97,AC241&gt;=0.93,AD241=0),"ELITE",IF(AND(Z241&gt;=4.6,AB241&gt;=0.94,AC241&gt;=0.88),"HIGH_PERFORMER",IF(OR(Z241&lt;4.2,AB241&lt;0.85,AD241&gt;=2),"AT_RISK","STANDARD"))))</x:f>
        <x:v>NOT_RATED</x:v>
      </x:c>
      <x:c r="AF241" s="15" t="n">
        <x:v>46001</x:v>
      </x:c>
      <x:c r="AG241" t="str">
        <x:v>VERIFIED</x:v>
      </x:c>
      <x:c r="AH241" t="str">
        <x:v>COMPLETE</x:v>
      </x:c>
      <x:c r="AI241" t="str">
        <x:v>Ethan Taylor</x:v>
      </x:c>
      <x:c r="AJ241" t="str">
        <x:v>SIBLING</x:v>
      </x:c>
      <x:c r="AK241" t="str">
        <x:v>+1 (212) 555-0196</x:v>
      </x:c>
    </x:row>
    <x:row r="242" ht="18" customHeight="1">
      <x:c r="A242" t="str">
        <x:v>DHR-00241</x:v>
      </x:c>
      <x:c r="B242" t="str">
        <x:v>Hayden Wilson</x:v>
      </x:c>
      <x:c r="C242" t="str">
        <x:v>https://api.dicebear.com/9.x/adventurer/png?seed=DHR-00241-Hayden%20Wilson&amp;size=256&amp;radius=50&amp;backgroundColor=b6e3f4,c0aede,d1d4f9,ffd5dc,ffdfbf</x:v>
      </x:c>
      <x:c r="D242" t="str">
        <x:v>hayden.wilson.241@example.com</x:v>
      </x:c>
      <x:c r="E242" t="str">
        <x:v>+1 (213) 555-0140</x:v>
      </x:c>
      <x:c r="F242" t="str">
        <x:v>Los Angeles, CA</x:v>
      </x:c>
      <x:c r="G242" t="str">
        <x:v>Los Angeles</x:v>
      </x:c>
      <x:c r="H242" t="str">
        <x:v>CA</x:v>
      </x:c>
      <x:c r="I242" s="18" t="str">
        <x:v>90012</x:v>
      </x:c>
      <x:c r="J242" s="15" t="n">
        <x:v>25763.983974837964</x:v>
      </x:c>
      <x:c r="K242" t="n">
        <x:f>INT((DATE(2025,12,31)-J242)/365.25)</x:f>
        <x:v>55</x:v>
      </x:c>
      <x:c r="L242" t="str">
        <x:f>IF(K242&lt;25,"18-24",IF(K242&lt;35,"25-34",IF(K242&lt;45,"35-44",IF(K242&lt;55,"45-54","55+"))))</x:f>
        <x:v>55+</x:v>
      </x:c>
      <x:c r="M242" s="15" t="n">
        <x:v>45622.63417090278</x:v>
      </x:c>
      <x:c r="N242" t="n">
        <x:f>(YEAR(DATE(2025,12,31))-YEAR(M242))*12+MONTH(DATE(2025,12,31))-MONTH(M242)</x:f>
        <x:v>13</x:v>
      </x:c>
      <x:c r="O242" t="str">
        <x:v>OFFBOARDED</x:v>
      </x:c>
      <x:c r="P242" t="str">
        <x:v>INDEPENDENT_CONTRACTOR</x:v>
      </x:c>
      <x:c r="Q242" t="str">
        <x:v>SCOOTER</x:v>
      </x:c>
      <x:c r="R242" t="str">
        <x:v>FLEXIBLE</x:v>
      </x:c>
      <x:c r="S242" t="n">
        <x:v>13</x:v>
      </x:c>
      <x:c r="T242" t="str">
        <x:v>CLEARED</x:v>
      </x:c>
      <x:c r="U242" t="str">
        <x:v>VALID</x:v>
      </x:c>
      <x:c r="V242" s="16" t="n">
        <x:v>0.8983</x:v>
      </x:c>
      <x:c r="W242" t="str">
        <x:v>English</x:v>
      </x:c>
      <x:c r="X242"/>
      <x:c r="Y242" t="n">
        <x:v>604</x:v>
      </x:c>
      <x:c r="Z242" s="17" t="n">
        <x:v>4.38</x:v>
      </x:c>
      <x:c r="AA242" s="16" t="n">
        <x:v>0.8626</x:v>
      </x:c>
      <x:c r="AB242" s="16" t="n">
        <x:v>0.9028</x:v>
      </x:c>
      <x:c r="AC242" s="16" t="n">
        <x:v>0.8789</x:v>
      </x:c>
      <x:c r="AD242" t="n">
        <x:v>1</x:v>
      </x:c>
      <x:c r="AE242" t="str">
        <x:f>IF(O242&lt;&gt;"ACTIVE","NOT_RATED",IF(AND(Z242&gt;=4.8,AB242&gt;=0.97,AC242&gt;=0.93,AD242=0),"ELITE",IF(AND(Z242&gt;=4.6,AB242&gt;=0.94,AC242&gt;=0.88),"HIGH_PERFORMER",IF(OR(Z242&lt;4.2,AB242&lt;0.85,AD242&gt;=2),"AT_RISK","STANDARD"))))</x:f>
        <x:v>NOT_RATED</x:v>
      </x:c>
      <x:c r="AF242" s="15" t="n">
        <x:v>45744</x:v>
      </x:c>
      <x:c r="AG242" t="str">
        <x:v>VERIFIED</x:v>
      </x:c>
      <x:c r="AH242" t="str">
        <x:v>COMPLETE</x:v>
      </x:c>
      <x:c r="AI242" t="str">
        <x:v>Chris Anderson</x:v>
      </x:c>
      <x:c r="AJ242" t="str">
        <x:v>PARENT</x:v>
      </x:c>
      <x:c r="AK242" t="str">
        <x:v>+1 (213) 555-0103</x:v>
      </x:c>
    </x:row>
    <x:row r="243" ht="18" customHeight="1">
      <x:c r="A243" t="str">
        <x:v>DHR-00242</x:v>
      </x:c>
      <x:c r="B243" t="str">
        <x:v>Hayden Young</x:v>
      </x:c>
      <x:c r="C243" t="str">
        <x:v>https://api.dicebear.com/9.x/adventurer/png?seed=DHR-00242-Hayden%20Young&amp;size=256&amp;radius=50&amp;backgroundColor=b6e3f4,c0aede,d1d4f9,ffd5dc,ffdfbf</x:v>
      </x:c>
      <x:c r="D243" t="str">
        <x:v>hayden.young.242@example.com</x:v>
      </x:c>
      <x:c r="E243" t="str">
        <x:v>+1 (713) 555-0141</x:v>
      </x:c>
      <x:c r="F243" t="str">
        <x:v>Houston, TX</x:v>
      </x:c>
      <x:c r="G243" t="str">
        <x:v>Houston</x:v>
      </x:c>
      <x:c r="H243" t="str">
        <x:v>TX</x:v>
      </x:c>
      <x:c r="I243" s="18" t="str">
        <x:v>77002</x:v>
      </x:c>
      <x:c r="J243" s="15" t="n">
        <x:v>35872.162555428244</x:v>
      </x:c>
      <x:c r="K243" t="n">
        <x:f>INT((DATE(2025,12,31)-J243)/365.25)</x:f>
        <x:v>27</x:v>
      </x:c>
      <x:c r="L243" t="str">
        <x:f>IF(K243&lt;25,"18-24",IF(K243&lt;35,"25-34",IF(K243&lt;45,"35-44",IF(K243&lt;55,"45-54","55+"))))</x:f>
        <x:v>25-34</x:v>
      </x:c>
      <x:c r="M243" s="15" t="n">
        <x:v>44894.46981711806</x:v>
      </x:c>
      <x:c r="N243" t="n">
        <x:f>(YEAR(DATE(2025,12,31))-YEAR(M243))*12+MONTH(DATE(2025,12,31))-MONTH(M243)</x:f>
        <x:v>37</x:v>
      </x:c>
      <x:c r="O243" t="str">
        <x:v>ACTIVE</x:v>
      </x:c>
      <x:c r="P243" t="str">
        <x:v>INDEPENDENT_CONTRACTOR</x:v>
      </x:c>
      <x:c r="Q243" t="str">
        <x:v>CAR</x:v>
      </x:c>
      <x:c r="R243" t="str">
        <x:v>FLEXIBLE</x:v>
      </x:c>
      <x:c r="S243" t="n">
        <x:v>17</x:v>
      </x:c>
      <x:c r="T243" t="str">
        <x:v>CLEARED</x:v>
      </x:c>
      <x:c r="U243" t="str">
        <x:v>VALID</x:v>
      </x:c>
      <x:c r="V243" s="16" t="n">
        <x:v>0.9903</x:v>
      </x:c>
      <x:c r="W243" t="str">
        <x:v>English</x:v>
      </x:c>
      <x:c r="X243" t="str">
        <x:v>Spanish</x:v>
      </x:c>
      <x:c r="Y243" t="n">
        <x:v>2453</x:v>
      </x:c>
      <x:c r="Z243" s="17" t="n">
        <x:v>4.45</x:v>
      </x:c>
      <x:c r="AA243" s="16" t="n">
        <x:v>0.9234</x:v>
      </x:c>
      <x:c r="AB243" s="16" t="n">
        <x:v>0.9082</x:v>
      </x:c>
      <x:c r="AC243" s="16" t="n">
        <x:v>0.8967</x:v>
      </x:c>
      <x:c r="AD243" t="n">
        <x:v>0</x:v>
      </x:c>
      <x:c r="AE243" t="str">
        <x:f>IF(O243&lt;&gt;"ACTIVE","NOT_RATED",IF(AND(Z243&gt;=4.8,AB243&gt;=0.97,AC243&gt;=0.93,AD243=0),"ELITE",IF(AND(Z243&gt;=4.6,AB243&gt;=0.94,AC243&gt;=0.88),"HIGH_PERFORMER",IF(OR(Z243&lt;4.2,AB243&lt;0.85,AD243&gt;=2),"AT_RISK","STANDARD"))))</x:f>
        <x:v>STANDARD</x:v>
      </x:c>
      <x:c r="AF243" s="15" t="n">
        <x:v>46011</x:v>
      </x:c>
      <x:c r="AG243" t="str">
        <x:v>VERIFIED</x:v>
      </x:c>
      <x:c r="AH243" t="str">
        <x:v>COMPLETE</x:v>
      </x:c>
      <x:c r="AI243" t="str">
        <x:v>Jordan Moore</x:v>
      </x:c>
      <x:c r="AJ243" t="str">
        <x:v>OTHER</x:v>
      </x:c>
      <x:c r="AK243" t="str">
        <x:v>+1 (713) 555-0110</x:v>
      </x:c>
    </x:row>
    <x:row r="244" ht="18" customHeight="1">
      <x:c r="A244" t="str">
        <x:v>DHR-00243</x:v>
      </x:c>
      <x:c r="B244" t="str">
        <x:v>Jamie Anderson</x:v>
      </x:c>
      <x:c r="C244" t="str">
        <x:v>https://api.dicebear.com/9.x/adventurer/png?seed=DHR-00243-Jamie%20Anderson&amp;size=256&amp;radius=50&amp;backgroundColor=b6e3f4,c0aede,d1d4f9,ffd5dc,ffdfbf</x:v>
      </x:c>
      <x:c r="D244" t="str">
        <x:v>jamie.anderson.243@example.com</x:v>
      </x:c>
      <x:c r="E244" t="str">
        <x:v>+1 (602) 555-0142</x:v>
      </x:c>
      <x:c r="F244" t="str">
        <x:v>Phoenix, AZ</x:v>
      </x:c>
      <x:c r="G244" t="str">
        <x:v>Phoenix</x:v>
      </x:c>
      <x:c r="H244" t="str">
        <x:v>AZ</x:v>
      </x:c>
      <x:c r="I244" s="18" t="str">
        <x:v>85004</x:v>
      </x:c>
      <x:c r="J244" s="15" t="n">
        <x:v>32282.710137199076</x:v>
      </x:c>
      <x:c r="K244" t="n">
        <x:f>INT((DATE(2025,12,31)-J244)/365.25)</x:f>
        <x:v>37</x:v>
      </x:c>
      <x:c r="L244" t="str">
        <x:f>IF(K244&lt;25,"18-24",IF(K244&lt;35,"25-34",IF(K244&lt;45,"35-44",IF(K244&lt;55,"45-54","55+"))))</x:f>
        <x:v>35-44</x:v>
      </x:c>
      <x:c r="M244" s="15" t="n">
        <x:v>43562.058921944445</x:v>
      </x:c>
      <x:c r="N244" t="n">
        <x:f>(YEAR(DATE(2025,12,31))-YEAR(M244))*12+MONTH(DATE(2025,12,31))-MONTH(M244)</x:f>
        <x:v>80</x:v>
      </x:c>
      <x:c r="O244" t="str">
        <x:v>ACTIVE</x:v>
      </x:c>
      <x:c r="P244" t="str">
        <x:v>INDEPENDENT_CONTRACTOR</x:v>
      </x:c>
      <x:c r="Q244" t="str">
        <x:v>CAR</x:v>
      </x:c>
      <x:c r="R244" t="str">
        <x:v>DINNER</x:v>
      </x:c>
      <x:c r="S244" t="n">
        <x:v>48</x:v>
      </x:c>
      <x:c r="T244" t="str">
        <x:v>CLEARED</x:v>
      </x:c>
      <x:c r="U244" t="str">
        <x:v>VALID</x:v>
      </x:c>
      <x:c r="V244" s="16" t="n">
        <x:v>0.8112</x:v>
      </x:c>
      <x:c r="W244" t="str">
        <x:v>Spanish</x:v>
      </x:c>
      <x:c r="X244"/>
      <x:c r="Y244" t="n">
        <x:v>10871</x:v>
      </x:c>
      <x:c r="Z244" s="17" t="n">
        <x:v>4.23</x:v>
      </x:c>
      <x:c r="AA244" s="16" t="n">
        <x:v>0.8629</x:v>
      </x:c>
      <x:c r="AB244" s="16" t="n">
        <x:v>0.9412</x:v>
      </x:c>
      <x:c r="AC244" s="16" t="n">
        <x:v>0.9676</x:v>
      </x:c>
      <x:c r="AD244" t="n">
        <x:v>0</x:v>
      </x:c>
      <x:c r="AE244" t="str">
        <x:f>IF(O244&lt;&gt;"ACTIVE","NOT_RATED",IF(AND(Z244&gt;=4.8,AB244&gt;=0.97,AC244&gt;=0.93,AD244=0),"ELITE",IF(AND(Z244&gt;=4.6,AB244&gt;=0.94,AC244&gt;=0.88),"HIGH_PERFORMER",IF(OR(Z244&lt;4.2,AB244&lt;0.85,AD244&gt;=2),"AT_RISK","STANDARD"))))</x:f>
        <x:v>STANDARD</x:v>
      </x:c>
      <x:c r="AF244" s="15" t="n">
        <x:v>46022</x:v>
      </x:c>
      <x:c r="AG244" t="str">
        <x:v>VERIFIED</x:v>
      </x:c>
      <x:c r="AH244" t="str">
        <x:v>COMPLETE</x:v>
      </x:c>
      <x:c r="AI244" t="str">
        <x:v>Liam Brown</x:v>
      </x:c>
      <x:c r="AJ244" t="str">
        <x:v>SPOUSE_PARTNER</x:v>
      </x:c>
      <x:c r="AK244" t="str">
        <x:v>+1 (602) 555-0117</x:v>
      </x:c>
    </x:row>
    <x:row r="245" ht="18" customHeight="1">
      <x:c r="A245" t="str">
        <x:v>DHR-00244</x:v>
      </x:c>
      <x:c r="B245" t="str">
        <x:v>Jamie Brown</x:v>
      </x:c>
      <x:c r="C245" t="str">
        <x:v>https://api.dicebear.com/9.x/adventurer/png?seed=DHR-00244-Jamie%20Brown&amp;size=256&amp;radius=50&amp;backgroundColor=b6e3f4,c0aede,d1d4f9,ffd5dc,ffdfbf</x:v>
      </x:c>
      <x:c r="D245" t="str">
        <x:v>jamie.brown.244@example.com</x:v>
      </x:c>
      <x:c r="E245" t="str">
        <x:v>+1 (210) 555-0143</x:v>
      </x:c>
      <x:c r="F245" t="str">
        <x:v>San Antonio, TX</x:v>
      </x:c>
      <x:c r="G245" t="str">
        <x:v>San Antonio</x:v>
      </x:c>
      <x:c r="H245" t="str">
        <x:v>TX</x:v>
      </x:c>
      <x:c r="I245" s="18" t="str">
        <x:v>78205</x:v>
      </x:c>
      <x:c r="J245" s="15" t="n">
        <x:v>30067.197859432872</x:v>
      </x:c>
      <x:c r="K245" t="n">
        <x:f>INT((DATE(2025,12,31)-J245)/365.25)</x:f>
        <x:v>43</x:v>
      </x:c>
      <x:c r="L245" t="str">
        <x:f>IF(K245&lt;25,"18-24",IF(K245&lt;35,"25-34",IF(K245&lt;45,"35-44",IF(K245&lt;55,"45-54","55+"))))</x:f>
        <x:v>35-44</x:v>
      </x:c>
      <x:c r="M245" s="15" t="n">
        <x:v>45706.511899212965</x:v>
      </x:c>
      <x:c r="N245" t="n">
        <x:f>(YEAR(DATE(2025,12,31))-YEAR(M245))*12+MONTH(DATE(2025,12,31))-MONTH(M245)</x:f>
        <x:v>10</x:v>
      </x:c>
      <x:c r="O245" t="str">
        <x:v>ACTIVE</x:v>
      </x:c>
      <x:c r="P245" t="str">
        <x:v>INDEPENDENT_CONTRACTOR</x:v>
      </x:c>
      <x:c r="Q245" t="str">
        <x:v>BICYCLE</x:v>
      </x:c>
      <x:c r="R245" t="str">
        <x:v>WEEKENDS</x:v>
      </x:c>
      <x:c r="S245" t="n">
        <x:v>13</x:v>
      </x:c>
      <x:c r="T245" t="str">
        <x:v>CLEARED</x:v>
      </x:c>
      <x:c r="U245" t="str">
        <x:v>NOT_REQUIRED</x:v>
      </x:c>
      <x:c r="V245" s="16" t="n">
        <x:v>0.8454</x:v>
      </x:c>
      <x:c r="W245" t="str">
        <x:v>English</x:v>
      </x:c>
      <x:c r="X245"/>
      <x:c r="Y245" t="n">
        <x:v>254</x:v>
      </x:c>
      <x:c r="Z245" s="17" t="n">
        <x:v>4.57</x:v>
      </x:c>
      <x:c r="AA245" s="16" t="n">
        <x:v>0.6217</x:v>
      </x:c>
      <x:c r="AB245" s="16" t="n">
        <x:v>0.976</x:v>
      </x:c>
      <x:c r="AC245" s="16" t="n">
        <x:v>0.9152</x:v>
      </x:c>
      <x:c r="AD245" t="n">
        <x:v>0</x:v>
      </x:c>
      <x:c r="AE245" t="str">
        <x:f>IF(O245&lt;&gt;"ACTIVE","NOT_RATED",IF(AND(Z245&gt;=4.8,AB245&gt;=0.97,AC245&gt;=0.93,AD245=0),"ELITE",IF(AND(Z245&gt;=4.6,AB245&gt;=0.94,AC245&gt;=0.88),"HIGH_PERFORMER",IF(OR(Z245&lt;4.2,AB245&lt;0.85,AD245&gt;=2),"AT_RISK","STANDARD"))))</x:f>
        <x:v>STANDARD</x:v>
      </x:c>
      <x:c r="AF245" s="15" t="n">
        <x:v>46008</x:v>
      </x:c>
      <x:c r="AG245" t="str">
        <x:v>VERIFIED</x:v>
      </x:c>
      <x:c r="AH245" t="str">
        <x:v>COMPLETE</x:v>
      </x:c>
      <x:c r="AI245" t="str">
        <x:v>Skyler Rodriguez</x:v>
      </x:c>
      <x:c r="AJ245" t="str">
        <x:v>SIBLING</x:v>
      </x:c>
      <x:c r="AK245" t="str">
        <x:v>+1 (210) 555-0124</x:v>
      </x:c>
    </x:row>
    <x:row r="246" ht="18" customHeight="1">
      <x:c r="A246" t="str">
        <x:v>DHR-00245</x:v>
      </x:c>
      <x:c r="B246" t="str">
        <x:v>Jamie Clark</x:v>
      </x:c>
      <x:c r="C246" t="str">
        <x:v>https://api.dicebear.com/9.x/adventurer/png?seed=DHR-00245-Jamie%20Clark&amp;size=256&amp;radius=50&amp;backgroundColor=b6e3f4,c0aede,d1d4f9,ffd5dc,ffdfbf</x:v>
      </x:c>
      <x:c r="D246" t="str">
        <x:v>jamie.clark.245@example.com</x:v>
      </x:c>
      <x:c r="E246" t="str">
        <x:v>+1 (408) 555-0144</x:v>
      </x:c>
      <x:c r="F246" t="str">
        <x:v>San Jose, CA</x:v>
      </x:c>
      <x:c r="G246" t="str">
        <x:v>San Jose</x:v>
      </x:c>
      <x:c r="H246" t="str">
        <x:v>CA</x:v>
      </x:c>
      <x:c r="I246" s="18" t="str">
        <x:v>95113</x:v>
      </x:c>
      <x:c r="J246" s="15" t="n">
        <x:v>28445.498667384258</x:v>
      </x:c>
      <x:c r="K246" t="n">
        <x:f>INT((DATE(2025,12,31)-J246)/365.25)</x:f>
        <x:v>48</x:v>
      </x:c>
      <x:c r="L246" t="str">
        <x:f>IF(K246&lt;25,"18-24",IF(K246&lt;35,"25-34",IF(K246&lt;45,"35-44",IF(K246&lt;55,"45-54","55+"))))</x:f>
        <x:v>45-54</x:v>
      </x:c>
      <x:c r="M246" s="15" t="n">
        <x:v>43474.193261747685</x:v>
      </x:c>
      <x:c r="N246" t="n">
        <x:f>(YEAR(DATE(2025,12,31))-YEAR(M246))*12+MONTH(DATE(2025,12,31))-MONTH(M246)</x:f>
        <x:v>83</x:v>
      </x:c>
      <x:c r="O246" t="str">
        <x:v>ACTIVE</x:v>
      </x:c>
      <x:c r="P246" t="str">
        <x:v>INDEPENDENT_CONTRACTOR</x:v>
      </x:c>
      <x:c r="Q246" t="str">
        <x:v>E_BIKE</x:v>
      </x:c>
      <x:c r="R246" t="str">
        <x:v>LUNCH</x:v>
      </x:c>
      <x:c r="S246" t="n">
        <x:v>30</x:v>
      </x:c>
      <x:c r="T246" t="str">
        <x:v>CLEARED</x:v>
      </x:c>
      <x:c r="U246" t="str">
        <x:v>NOT_REQUIRED</x:v>
      </x:c>
      <x:c r="V246" s="16" t="n">
        <x:v>0.9352</x:v>
      </x:c>
      <x:c r="W246" t="str">
        <x:v>English</x:v>
      </x:c>
      <x:c r="X246" t="str">
        <x:v>Vietnamese</x:v>
      </x:c>
      <x:c r="Y246" t="n">
        <x:v>5432</x:v>
      </x:c>
      <x:c r="Z246" s="17" t="n">
        <x:v>4.91</x:v>
      </x:c>
      <x:c r="AA246" s="16" t="n">
        <x:v>0.7902</x:v>
      </x:c>
      <x:c r="AB246" s="16" t="n">
        <x:v>0.9012</x:v>
      </x:c>
      <x:c r="AC246" s="16" t="n">
        <x:v>0.846</x:v>
      </x:c>
      <x:c r="AD246" t="n">
        <x:v>1</x:v>
      </x:c>
      <x:c r="AE246" t="str">
        <x:f>IF(O246&lt;&gt;"ACTIVE","NOT_RATED",IF(AND(Z246&gt;=4.8,AB246&gt;=0.97,AC246&gt;=0.93,AD246=0),"ELITE",IF(AND(Z246&gt;=4.6,AB246&gt;=0.94,AC246&gt;=0.88),"HIGH_PERFORMER",IF(OR(Z246&lt;4.2,AB246&lt;0.85,AD246&gt;=2),"AT_RISK","STANDARD"))))</x:f>
        <x:v>STANDARD</x:v>
      </x:c>
      <x:c r="AF246" s="15" t="n">
        <x:v>46015</x:v>
      </x:c>
      <x:c r="AG246" t="str">
        <x:v>VERIFIED</x:v>
      </x:c>
      <x:c r="AH246" t="str">
        <x:v>COMPLETE</x:v>
      </x:c>
      <x:c r="AI246" t="str">
        <x:v>Mia Garcia</x:v>
      </x:c>
      <x:c r="AJ246" t="str">
        <x:v>PARENT</x:v>
      </x:c>
      <x:c r="AK246" t="str">
        <x:v>+1 (408) 555-0131</x:v>
      </x:c>
    </x:row>
    <x:row r="247" ht="18" customHeight="1">
      <x:c r="A247" t="str">
        <x:v>DHR-00246</x:v>
      </x:c>
      <x:c r="B247" t="str">
        <x:v>Jamie Davis</x:v>
      </x:c>
      <x:c r="C247" t="str">
        <x:v>https://api.dicebear.com/9.x/adventurer/png?seed=DHR-00246-Jamie%20Davis&amp;size=256&amp;radius=50&amp;backgroundColor=b6e3f4,c0aede,d1d4f9,ffd5dc,ffdfbf</x:v>
      </x:c>
      <x:c r="D247" t="str">
        <x:v>jamie.davis.246@example.com</x:v>
      </x:c>
      <x:c r="E247" t="str">
        <x:v>+1 (617) 555-0145</x:v>
      </x:c>
      <x:c r="F247" t="str">
        <x:v>Boston, MA</x:v>
      </x:c>
      <x:c r="G247" t="str">
        <x:v>Boston</x:v>
      </x:c>
      <x:c r="H247" t="str">
        <x:v>MA</x:v>
      </x:c>
      <x:c r="I247" s="18" t="str">
        <x:v>02108</x:v>
      </x:c>
      <x:c r="J247" s="15" t="n">
        <x:v>37777.44102186343</x:v>
      </x:c>
      <x:c r="K247" t="n">
        <x:f>INT((DATE(2025,12,31)-J247)/365.25)</x:f>
        <x:v>22</x:v>
      </x:c>
      <x:c r="L247" t="str">
        <x:f>IF(K247&lt;25,"18-24",IF(K247&lt;35,"25-34",IF(K247&lt;45,"35-44",IF(K247&lt;55,"45-54","55+"))))</x:f>
        <x:v>18-24</x:v>
      </x:c>
      <x:c r="M247" s="15" t="n">
        <x:v>44836.64079201389</x:v>
      </x:c>
      <x:c r="N247" t="n">
        <x:f>(YEAR(DATE(2025,12,31))-YEAR(M247))*12+MONTH(DATE(2025,12,31))-MONTH(M247)</x:f>
        <x:v>38</x:v>
      </x:c>
      <x:c r="O247" t="str">
        <x:v>PAUSED</x:v>
      </x:c>
      <x:c r="P247" t="str">
        <x:v>INDEPENDENT_CONTRACTOR</x:v>
      </x:c>
      <x:c r="Q247" t="str">
        <x:v>CAR</x:v>
      </x:c>
      <x:c r="R247" t="str">
        <x:v>DINNER</x:v>
      </x:c>
      <x:c r="S247" t="n">
        <x:v>41</x:v>
      </x:c>
      <x:c r="T247" t="str">
        <x:v>CLEARED</x:v>
      </x:c>
      <x:c r="U247" t="str">
        <x:v>VALID</x:v>
      </x:c>
      <x:c r="V247" s="16" t="n">
        <x:v>0.9614</x:v>
      </x:c>
      <x:c r="W247" t="str">
        <x:v>English</x:v>
      </x:c>
      <x:c r="X247" t="str">
        <x:v>Spanish</x:v>
      </x:c>
      <x:c r="Y247" t="n">
        <x:v>4151</x:v>
      </x:c>
      <x:c r="Z247" s="17" t="n">
        <x:v>4.63</x:v>
      </x:c>
      <x:c r="AA247" s="16" t="n">
        <x:v>0.7635</x:v>
      </x:c>
      <x:c r="AB247" s="16" t="n">
        <x:v>0.9945</x:v>
      </x:c>
      <x:c r="AC247" s="16" t="n">
        <x:v>0.8257</x:v>
      </x:c>
      <x:c r="AD247" t="n">
        <x:v>0</x:v>
      </x:c>
      <x:c r="AE247" t="str">
        <x:f>IF(O247&lt;&gt;"ACTIVE","NOT_RATED",IF(AND(Z247&gt;=4.8,AB247&gt;=0.97,AC247&gt;=0.93,AD247=0),"ELITE",IF(AND(Z247&gt;=4.6,AB247&gt;=0.94,AC247&gt;=0.88),"HIGH_PERFORMER",IF(OR(Z247&lt;4.2,AB247&lt;0.85,AD247&gt;=2),"AT_RISK","STANDARD"))))</x:f>
        <x:v>NOT_RATED</x:v>
      </x:c>
      <x:c r="AF247" s="15" t="n">
        <x:v>45950</x:v>
      </x:c>
      <x:c r="AG247" t="str">
        <x:v>VERIFIED</x:v>
      </x:c>
      <x:c r="AH247" t="str">
        <x:v>COMPLETE</x:v>
      </x:c>
      <x:c r="AI247" t="str">
        <x:v>Taylor Wilson</x:v>
      </x:c>
      <x:c r="AJ247" t="str">
        <x:v>OTHER</x:v>
      </x:c>
      <x:c r="AK247" t="str">
        <x:v>+1 (617) 555-0138</x:v>
      </x:c>
    </x:row>
    <x:row r="248" ht="18" customHeight="1">
      <x:c r="A248" t="str">
        <x:v>DHR-00247</x:v>
      </x:c>
      <x:c r="B248" t="str">
        <x:v>Jamie Garcia</x:v>
      </x:c>
      <x:c r="C248" t="str">
        <x:v>https://api.dicebear.com/9.x/adventurer/png?seed=DHR-00247-Jamie%20Garcia&amp;size=256&amp;radius=50&amp;backgroundColor=b6e3f4,c0aede,d1d4f9,ffd5dc,ffdfbf</x:v>
      </x:c>
      <x:c r="D248" t="str">
        <x:v>jamie.garcia.247@example.com</x:v>
      </x:c>
      <x:c r="E248" t="str">
        <x:v>+1 (713) 555-0146</x:v>
      </x:c>
      <x:c r="F248" t="str">
        <x:v>Houston, TX</x:v>
      </x:c>
      <x:c r="G248" t="str">
        <x:v>Houston</x:v>
      </x:c>
      <x:c r="H248" t="str">
        <x:v>TX</x:v>
      </x:c>
      <x:c r="I248" s="18" t="str">
        <x:v>77002</x:v>
      </x:c>
      <x:c r="J248" s="15" t="n">
        <x:v>23491.705557349538</x:v>
      </x:c>
      <x:c r="K248" t="n">
        <x:f>INT((DATE(2025,12,31)-J248)/365.25)</x:f>
        <x:v>61</x:v>
      </x:c>
      <x:c r="L248" t="str">
        <x:f>IF(K248&lt;25,"18-24",IF(K248&lt;35,"25-34",IF(K248&lt;45,"35-44",IF(K248&lt;55,"45-54","55+"))))</x:f>
        <x:v>55+</x:v>
      </x:c>
      <x:c r="M248" s="15" t="n">
        <x:v>43526.56824054398</x:v>
      </x:c>
      <x:c r="N248" t="n">
        <x:f>(YEAR(DATE(2025,12,31))-YEAR(M248))*12+MONTH(DATE(2025,12,31))-MONTH(M248)</x:f>
        <x:v>81</x:v>
      </x:c>
      <x:c r="O248" t="str">
        <x:v>OFFBOARDED</x:v>
      </x:c>
      <x:c r="P248" t="str">
        <x:v>INDEPENDENT_CONTRACTOR</x:v>
      </x:c>
      <x:c r="Q248" t="str">
        <x:v>CAR</x:v>
      </x:c>
      <x:c r="R248" t="str">
        <x:v>LUNCH</x:v>
      </x:c>
      <x:c r="S248" t="n">
        <x:v>38</x:v>
      </x:c>
      <x:c r="T248" t="str">
        <x:v>EXPIRED</x:v>
      </x:c>
      <x:c r="U248" t="str">
        <x:v>VALID</x:v>
      </x:c>
      <x:c r="V248" s="16" t="n">
        <x:v>0.7578</x:v>
      </x:c>
      <x:c r="W248" t="str">
        <x:v>English</x:v>
      </x:c>
      <x:c r="X248"/>
      <x:c r="Y248" t="n">
        <x:v>9597</x:v>
      </x:c>
      <x:c r="Z248" s="17" t="n">
        <x:v>4.69</x:v>
      </x:c>
      <x:c r="AA248" s="16" t="n">
        <x:v>0.7368</x:v>
      </x:c>
      <x:c r="AB248" s="16" t="n">
        <x:v>0.9377</x:v>
      </x:c>
      <x:c r="AC248" s="16" t="n">
        <x:v>0.8375</x:v>
      </x:c>
      <x:c r="AD248" t="n">
        <x:v>0</x:v>
      </x:c>
      <x:c r="AE248" t="str">
        <x:f>IF(O248&lt;&gt;"ACTIVE","NOT_RATED",IF(AND(Z248&gt;=4.8,AB248&gt;=0.97,AC248&gt;=0.93,AD248=0),"ELITE",IF(AND(Z248&gt;=4.6,AB248&gt;=0.94,AC248&gt;=0.88),"HIGH_PERFORMER",IF(OR(Z248&lt;4.2,AB248&lt;0.85,AD248&gt;=2),"AT_RISK","STANDARD"))))</x:f>
        <x:v>NOT_RATED</x:v>
      </x:c>
      <x:c r="AF248" s="15" t="n">
        <x:v>45351</x:v>
      </x:c>
      <x:c r="AG248" t="str">
        <x:v>ON_HOLD</x:v>
      </x:c>
      <x:c r="AH248" t="str">
        <x:v>COMPLETE</x:v>
      </x:c>
      <x:c r="AI248" t="str">
        <x:v>Reese Thomas</x:v>
      </x:c>
      <x:c r="AJ248" t="str">
        <x:v>SIBLING</x:v>
      </x:c>
      <x:c r="AK248" t="str">
        <x:v>+1 (713) 555-0145</x:v>
      </x:c>
    </x:row>
    <x:row r="249" ht="18" customHeight="1">
      <x:c r="A249" t="str">
        <x:v>DHR-00248</x:v>
      </x:c>
      <x:c r="B249" t="str">
        <x:v>Jamie Harris</x:v>
      </x:c>
      <x:c r="C249" t="str">
        <x:v>https://api.dicebear.com/9.x/adventurer/png?seed=DHR-00248-Jamie%20Harris&amp;size=256&amp;radius=50&amp;backgroundColor=b6e3f4,c0aede,d1d4f9,ffd5dc,ffdfbf</x:v>
      </x:c>
      <x:c r="D249" t="str">
        <x:v>jamie.harris.248@example.com</x:v>
      </x:c>
      <x:c r="E249" t="str">
        <x:v>+1 (619) 555-0147</x:v>
      </x:c>
      <x:c r="F249" t="str">
        <x:v>San Diego, CA</x:v>
      </x:c>
      <x:c r="G249" t="str">
        <x:v>San Diego</x:v>
      </x:c>
      <x:c r="H249" t="str">
        <x:v>CA</x:v>
      </x:c>
      <x:c r="I249" s="18" t="str">
        <x:v>92101</x:v>
      </x:c>
      <x:c r="J249" s="15" t="n">
        <x:v>31960.067478587964</x:v>
      </x:c>
      <x:c r="K249" t="n">
        <x:f>INT((DATE(2025,12,31)-J249)/365.25)</x:f>
        <x:v>38</x:v>
      </x:c>
      <x:c r="L249" t="str">
        <x:f>IF(K249&lt;25,"18-24",IF(K249&lt;35,"25-34",IF(K249&lt;45,"35-44",IF(K249&lt;55,"45-54","55+"))))</x:f>
        <x:v>35-44</x:v>
      </x:c>
      <x:c r="M249" s="15" t="n">
        <x:v>43963.172042858794</x:v>
      </x:c>
      <x:c r="N249" t="n">
        <x:f>(YEAR(DATE(2025,12,31))-YEAR(M249))*12+MONTH(DATE(2025,12,31))-MONTH(M249)</x:f>
        <x:v>67</x:v>
      </x:c>
      <x:c r="O249" t="str">
        <x:v>ACTIVE</x:v>
      </x:c>
      <x:c r="P249" t="str">
        <x:v>INDEPENDENT_CONTRACTOR</x:v>
      </x:c>
      <x:c r="Q249" t="str">
        <x:v>MOTORCYCLE</x:v>
      </x:c>
      <x:c r="R249" t="str">
        <x:v>LUNCH</x:v>
      </x:c>
      <x:c r="S249" t="n">
        <x:v>45</x:v>
      </x:c>
      <x:c r="T249" t="str">
        <x:v>CLEARED</x:v>
      </x:c>
      <x:c r="U249" t="str">
        <x:v>VALID</x:v>
      </x:c>
      <x:c r="V249" s="16" t="n">
        <x:v>0.8872</x:v>
      </x:c>
      <x:c r="W249" t="str">
        <x:v>English</x:v>
      </x:c>
      <x:c r="X249"/>
      <x:c r="Y249" t="n">
        <x:v>7383</x:v>
      </x:c>
      <x:c r="Z249" s="17" t="n">
        <x:v>4.6</x:v>
      </x:c>
      <x:c r="AA249" s="16" t="n">
        <x:v>0.9021</x:v>
      </x:c>
      <x:c r="AB249" s="16" t="n">
        <x:v>0.8905</x:v>
      </x:c>
      <x:c r="AC249" s="16" t="n">
        <x:v>0.8344</x:v>
      </x:c>
      <x:c r="AD249" t="n">
        <x:v>0</x:v>
      </x:c>
      <x:c r="AE249" t="str">
        <x:f>IF(O249&lt;&gt;"ACTIVE","NOT_RATED",IF(AND(Z249&gt;=4.8,AB249&gt;=0.97,AC249&gt;=0.93,AD249=0),"ELITE",IF(AND(Z249&gt;=4.6,AB249&gt;=0.94,AC249&gt;=0.88),"HIGH_PERFORMER",IF(OR(Z249&lt;4.2,AB249&lt;0.85,AD249&gt;=2),"AT_RISK","STANDARD"))))</x:f>
        <x:v>STANDARD</x:v>
      </x:c>
      <x:c r="AF249" s="15" t="n">
        <x:v>46010</x:v>
      </x:c>
      <x:c r="AG249" t="str">
        <x:v>VERIFIED</x:v>
      </x:c>
      <x:c r="AH249" t="str">
        <x:v>COMPLETE</x:v>
      </x:c>
      <x:c r="AI249" t="str">
        <x:v>Olivia Williams</x:v>
      </x:c>
      <x:c r="AJ249" t="str">
        <x:v>PARENT</x:v>
      </x:c>
      <x:c r="AK249" t="str">
        <x:v>+1 (619) 555-0152</x:v>
      </x:c>
    </x:row>
    <x:row r="250" ht="18" customHeight="1">
      <x:c r="A250" t="str">
        <x:v>DHR-00249</x:v>
      </x:c>
      <x:c r="B250" t="str">
        <x:v>Jamie Jackson</x:v>
      </x:c>
      <x:c r="C250" t="str">
        <x:v>https://api.dicebear.com/9.x/adventurer/png?seed=DHR-00249-Jamie%20Jackson&amp;size=256&amp;radius=50&amp;backgroundColor=b6e3f4,c0aede,d1d4f9,ffd5dc,ffdfbf</x:v>
      </x:c>
      <x:c r="D250" t="str">
        <x:v>jamie.jackson.249@example.com</x:v>
      </x:c>
      <x:c r="E250" t="str">
        <x:v>+1 (617) 555-0148</x:v>
      </x:c>
      <x:c r="F250" t="str">
        <x:v>Boston, MA</x:v>
      </x:c>
      <x:c r="G250" t="str">
        <x:v>Boston</x:v>
      </x:c>
      <x:c r="H250" t="str">
        <x:v>MA</x:v>
      </x:c>
      <x:c r="I250" s="18" t="str">
        <x:v>02108</x:v>
      </x:c>
      <x:c r="J250" s="15" t="n">
        <x:v>38716.31312707176</x:v>
      </x:c>
      <x:c r="K250" t="n">
        <x:f>INT((DATE(2025,12,31)-J250)/365.25)</x:f>
        <x:v>20</x:v>
      </x:c>
      <x:c r="L250" t="str">
        <x:f>IF(K250&lt;25,"18-24",IF(K250&lt;35,"25-34",IF(K250&lt;45,"35-44",IF(K250&lt;55,"45-54","55+"))))</x:f>
        <x:v>18-24</x:v>
      </x:c>
      <x:c r="M250" s="15" t="n">
        <x:v>45522.87919915509</x:v>
      </x:c>
      <x:c r="N250" t="n">
        <x:f>(YEAR(DATE(2025,12,31))-YEAR(M250))*12+MONTH(DATE(2025,12,31))-MONTH(M250)</x:f>
        <x:v>16</x:v>
      </x:c>
      <x:c r="O250" t="str">
        <x:v>OFFBOARDED</x:v>
      </x:c>
      <x:c r="P250" t="str">
        <x:v>INDEPENDENT_CONTRACTOR</x:v>
      </x:c>
      <x:c r="Q250" t="str">
        <x:v>BICYCLE</x:v>
      </x:c>
      <x:c r="R250" t="str">
        <x:v>DINNER</x:v>
      </x:c>
      <x:c r="S250" t="n">
        <x:v>11</x:v>
      </x:c>
      <x:c r="T250" t="str">
        <x:v>EXPIRED</x:v>
      </x:c>
      <x:c r="U250" t="str">
        <x:v>NOT_REQUIRED</x:v>
      </x:c>
      <x:c r="V250" s="16" t="n">
        <x:v>0.7613</x:v>
      </x:c>
      <x:c r="W250" t="str">
        <x:v>Spanish</x:v>
      </x:c>
      <x:c r="X250"/>
      <x:c r="Y250" t="n">
        <x:v>676</x:v>
      </x:c>
      <x:c r="Z250" s="17" t="n">
        <x:v>4.94</x:v>
      </x:c>
      <x:c r="AA250" s="16" t="n">
        <x:v>0.6905</x:v>
      </x:c>
      <x:c r="AB250" s="16" t="n">
        <x:v>0.9504</x:v>
      </x:c>
      <x:c r="AC250" s="16" t="n">
        <x:v>0.8782</x:v>
      </x:c>
      <x:c r="AD250" t="n">
        <x:v>0</x:v>
      </x:c>
      <x:c r="AE250" t="str">
        <x:f>IF(O250&lt;&gt;"ACTIVE","NOT_RATED",IF(AND(Z250&gt;=4.8,AB250&gt;=0.97,AC250&gt;=0.93,AD250=0),"ELITE",IF(AND(Z250&gt;=4.6,AB250&gt;=0.94,AC250&gt;=0.88),"HIGH_PERFORMER",IF(OR(Z250&lt;4.2,AB250&lt;0.85,AD250&gt;=2),"AT_RISK","STANDARD"))))</x:f>
        <x:v>NOT_RATED</x:v>
      </x:c>
      <x:c r="AF250" s="15" t="n">
        <x:v>45700</x:v>
      </x:c>
      <x:c r="AG250" t="str">
        <x:v>VERIFIED</x:v>
      </x:c>
      <x:c r="AH250" t="str">
        <x:v>COMPLETE</x:v>
      </x:c>
      <x:c r="AI250" t="str">
        <x:v>Jamie Lewis</x:v>
      </x:c>
      <x:c r="AJ250" t="str">
        <x:v>SPOUSE_PARTNER</x:v>
      </x:c>
      <x:c r="AK250" t="str">
        <x:v>+1 (617) 555-0159</x:v>
      </x:c>
    </x:row>
    <x:row r="251" ht="18" customHeight="1">
      <x:c r="A251" t="str">
        <x:v>DHR-00250</x:v>
      </x:c>
      <x:c r="B251" t="str">
        <x:v>Jamie Jones</x:v>
      </x:c>
      <x:c r="C251" t="str">
        <x:v>https://api.dicebear.com/9.x/adventurer/png?seed=DHR-00250-Jamie%20Jones&amp;size=256&amp;radius=50&amp;backgroundColor=b6e3f4,c0aede,d1d4f9,ffd5dc,ffdfbf</x:v>
      </x:c>
      <x:c r="D251" t="str">
        <x:v>jamie.jones.250@example.com</x:v>
      </x:c>
      <x:c r="E251" t="str">
        <x:v>+1 (212) 555-0149</x:v>
      </x:c>
      <x:c r="F251" t="str">
        <x:v>New York, NY</x:v>
      </x:c>
      <x:c r="G251" t="str">
        <x:v>New York</x:v>
      </x:c>
      <x:c r="H251" t="str">
        <x:v>NY</x:v>
      </x:c>
      <x:c r="I251" s="18" t="str">
        <x:v>10001</x:v>
      </x:c>
      <x:c r="J251" s="15" t="n">
        <x:v>32446.490749733795</x:v>
      </x:c>
      <x:c r="K251" t="n">
        <x:f>INT((DATE(2025,12,31)-J251)/365.25)</x:f>
        <x:v>37</x:v>
      </x:c>
      <x:c r="L251" t="str">
        <x:f>IF(K251&lt;25,"18-24",IF(K251&lt;35,"25-34",IF(K251&lt;45,"35-44",IF(K251&lt;55,"45-54","55+"))))</x:f>
        <x:v>35-44</x:v>
      </x:c>
      <x:c r="M251" s="15" t="n">
        <x:v>43480.65138025463</x:v>
      </x:c>
      <x:c r="N251" t="n">
        <x:f>(YEAR(DATE(2025,12,31))-YEAR(M251))*12+MONTH(DATE(2025,12,31))-MONTH(M251)</x:f>
        <x:v>83</x:v>
      </x:c>
      <x:c r="O251" t="str">
        <x:v>ACTIVE</x:v>
      </x:c>
      <x:c r="P251" t="str">
        <x:v>INDEPENDENT_CONTRACTOR</x:v>
      </x:c>
      <x:c r="Q251" t="str">
        <x:v>CAR</x:v>
      </x:c>
      <x:c r="R251" t="str">
        <x:v>LUNCH</x:v>
      </x:c>
      <x:c r="S251" t="n">
        <x:v>32</x:v>
      </x:c>
      <x:c r="T251" t="str">
        <x:v>CLEARED</x:v>
      </x:c>
      <x:c r="U251" t="str">
        <x:v>VALID</x:v>
      </x:c>
      <x:c r="V251" s="16" t="n">
        <x:v>0.9918</x:v>
      </x:c>
      <x:c r="W251" t="str">
        <x:v>English</x:v>
      </x:c>
      <x:c r="X251"/>
      <x:c r="Y251" t="n">
        <x:v>9352</x:v>
      </x:c>
      <x:c r="Z251" s="17" t="n">
        <x:v>4.37</x:v>
      </x:c>
      <x:c r="AA251" s="16" t="n">
        <x:v>0.7063</x:v>
      </x:c>
      <x:c r="AB251" s="16" t="n">
        <x:v>0.998</x:v>
      </x:c>
      <x:c r="AC251" s="16" t="n">
        <x:v>0.9122</x:v>
      </x:c>
      <x:c r="AD251" t="n">
        <x:v>0</x:v>
      </x:c>
      <x:c r="AE251" t="str">
        <x:f>IF(O251&lt;&gt;"ACTIVE","NOT_RATED",IF(AND(Z251&gt;=4.8,AB251&gt;=0.97,AC251&gt;=0.93,AD251=0),"ELITE",IF(AND(Z251&gt;=4.6,AB251&gt;=0.94,AC251&gt;=0.88),"HIGH_PERFORMER",IF(OR(Z251&lt;4.2,AB251&lt;0.85,AD251&gt;=2),"AT_RISK","STANDARD"))))</x:f>
        <x:v>STANDARD</x:v>
      </x:c>
      <x:c r="AF251" s="15" t="n">
        <x:v>46022</x:v>
      </x:c>
      <x:c r="AG251" t="str">
        <x:v>VERIFIED</x:v>
      </x:c>
      <x:c r="AH251" t="str">
        <x:v>COMPLETE</x:v>
      </x:c>
      <x:c r="AI251" t="str">
        <x:v>Mateo Johnson</x:v>
      </x:c>
      <x:c r="AJ251" t="str">
        <x:v>SPOUSE_PARTNER</x:v>
      </x:c>
      <x:c r="AK251" t="str">
        <x:v>+1 (212) 555-0166</x:v>
      </x:c>
    </x:row>
    <x:row r="252" ht="18" customHeight="1">
      <x:c r="A252" t="str">
        <x:v>DHR-00251</x:v>
      </x:c>
      <x:c r="B252" t="str">
        <x:v>Jamie Lee</x:v>
      </x:c>
      <x:c r="C252" t="str">
        <x:v>https://api.dicebear.com/9.x/adventurer/png?seed=DHR-00251-Jamie%20Lee&amp;size=256&amp;radius=50&amp;backgroundColor=b6e3f4,c0aede,d1d4f9,ffd5dc,ffdfbf</x:v>
      </x:c>
      <x:c r="D252" t="str">
        <x:v>jamie.lee.251@example.com</x:v>
      </x:c>
      <x:c r="E252" t="str">
        <x:v>+1 (206) 555-0150</x:v>
      </x:c>
      <x:c r="F252" t="str">
        <x:v>Seattle, WA</x:v>
      </x:c>
      <x:c r="G252" t="str">
        <x:v>Seattle</x:v>
      </x:c>
      <x:c r="H252" t="str">
        <x:v>WA</x:v>
      </x:c>
      <x:c r="I252" s="18" t="str">
        <x:v>98101</x:v>
      </x:c>
      <x:c r="J252" s="15" t="n">
        <x:v>37542.272809560185</x:v>
      </x:c>
      <x:c r="K252" t="n">
        <x:f>INT((DATE(2025,12,31)-J252)/365.25)</x:f>
        <x:v>23</x:v>
      </x:c>
      <x:c r="L252" t="str">
        <x:f>IF(K252&lt;25,"18-24",IF(K252&lt;35,"25-34",IF(K252&lt;45,"35-44",IF(K252&lt;55,"45-54","55+"))))</x:f>
        <x:v>18-24</x:v>
      </x:c>
      <x:c r="M252" s="15" t="n">
        <x:v>44216.892423020836</x:v>
      </x:c>
      <x:c r="N252" t="n">
        <x:f>(YEAR(DATE(2025,12,31))-YEAR(M252))*12+MONTH(DATE(2025,12,31))-MONTH(M252)</x:f>
        <x:v>59</x:v>
      </x:c>
      <x:c r="O252" t="str">
        <x:v>ACTIVE</x:v>
      </x:c>
      <x:c r="P252" t="str">
        <x:v>INDEPENDENT_CONTRACTOR</x:v>
      </x:c>
      <x:c r="Q252" t="str">
        <x:v>CAR</x:v>
      </x:c>
      <x:c r="R252" t="str">
        <x:v>FLEXIBLE</x:v>
      </x:c>
      <x:c r="S252" t="n">
        <x:v>16</x:v>
      </x:c>
      <x:c r="T252" t="str">
        <x:v>CLEARED</x:v>
      </x:c>
      <x:c r="U252" t="str">
        <x:v>EXPIRING_SOON</x:v>
      </x:c>
      <x:c r="V252" s="16" t="n">
        <x:v>0.9301</x:v>
      </x:c>
      <x:c r="W252" t="str">
        <x:v>English</x:v>
      </x:c>
      <x:c r="X252"/>
      <x:c r="Y252" t="n">
        <x:v>3033</x:v>
      </x:c>
      <x:c r="Z252" s="17" t="n">
        <x:v>4.77</x:v>
      </x:c>
      <x:c r="AA252" s="16" t="n">
        <x:v>0.95</x:v>
      </x:c>
      <x:c r="AB252" s="16" t="n">
        <x:v>0.9164</x:v>
      </x:c>
      <x:c r="AC252" s="16" t="n">
        <x:v>0.8655</x:v>
      </x:c>
      <x:c r="AD252" t="n">
        <x:v>0</x:v>
      </x:c>
      <x:c r="AE252" t="str">
        <x:f>IF(O252&lt;&gt;"ACTIVE","NOT_RATED",IF(AND(Z252&gt;=4.8,AB252&gt;=0.97,AC252&gt;=0.93,AD252=0),"ELITE",IF(AND(Z252&gt;=4.6,AB252&gt;=0.94,AC252&gt;=0.88),"HIGH_PERFORMER",IF(OR(Z252&lt;4.2,AB252&lt;0.85,AD252&gt;=2),"AT_RISK","STANDARD"))))</x:f>
        <x:v>STANDARD</x:v>
      </x:c>
      <x:c r="AF252" s="15" t="n">
        <x:v>46017</x:v>
      </x:c>
      <x:c r="AG252" t="str">
        <x:v>VERIFIED</x:v>
      </x:c>
      <x:c r="AH252" t="str">
        <x:v>COMPLETE</x:v>
      </x:c>
      <x:c r="AI252" t="str">
        <x:v>Riley Johnson</x:v>
      </x:c>
      <x:c r="AJ252" t="str">
        <x:v>SPOUSE_PARTNER</x:v>
      </x:c>
      <x:c r="AK252" t="str">
        <x:v>+1 (206) 555-0173</x:v>
      </x:c>
    </x:row>
    <x:row r="253" ht="18" customHeight="1">
      <x:c r="A253" t="str">
        <x:v>DHR-00252</x:v>
      </x:c>
      <x:c r="B253" t="str">
        <x:v>Jamie Lewis</x:v>
      </x:c>
      <x:c r="C253" t="str">
        <x:v>https://api.dicebear.com/9.x/adventurer/png?seed=DHR-00252-Jamie%20Lewis&amp;size=256&amp;radius=50&amp;backgroundColor=b6e3f4,c0aede,d1d4f9,ffd5dc,ffdfbf</x:v>
      </x:c>
      <x:c r="D253" t="str">
        <x:v>jamie.lewis.252@example.com</x:v>
      </x:c>
      <x:c r="E253" t="str">
        <x:v>+1 (404) 555-0151</x:v>
      </x:c>
      <x:c r="F253" t="str">
        <x:v>Atlanta, GA</x:v>
      </x:c>
      <x:c r="G253" t="str">
        <x:v>Atlanta</x:v>
      </x:c>
      <x:c r="H253" t="str">
        <x:v>GA</x:v>
      </x:c>
      <x:c r="I253" s="18" t="str">
        <x:v>30303</x:v>
      </x:c>
      <x:c r="J253" s="15" t="n">
        <x:v>25228.88498084491</x:v>
      </x:c>
      <x:c r="K253" t="n">
        <x:f>INT((DATE(2025,12,31)-J253)/365.25)</x:f>
        <x:v>56</x:v>
      </x:c>
      <x:c r="L253" t="str">
        <x:f>IF(K253&lt;25,"18-24",IF(K253&lt;35,"25-34",IF(K253&lt;45,"35-44",IF(K253&lt;55,"45-54","55+"))))</x:f>
        <x:v>55+</x:v>
      </x:c>
      <x:c r="M253" s="15" t="n">
        <x:v>45286.42890909722</x:v>
      </x:c>
      <x:c r="N253" t="n">
        <x:f>(YEAR(DATE(2025,12,31))-YEAR(M253))*12+MONTH(DATE(2025,12,31))-MONTH(M253)</x:f>
        <x:v>24</x:v>
      </x:c>
      <x:c r="O253" t="str">
        <x:v>ACTIVE</x:v>
      </x:c>
      <x:c r="P253" t="str">
        <x:v>INDEPENDENT_CONTRACTOR</x:v>
      </x:c>
      <x:c r="Q253" t="str">
        <x:v>CAR</x:v>
      </x:c>
      <x:c r="R253" t="str">
        <x:v>LUNCH</x:v>
      </x:c>
      <x:c r="S253" t="n">
        <x:v>27</x:v>
      </x:c>
      <x:c r="T253" t="str">
        <x:v>CLEARED</x:v>
      </x:c>
      <x:c r="U253" t="str">
        <x:v>VALID</x:v>
      </x:c>
      <x:c r="V253" s="16" t="n">
        <x:v>0.9058</x:v>
      </x:c>
      <x:c r="W253" t="str">
        <x:v>English</x:v>
      </x:c>
      <x:c r="X253"/>
      <x:c r="Y253" t="n">
        <x:v>2395</x:v>
      </x:c>
      <x:c r="Z253" s="17" t="n">
        <x:v>4.71</x:v>
      </x:c>
      <x:c r="AA253" s="16" t="n">
        <x:v>0.9354</x:v>
      </x:c>
      <x:c r="AB253" s="16" t="n">
        <x:v>0.9479</x:v>
      </x:c>
      <x:c r="AC253" s="16" t="n">
        <x:v>0.862</x:v>
      </x:c>
      <x:c r="AD253" t="n">
        <x:v>0</x:v>
      </x:c>
      <x:c r="AE253" t="str">
        <x:f>IF(O253&lt;&gt;"ACTIVE","NOT_RATED",IF(AND(Z253&gt;=4.8,AB253&gt;=0.97,AC253&gt;=0.93,AD253=0),"ELITE",IF(AND(Z253&gt;=4.6,AB253&gt;=0.94,AC253&gt;=0.88),"HIGH_PERFORMER",IF(OR(Z253&lt;4.2,AB253&lt;0.85,AD253&gt;=2),"AT_RISK","STANDARD"))))</x:f>
        <x:v>STANDARD</x:v>
      </x:c>
      <x:c r="AF253" s="15" t="n">
        <x:v>46008</x:v>
      </x:c>
      <x:c r="AG253" t="str">
        <x:v>VERIFIED</x:v>
      </x:c>
      <x:c r="AH253" t="str">
        <x:v>COMPLETE</x:v>
      </x:c>
      <x:c r="AI253" t="str">
        <x:v>Chris Davis</x:v>
      </x:c>
      <x:c r="AJ253" t="str">
        <x:v>SPOUSE_PARTNER</x:v>
      </x:c>
      <x:c r="AK253" t="str">
        <x:v>+1 (404) 555-0180</x:v>
      </x:c>
    </x:row>
    <x:row r="254" ht="18" customHeight="1">
      <x:c r="A254" t="str">
        <x:v>DHR-00253</x:v>
      </x:c>
      <x:c r="B254" t="str">
        <x:v>Jamie Martin</x:v>
      </x:c>
      <x:c r="C254" t="str">
        <x:v>https://api.dicebear.com/9.x/adventurer/png?seed=DHR-00253-Jamie%20Martin&amp;size=256&amp;radius=50&amp;backgroundColor=b6e3f4,c0aede,d1d4f9,ffd5dc,ffdfbf</x:v>
      </x:c>
      <x:c r="D254" t="str">
        <x:v>jamie.martin.253@example.com</x:v>
      </x:c>
      <x:c r="E254" t="str">
        <x:v>+1 (210) 555-0152</x:v>
      </x:c>
      <x:c r="F254" t="str">
        <x:v>San Antonio, TX</x:v>
      </x:c>
      <x:c r="G254" t="str">
        <x:v>San Antonio</x:v>
      </x:c>
      <x:c r="H254" t="str">
        <x:v>TX</x:v>
      </x:c>
      <x:c r="I254" s="18" t="str">
        <x:v>78205</x:v>
      </x:c>
      <x:c r="J254" s="15" t="n">
        <x:v>26024.80909502315</x:v>
      </x:c>
      <x:c r="K254" t="n">
        <x:f>INT((DATE(2025,12,31)-J254)/365.25)</x:f>
        <x:v>54</x:v>
      </x:c>
      <x:c r="L254" t="str">
        <x:f>IF(K254&lt;25,"18-24",IF(K254&lt;35,"25-34",IF(K254&lt;45,"35-44",IF(K254&lt;55,"45-54","55+"))))</x:f>
        <x:v>45-54</x:v>
      </x:c>
      <x:c r="M254" s="15" t="n">
        <x:v>45623.45818490741</x:v>
      </x:c>
      <x:c r="N254" t="n">
        <x:f>(YEAR(DATE(2025,12,31))-YEAR(M254))*12+MONTH(DATE(2025,12,31))-MONTH(M254)</x:f>
        <x:v>13</x:v>
      </x:c>
      <x:c r="O254" t="str">
        <x:v>ACTIVE</x:v>
      </x:c>
      <x:c r="P254" t="str">
        <x:v>INDEPENDENT_CONTRACTOR</x:v>
      </x:c>
      <x:c r="Q254" t="str">
        <x:v>E_BIKE</x:v>
      </x:c>
      <x:c r="R254" t="str">
        <x:v>WEEKENDS</x:v>
      </x:c>
      <x:c r="S254" t="n">
        <x:v>13</x:v>
      </x:c>
      <x:c r="T254" t="str">
        <x:v>CLEARED</x:v>
      </x:c>
      <x:c r="U254" t="str">
        <x:v>NOT_REQUIRED</x:v>
      </x:c>
      <x:c r="V254" s="16" t="n">
        <x:v>0.8563</x:v>
      </x:c>
      <x:c r="W254" t="str">
        <x:v>English</x:v>
      </x:c>
      <x:c r="X254"/>
      <x:c r="Y254" t="n">
        <x:v>451</x:v>
      </x:c>
      <x:c r="Z254" s="17" t="n">
        <x:v>4.87</x:v>
      </x:c>
      <x:c r="AA254" s="16" t="n">
        <x:v>0.9283</x:v>
      </x:c>
      <x:c r="AB254" s="16" t="n">
        <x:v>0.8935</x:v>
      </x:c>
      <x:c r="AC254" s="16" t="n">
        <x:v>0.9505</x:v>
      </x:c>
      <x:c r="AD254" t="n">
        <x:v>0</x:v>
      </x:c>
      <x:c r="AE254" t="str">
        <x:f>IF(O254&lt;&gt;"ACTIVE","NOT_RATED",IF(AND(Z254&gt;=4.8,AB254&gt;=0.97,AC254&gt;=0.93,AD254=0),"ELITE",IF(AND(Z254&gt;=4.6,AB254&gt;=0.94,AC254&gt;=0.88),"HIGH_PERFORMER",IF(OR(Z254&lt;4.2,AB254&lt;0.85,AD254&gt;=2),"AT_RISK","STANDARD"))))</x:f>
        <x:v>STANDARD</x:v>
      </x:c>
      <x:c r="AF254" s="15" t="n">
        <x:v>46010</x:v>
      </x:c>
      <x:c r="AG254" t="str">
        <x:v>VERIFIED</x:v>
      </x:c>
      <x:c r="AH254" t="str">
        <x:v>COMPLETE</x:v>
      </x:c>
      <x:c r="AI254" t="str">
        <x:v>Jesse Lee</x:v>
      </x:c>
      <x:c r="AJ254" t="str">
        <x:v>SPOUSE_PARTNER</x:v>
      </x:c>
      <x:c r="AK254" t="str">
        <x:v>+1 (210) 555-0187</x:v>
      </x:c>
    </x:row>
    <x:row r="255" ht="18" customHeight="1">
      <x:c r="A255" t="str">
        <x:v>DHR-00254</x:v>
      </x:c>
      <x:c r="B255" t="str">
        <x:v>Jamie Martinez</x:v>
      </x:c>
      <x:c r="C255" t="str">
        <x:v>https://api.dicebear.com/9.x/adventurer/png?seed=DHR-00254-Jamie%20Martinez&amp;size=256&amp;radius=50&amp;backgroundColor=b6e3f4,c0aede,d1d4f9,ffd5dc,ffdfbf</x:v>
      </x:c>
      <x:c r="D255" t="str">
        <x:v>jamie.martinez.254@example.com</x:v>
      </x:c>
      <x:c r="E255" t="str">
        <x:v>+1 (512) 555-0153</x:v>
      </x:c>
      <x:c r="F255" t="str">
        <x:v>Austin, TX</x:v>
      </x:c>
      <x:c r="G255" t="str">
        <x:v>Austin</x:v>
      </x:c>
      <x:c r="H255" t="str">
        <x:v>TX</x:v>
      </x:c>
      <x:c r="I255" s="18" t="str">
        <x:v>78701</x:v>
      </x:c>
      <x:c r="J255" s="15" t="n">
        <x:v>29810.43610582176</x:v>
      </x:c>
      <x:c r="K255" t="n">
        <x:f>INT((DATE(2025,12,31)-J255)/365.25)</x:f>
        <x:v>44</x:v>
      </x:c>
      <x:c r="L255" t="str">
        <x:f>IF(K255&lt;25,"18-24",IF(K255&lt;35,"25-34",IF(K255&lt;45,"35-44",IF(K255&lt;55,"45-54","55+"))))</x:f>
        <x:v>35-44</x:v>
      </x:c>
      <x:c r="M255" s="15" t="n">
        <x:v>45246.72763144676</x:v>
      </x:c>
      <x:c r="N255" t="n">
        <x:f>(YEAR(DATE(2025,12,31))-YEAR(M255))*12+MONTH(DATE(2025,12,31))-MONTH(M255)</x:f>
        <x:v>25</x:v>
      </x:c>
      <x:c r="O255" t="str">
        <x:v>PAUSED</x:v>
      </x:c>
      <x:c r="P255" t="str">
        <x:v>INDEPENDENT_CONTRACTOR</x:v>
      </x:c>
      <x:c r="Q255" t="str">
        <x:v>CAR</x:v>
      </x:c>
      <x:c r="R255" t="str">
        <x:v>FLEXIBLE</x:v>
      </x:c>
      <x:c r="S255" t="n">
        <x:v>40</x:v>
      </x:c>
      <x:c r="T255" t="str">
        <x:v>CLEARED</x:v>
      </x:c>
      <x:c r="U255" t="str">
        <x:v>VALID</x:v>
      </x:c>
      <x:c r="V255" s="16" t="n">
        <x:v>0.7802</x:v>
      </x:c>
      <x:c r="W255" t="str">
        <x:v>English</x:v>
      </x:c>
      <x:c r="X255"/>
      <x:c r="Y255" t="n">
        <x:v>2107</x:v>
      </x:c>
      <x:c r="Z255" s="17" t="n">
        <x:v>4.95</x:v>
      </x:c>
      <x:c r="AA255" s="16" t="n">
        <x:v>0.7069</x:v>
      </x:c>
      <x:c r="AB255" s="16" t="n">
        <x:v>0.9846</x:v>
      </x:c>
      <x:c r="AC255" s="16" t="n">
        <x:v>0.9669</x:v>
      </x:c>
      <x:c r="AD255" t="n">
        <x:v>0</x:v>
      </x:c>
      <x:c r="AE255" t="str">
        <x:f>IF(O255&lt;&gt;"ACTIVE","NOT_RATED",IF(AND(Z255&gt;=4.8,AB255&gt;=0.97,AC255&gt;=0.93,AD255=0),"ELITE",IF(AND(Z255&gt;=4.6,AB255&gt;=0.94,AC255&gt;=0.88),"HIGH_PERFORMER",IF(OR(Z255&lt;4.2,AB255&lt;0.85,AD255&gt;=2),"AT_RISK","STANDARD"))))</x:f>
        <x:v>NOT_RATED</x:v>
      </x:c>
      <x:c r="AF255" s="15" t="n">
        <x:v>45981</x:v>
      </x:c>
      <x:c r="AG255" t="str">
        <x:v>VERIFIED</x:v>
      </x:c>
      <x:c r="AH255" t="str">
        <x:v>COMPLETE</x:v>
      </x:c>
      <x:c r="AI255" t="str">
        <x:v>Mia Jones</x:v>
      </x:c>
      <x:c r="AJ255" t="str">
        <x:v>FRIEND</x:v>
      </x:c>
      <x:c r="AK255" t="str">
        <x:v>+1 (512) 555-0194</x:v>
      </x:c>
    </x:row>
    <x:row r="256" ht="18" customHeight="1">
      <x:c r="A256" t="str">
        <x:v>DHR-00255</x:v>
      </x:c>
      <x:c r="B256" t="str">
        <x:v>Jamie Miller</x:v>
      </x:c>
      <x:c r="C256" t="str">
        <x:v>https://api.dicebear.com/9.x/adventurer/png?seed=DHR-00255-Jamie%20Miller&amp;size=256&amp;radius=50&amp;backgroundColor=b6e3f4,c0aede,d1d4f9,ffd5dc,ffdfbf</x:v>
      </x:c>
      <x:c r="D256" t="str">
        <x:v>jamie.miller.255@example.com</x:v>
      </x:c>
      <x:c r="E256" t="str">
        <x:v>+1 (212) 555-0154</x:v>
      </x:c>
      <x:c r="F256" t="str">
        <x:v>New York, NY</x:v>
      </x:c>
      <x:c r="G256" t="str">
        <x:v>New York</x:v>
      </x:c>
      <x:c r="H256" t="str">
        <x:v>NY</x:v>
      </x:c>
      <x:c r="I256" s="18" t="str">
        <x:v>10001</x:v>
      </x:c>
      <x:c r="J256" s="15" t="n">
        <x:v>34072.32019769676</x:v>
      </x:c>
      <x:c r="K256" t="n">
        <x:f>INT((DATE(2025,12,31)-J256)/365.25)</x:f>
        <x:v>32</x:v>
      </x:c>
      <x:c r="L256" t="str">
        <x:f>IF(K256&lt;25,"18-24",IF(K256&lt;35,"25-34",IF(K256&lt;45,"35-44",IF(K256&lt;55,"45-54","55+"))))</x:f>
        <x:v>25-34</x:v>
      </x:c>
      <x:c r="M256" s="15" t="n">
        <x:v>44491.08778858796</x:v>
      </x:c>
      <x:c r="N256" t="n">
        <x:f>(YEAR(DATE(2025,12,31))-YEAR(M256))*12+MONTH(DATE(2025,12,31))-MONTH(M256)</x:f>
        <x:v>50</x:v>
      </x:c>
      <x:c r="O256" t="str">
        <x:v>ACTIVE</x:v>
      </x:c>
      <x:c r="P256" t="str">
        <x:v>INDEPENDENT_CONTRACTOR</x:v>
      </x:c>
      <x:c r="Q256" t="str">
        <x:v>CAR</x:v>
      </x:c>
      <x:c r="R256" t="str">
        <x:v>LUNCH</x:v>
      </x:c>
      <x:c r="S256" t="n">
        <x:v>12</x:v>
      </x:c>
      <x:c r="T256" t="str">
        <x:v>CLEARED</x:v>
      </x:c>
      <x:c r="U256" t="str">
        <x:v>VALID</x:v>
      </x:c>
      <x:c r="V256" s="16" t="n">
        <x:v>0.975</x:v>
      </x:c>
      <x:c r="W256" t="str">
        <x:v>Portuguese</x:v>
      </x:c>
      <x:c r="X256"/>
      <x:c r="Y256" t="n">
        <x:v>1456</x:v>
      </x:c>
      <x:c r="Z256" s="17" t="n">
        <x:v>4.59</x:v>
      </x:c>
      <x:c r="AA256" s="16" t="n">
        <x:v>0.6434</x:v>
      </x:c>
      <x:c r="AB256" s="16" t="n">
        <x:v>0.8909</x:v>
      </x:c>
      <x:c r="AC256" s="16" t="n">
        <x:v>0.9386</x:v>
      </x:c>
      <x:c r="AD256" t="n">
        <x:v>1</x:v>
      </x:c>
      <x:c r="AE256" t="str">
        <x:f>IF(O256&lt;&gt;"ACTIVE","NOT_RATED",IF(AND(Z256&gt;=4.8,AB256&gt;=0.97,AC256&gt;=0.93,AD256=0),"ELITE",IF(AND(Z256&gt;=4.6,AB256&gt;=0.94,AC256&gt;=0.88),"HIGH_PERFORMER",IF(OR(Z256&lt;4.2,AB256&lt;0.85,AD256&gt;=2),"AT_RISK","STANDARD"))))</x:f>
        <x:v>STANDARD</x:v>
      </x:c>
      <x:c r="AF256" s="15" t="n">
        <x:v>46020</x:v>
      </x:c>
      <x:c r="AG256" t="str">
        <x:v>VERIFIED</x:v>
      </x:c>
      <x:c r="AH256" t="str">
        <x:v>COMPLETE</x:v>
      </x:c>
      <x:c r="AI256" t="str">
        <x:v>Reese Jackson</x:v>
      </x:c>
      <x:c r="AJ256" t="str">
        <x:v>PARENT</x:v>
      </x:c>
      <x:c r="AK256" t="str">
        <x:v>+1 (212) 555-0101</x:v>
      </x:c>
    </x:row>
    <x:row r="257" ht="18" customHeight="1">
      <x:c r="A257" t="str">
        <x:v>DHR-00256</x:v>
      </x:c>
      <x:c r="B257" t="str">
        <x:v>Jamie Perez</x:v>
      </x:c>
      <x:c r="C257" t="str">
        <x:v>https://api.dicebear.com/9.x/adventurer/png?seed=DHR-00256-Jamie%20Perez&amp;size=256&amp;radius=50&amp;backgroundColor=b6e3f4,c0aede,d1d4f9,ffd5dc,ffdfbf</x:v>
      </x:c>
      <x:c r="D257" t="str">
        <x:v>jamie.perez.256@example.com</x:v>
      </x:c>
      <x:c r="E257" t="str">
        <x:v>+1 (312) 555-0155</x:v>
      </x:c>
      <x:c r="F257" t="str">
        <x:v>Chicago, IL</x:v>
      </x:c>
      <x:c r="G257" t="str">
        <x:v>Chicago</x:v>
      </x:c>
      <x:c r="H257" t="str">
        <x:v>IL</x:v>
      </x:c>
      <x:c r="I257" s="18" t="str">
        <x:v>60601</x:v>
      </x:c>
      <x:c r="J257" s="15" t="n">
        <x:v>28241.309554895834</x:v>
      </x:c>
      <x:c r="K257" t="n">
        <x:f>INT((DATE(2025,12,31)-J257)/365.25)</x:f>
        <x:v>48</x:v>
      </x:c>
      <x:c r="L257" t="str">
        <x:f>IF(K257&lt;25,"18-24",IF(K257&lt;35,"25-34",IF(K257&lt;45,"35-44",IF(K257&lt;55,"45-54","55+"))))</x:f>
        <x:v>45-54</x:v>
      </x:c>
      <x:c r="M257" s="15" t="n">
        <x:v>44413.710576770834</x:v>
      </x:c>
      <x:c r="N257" t="n">
        <x:f>(YEAR(DATE(2025,12,31))-YEAR(M257))*12+MONTH(DATE(2025,12,31))-MONTH(M257)</x:f>
        <x:v>52</x:v>
      </x:c>
      <x:c r="O257" t="str">
        <x:v>ACTIVE</x:v>
      </x:c>
      <x:c r="P257" t="str">
        <x:v>INDEPENDENT_CONTRACTOR</x:v>
      </x:c>
      <x:c r="Q257" t="str">
        <x:v>CAR</x:v>
      </x:c>
      <x:c r="R257" t="str">
        <x:v>FLEXIBLE</x:v>
      </x:c>
      <x:c r="S257" t="n">
        <x:v>20</x:v>
      </x:c>
      <x:c r="T257" t="str">
        <x:v>CLEARED</x:v>
      </x:c>
      <x:c r="U257" t="str">
        <x:v>VALID</x:v>
      </x:c>
      <x:c r="V257" s="16" t="n">
        <x:v>0.9095</x:v>
      </x:c>
      <x:c r="W257" t="str">
        <x:v>English</x:v>
      </x:c>
      <x:c r="X257"/>
      <x:c r="Y257" t="n">
        <x:v>3882</x:v>
      </x:c>
      <x:c r="Z257" s="17" t="n">
        <x:v>4.96</x:v>
      </x:c>
      <x:c r="AA257" s="16" t="n">
        <x:v>0.9689</x:v>
      </x:c>
      <x:c r="AB257" s="16" t="n">
        <x:v>0.9619</x:v>
      </x:c>
      <x:c r="AC257" s="16" t="n">
        <x:v>0.8885</x:v>
      </x:c>
      <x:c r="AD257" t="n">
        <x:v>0</x:v>
      </x:c>
      <x:c r="AE257" t="str">
        <x:f>IF(O257&lt;&gt;"ACTIVE","NOT_RATED",IF(AND(Z257&gt;=4.8,AB257&gt;=0.97,AC257&gt;=0.93,AD257=0),"ELITE",IF(AND(Z257&gt;=4.6,AB257&gt;=0.94,AC257&gt;=0.88),"HIGH_PERFORMER",IF(OR(Z257&lt;4.2,AB257&lt;0.85,AD257&gt;=2),"AT_RISK","STANDARD"))))</x:f>
        <x:v>HIGH_PERFORMER</x:v>
      </x:c>
      <x:c r="AF257" s="15" t="n">
        <x:v>46014</x:v>
      </x:c>
      <x:c r="AG257" t="str">
        <x:v>VERIFIED</x:v>
      </x:c>
      <x:c r="AH257" t="str">
        <x:v>COMPLETE</x:v>
      </x:c>
      <x:c r="AI257" t="str">
        <x:v>Devin Davis</x:v>
      </x:c>
      <x:c r="AJ257" t="str">
        <x:v>PARENT</x:v>
      </x:c>
      <x:c r="AK257" t="str">
        <x:v>+1 (312) 555-0108</x:v>
      </x:c>
    </x:row>
    <x:row r="258" ht="18" customHeight="1">
      <x:c r="A258" t="str">
        <x:v>DHR-00257</x:v>
      </x:c>
      <x:c r="B258" t="str">
        <x:v>Jamie Taylor</x:v>
      </x:c>
      <x:c r="C258" t="str">
        <x:v>https://api.dicebear.com/9.x/adventurer/png?seed=DHR-00257-Jamie%20Taylor&amp;size=256&amp;radius=50&amp;backgroundColor=b6e3f4,c0aede,d1d4f9,ffd5dc,ffdfbf</x:v>
      </x:c>
      <x:c r="D258" t="str">
        <x:v>jamie.taylor.257@example.com</x:v>
      </x:c>
      <x:c r="E258" t="str">
        <x:v>+1 (617) 555-0156</x:v>
      </x:c>
      <x:c r="F258" t="str">
        <x:v>Boston, MA</x:v>
      </x:c>
      <x:c r="G258" t="str">
        <x:v>Boston</x:v>
      </x:c>
      <x:c r="H258" t="str">
        <x:v>MA</x:v>
      </x:c>
      <x:c r="I258" s="18" t="str">
        <x:v>02108</x:v>
      </x:c>
      <x:c r="J258" s="15" t="n">
        <x:v>33904.6414168287</x:v>
      </x:c>
      <x:c r="K258" t="n">
        <x:f>INT((DATE(2025,12,31)-J258)/365.25)</x:f>
        <x:v>33</x:v>
      </x:c>
      <x:c r="L258" t="str">
        <x:f>IF(K258&lt;25,"18-24",IF(K258&lt;35,"25-34",IF(K258&lt;45,"35-44",IF(K258&lt;55,"45-54","55+"))))</x:f>
        <x:v>25-34</x:v>
      </x:c>
      <x:c r="M258" s="15" t="n">
        <x:v>43523.67371782407</x:v>
      </x:c>
      <x:c r="N258" t="n">
        <x:f>(YEAR(DATE(2025,12,31))-YEAR(M258))*12+MONTH(DATE(2025,12,31))-MONTH(M258)</x:f>
        <x:v>82</x:v>
      </x:c>
      <x:c r="O258" t="str">
        <x:v>ACTIVE</x:v>
      </x:c>
      <x:c r="P258" t="str">
        <x:v>INDEPENDENT_CONTRACTOR</x:v>
      </x:c>
      <x:c r="Q258" t="str">
        <x:v>CAR</x:v>
      </x:c>
      <x:c r="R258" t="str">
        <x:v>FLEXIBLE</x:v>
      </x:c>
      <x:c r="S258" t="n">
        <x:v>32</x:v>
      </x:c>
      <x:c r="T258" t="str">
        <x:v>CLEARED</x:v>
      </x:c>
      <x:c r="U258" t="str">
        <x:v>VALID</x:v>
      </x:c>
      <x:c r="V258" s="16" t="n">
        <x:v>0.8763</x:v>
      </x:c>
      <x:c r="W258" t="str">
        <x:v>French</x:v>
      </x:c>
      <x:c r="X258"/>
      <x:c r="Y258" t="n">
        <x:v>7889</x:v>
      </x:c>
      <x:c r="Z258" s="17" t="n">
        <x:v>4.43</x:v>
      </x:c>
      <x:c r="AA258" s="16" t="n">
        <x:v>0.9273</x:v>
      </x:c>
      <x:c r="AB258" s="16" t="n">
        <x:v>0.9869</x:v>
      </x:c>
      <x:c r="AC258" s="16" t="n">
        <x:v>0.8673</x:v>
      </x:c>
      <x:c r="AD258" t="n">
        <x:v>1</x:v>
      </x:c>
      <x:c r="AE258" t="str">
        <x:f>IF(O258&lt;&gt;"ACTIVE","NOT_RATED",IF(AND(Z258&gt;=4.8,AB258&gt;=0.97,AC258&gt;=0.93,AD258=0),"ELITE",IF(AND(Z258&gt;=4.6,AB258&gt;=0.94,AC258&gt;=0.88),"HIGH_PERFORMER",IF(OR(Z258&lt;4.2,AB258&lt;0.85,AD258&gt;=2),"AT_RISK","STANDARD"))))</x:f>
        <x:v>STANDARD</x:v>
      </x:c>
      <x:c r="AF258" s="15" t="n">
        <x:v>46017</x:v>
      </x:c>
      <x:c r="AG258" t="str">
        <x:v>VERIFIED</x:v>
      </x:c>
      <x:c r="AH258" t="str">
        <x:v>PENDING</x:v>
      </x:c>
      <x:c r="AI258" t="str">
        <x:v>Drew Clark</x:v>
      </x:c>
      <x:c r="AJ258" t="str">
        <x:v>SPOUSE_PARTNER</x:v>
      </x:c>
      <x:c r="AK258" t="str">
        <x:v>+1 (617) 555-0115</x:v>
      </x:c>
    </x:row>
    <x:row r="259" ht="18" customHeight="1">
      <x:c r="A259" t="str">
        <x:v>DHR-00258</x:v>
      </x:c>
      <x:c r="B259" t="str">
        <x:v>Jamie Thomas</x:v>
      </x:c>
      <x:c r="C259" t="str">
        <x:v>https://api.dicebear.com/9.x/adventurer/png?seed=DHR-00258-Jamie%20Thomas&amp;size=256&amp;radius=50&amp;backgroundColor=b6e3f4,c0aede,d1d4f9,ffd5dc,ffdfbf</x:v>
      </x:c>
      <x:c r="D259" t="str">
        <x:v>jamie.thomas.258@example.com</x:v>
      </x:c>
      <x:c r="E259" t="str">
        <x:v>+1 (904) 555-0157</x:v>
      </x:c>
      <x:c r="F259" t="str">
        <x:v>Jacksonville, FL</x:v>
      </x:c>
      <x:c r="G259" t="str">
        <x:v>Jacksonville</x:v>
      </x:c>
      <x:c r="H259" t="str">
        <x:v>FL</x:v>
      </x:c>
      <x:c r="I259" s="18" t="str">
        <x:v>32202</x:v>
      </x:c>
      <x:c r="J259" s="15" t="n">
        <x:v>33263.415394537034</x:v>
      </x:c>
      <x:c r="K259" t="n">
        <x:f>INT((DATE(2025,12,31)-J259)/365.25)</x:f>
        <x:v>34</x:v>
      </x:c>
      <x:c r="L259" t="str">
        <x:f>IF(K259&lt;25,"18-24",IF(K259&lt;35,"25-34",IF(K259&lt;45,"35-44",IF(K259&lt;55,"45-54","55+"))))</x:f>
        <x:v>25-34</x:v>
      </x:c>
      <x:c r="M259" s="15" t="n">
        <x:v>43996.64519333333</x:v>
      </x:c>
      <x:c r="N259" t="n">
        <x:f>(YEAR(DATE(2025,12,31))-YEAR(M259))*12+MONTH(DATE(2025,12,31))-MONTH(M259)</x:f>
        <x:v>66</x:v>
      </x:c>
      <x:c r="O259" t="str">
        <x:v>ACTIVE</x:v>
      </x:c>
      <x:c r="P259" t="str">
        <x:v>INDEPENDENT_CONTRACTOR</x:v>
      </x:c>
      <x:c r="Q259" t="str">
        <x:v>CAR</x:v>
      </x:c>
      <x:c r="R259" t="str">
        <x:v>WEEKENDS</x:v>
      </x:c>
      <x:c r="S259" t="n">
        <x:v>33</x:v>
      </x:c>
      <x:c r="T259" t="str">
        <x:v>CLEARED</x:v>
      </x:c>
      <x:c r="U259" t="str">
        <x:v>VALID</x:v>
      </x:c>
      <x:c r="V259" s="16" t="n">
        <x:v>0.8134</x:v>
      </x:c>
      <x:c r="W259" t="str">
        <x:v>Portuguese</x:v>
      </x:c>
      <x:c r="X259" t="str">
        <x:v>French</x:v>
      </x:c>
      <x:c r="Y259" t="n">
        <x:v>5664</x:v>
      </x:c>
      <x:c r="Z259" s="17" t="n">
        <x:v>4.41</x:v>
      </x:c>
      <x:c r="AA259" s="16" t="n">
        <x:v>0.8365</x:v>
      </x:c>
      <x:c r="AB259" s="16" t="n">
        <x:v>0.8917</x:v>
      </x:c>
      <x:c r="AC259" s="16" t="n">
        <x:v>0.8523</x:v>
      </x:c>
      <x:c r="AD259" t="n">
        <x:v>0</x:v>
      </x:c>
      <x:c r="AE259" t="str">
        <x:f>IF(O259&lt;&gt;"ACTIVE","NOT_RATED",IF(AND(Z259&gt;=4.8,AB259&gt;=0.97,AC259&gt;=0.93,AD259=0),"ELITE",IF(AND(Z259&gt;=4.6,AB259&gt;=0.94,AC259&gt;=0.88),"HIGH_PERFORMER",IF(OR(Z259&lt;4.2,AB259&lt;0.85,AD259&gt;=2),"AT_RISK","STANDARD"))))</x:f>
        <x:v>STANDARD</x:v>
      </x:c>
      <x:c r="AF259" s="15" t="n">
        <x:v>46017</x:v>
      </x:c>
      <x:c r="AG259" t="str">
        <x:v>VERIFIED</x:v>
      </x:c>
      <x:c r="AH259" t="str">
        <x:v>COMPLETE</x:v>
      </x:c>
      <x:c r="AI259" t="str">
        <x:v>Casey Johnson</x:v>
      </x:c>
      <x:c r="AJ259" t="str">
        <x:v>SPOUSE_PARTNER</x:v>
      </x:c>
      <x:c r="AK259" t="str">
        <x:v>+1 (904) 555-0122</x:v>
      </x:c>
    </x:row>
    <x:row r="260" ht="18" customHeight="1">
      <x:c r="A260" t="str">
        <x:v>DHR-00259</x:v>
      </x:c>
      <x:c r="B260" t="str">
        <x:v>Jamie Thompson</x:v>
      </x:c>
      <x:c r="C260" t="str">
        <x:v>https://api.dicebear.com/9.x/adventurer/png?seed=DHR-00259-Jamie%20Thompson&amp;size=256&amp;radius=50&amp;backgroundColor=b6e3f4,c0aede,d1d4f9,ffd5dc,ffdfbf</x:v>
      </x:c>
      <x:c r="D260" t="str">
        <x:v>jamie.thompson.259@example.com</x:v>
      </x:c>
      <x:c r="E260" t="str">
        <x:v>+1 (602) 555-0158</x:v>
      </x:c>
      <x:c r="F260" t="str">
        <x:v>Phoenix, AZ</x:v>
      </x:c>
      <x:c r="G260" t="str">
        <x:v>Phoenix</x:v>
      </x:c>
      <x:c r="H260" t="str">
        <x:v>AZ</x:v>
      </x:c>
      <x:c r="I260" s="18" t="str">
        <x:v>85004</x:v>
      </x:c>
      <x:c r="J260" s="15" t="n">
        <x:v>36070.147163912035</x:v>
      </x:c>
      <x:c r="K260" t="n">
        <x:f>INT((DATE(2025,12,31)-J260)/365.25)</x:f>
        <x:v>27</x:v>
      </x:c>
      <x:c r="L260" t="str">
        <x:f>IF(K260&lt;25,"18-24",IF(K260&lt;35,"25-34",IF(K260&lt;45,"35-44",IF(K260&lt;55,"45-54","55+"))))</x:f>
        <x:v>25-34</x:v>
      </x:c>
      <x:c r="M260" s="15" t="n">
        <x:v>45451.66461112269</x:v>
      </x:c>
      <x:c r="N260" t="n">
        <x:f>(YEAR(DATE(2025,12,31))-YEAR(M260))*12+MONTH(DATE(2025,12,31))-MONTH(M260)</x:f>
        <x:v>18</x:v>
      </x:c>
      <x:c r="O260" t="str">
        <x:v>ACTIVE</x:v>
      </x:c>
      <x:c r="P260" t="str">
        <x:v>INDEPENDENT_CONTRACTOR</x:v>
      </x:c>
      <x:c r="Q260" t="str">
        <x:v>CAR</x:v>
      </x:c>
      <x:c r="R260" t="str">
        <x:v>LUNCH</x:v>
      </x:c>
      <x:c r="S260" t="n">
        <x:v>17</x:v>
      </x:c>
      <x:c r="T260" t="str">
        <x:v>CLEARED</x:v>
      </x:c>
      <x:c r="U260" t="str">
        <x:v>VALID</x:v>
      </x:c>
      <x:c r="V260" s="16" t="n">
        <x:v>0.9903</x:v>
      </x:c>
      <x:c r="W260" t="str">
        <x:v>English</x:v>
      </x:c>
      <x:c r="X260" t="str">
        <x:v>Korean</x:v>
      </x:c>
      <x:c r="Y260" t="n">
        <x:v>1028</x:v>
      </x:c>
      <x:c r="Z260" s="17" t="n">
        <x:v>4.54</x:v>
      </x:c>
      <x:c r="AA260" s="16" t="n">
        <x:v>0.7002</x:v>
      </x:c>
      <x:c r="AB260" s="16" t="n">
        <x:v>0.9102</x:v>
      </x:c>
      <x:c r="AC260" s="16" t="n">
        <x:v>0.8425</x:v>
      </x:c>
      <x:c r="AD260" t="n">
        <x:v>0</x:v>
      </x:c>
      <x:c r="AE260" t="str">
        <x:f>IF(O260&lt;&gt;"ACTIVE","NOT_RATED",IF(AND(Z260&gt;=4.8,AB260&gt;=0.97,AC260&gt;=0.93,AD260=0),"ELITE",IF(AND(Z260&gt;=4.6,AB260&gt;=0.94,AC260&gt;=0.88),"HIGH_PERFORMER",IF(OR(Z260&lt;4.2,AB260&lt;0.85,AD260&gt;=2),"AT_RISK","STANDARD"))))</x:f>
        <x:v>STANDARD</x:v>
      </x:c>
      <x:c r="AF260" s="15" t="n">
        <x:v>46009</x:v>
      </x:c>
      <x:c r="AG260" t="str">
        <x:v>VERIFIED</x:v>
      </x:c>
      <x:c r="AH260" t="str">
        <x:v>COMPLETE</x:v>
      </x:c>
      <x:c r="AI260" t="str">
        <x:v>Drew Martin</x:v>
      </x:c>
      <x:c r="AJ260" t="str">
        <x:v>SPOUSE_PARTNER</x:v>
      </x:c>
      <x:c r="AK260" t="str">
        <x:v>+1 (602) 555-0129</x:v>
      </x:c>
    </x:row>
    <x:row r="261" ht="18" customHeight="1">
      <x:c r="A261" t="str">
        <x:v>DHR-00260</x:v>
      </x:c>
      <x:c r="B261" t="str">
        <x:v>Jamie Walker</x:v>
      </x:c>
      <x:c r="C261" t="str">
        <x:v>https://api.dicebear.com/9.x/adventurer/png?seed=DHR-00260-Jamie%20Walker&amp;size=256&amp;radius=50&amp;backgroundColor=b6e3f4,c0aede,d1d4f9,ffd5dc,ffdfbf</x:v>
      </x:c>
      <x:c r="D261" t="str">
        <x:v>jamie.walker.260@example.com</x:v>
      </x:c>
      <x:c r="E261" t="str">
        <x:v>+1 (503) 555-0159</x:v>
      </x:c>
      <x:c r="F261" t="str">
        <x:v>Portland, OR</x:v>
      </x:c>
      <x:c r="G261" t="str">
        <x:v>Portland</x:v>
      </x:c>
      <x:c r="H261" t="str">
        <x:v>OR</x:v>
      </x:c>
      <x:c r="I261" s="18" t="str">
        <x:v>97205</x:v>
      </x:c>
      <x:c r="J261" s="15" t="n">
        <x:v>27819.22107996528</x:v>
      </x:c>
      <x:c r="K261" t="n">
        <x:f>INT((DATE(2025,12,31)-J261)/365.25)</x:f>
        <x:v>49</x:v>
      </x:c>
      <x:c r="L261" t="str">
        <x:f>IF(K261&lt;25,"18-24",IF(K261&lt;35,"25-34",IF(K261&lt;45,"35-44",IF(K261&lt;55,"45-54","55+"))))</x:f>
        <x:v>45-54</x:v>
      </x:c>
      <x:c r="M261" s="15" t="n">
        <x:v>44630.845589826386</x:v>
      </x:c>
      <x:c r="N261" t="n">
        <x:f>(YEAR(DATE(2025,12,31))-YEAR(M261))*12+MONTH(DATE(2025,12,31))-MONTH(M261)</x:f>
        <x:v>45</x:v>
      </x:c>
      <x:c r="O261" t="str">
        <x:v>ACTIVE</x:v>
      </x:c>
      <x:c r="P261" t="str">
        <x:v>INDEPENDENT_CONTRACTOR</x:v>
      </x:c>
      <x:c r="Q261" t="str">
        <x:v>E_BIKE</x:v>
      </x:c>
      <x:c r="R261" t="str">
        <x:v>LUNCH</x:v>
      </x:c>
      <x:c r="S261" t="n">
        <x:v>36</x:v>
      </x:c>
      <x:c r="T261" t="str">
        <x:v>CLEARED</x:v>
      </x:c>
      <x:c r="U261" t="str">
        <x:v>NOT_REQUIRED</x:v>
      </x:c>
      <x:c r="V261" s="16" t="n">
        <x:v>0.8161</x:v>
      </x:c>
      <x:c r="W261" t="str">
        <x:v>English</x:v>
      </x:c>
      <x:c r="X261"/>
      <x:c r="Y261" t="n">
        <x:v>4049</x:v>
      </x:c>
      <x:c r="Z261" s="17" t="n">
        <x:v>4.41</x:v>
      </x:c>
      <x:c r="AA261" s="16" t="n">
        <x:v>0.9607</x:v>
      </x:c>
      <x:c r="AB261" s="16" t="n">
        <x:v>0.9859</x:v>
      </x:c>
      <x:c r="AC261" s="16" t="n">
        <x:v>0.8287</x:v>
      </x:c>
      <x:c r="AD261" t="n">
        <x:v>0</x:v>
      </x:c>
      <x:c r="AE261" t="str">
        <x:f>IF(O261&lt;&gt;"ACTIVE","NOT_RATED",IF(AND(Z261&gt;=4.8,AB261&gt;=0.97,AC261&gt;=0.93,AD261=0),"ELITE",IF(AND(Z261&gt;=4.6,AB261&gt;=0.94,AC261&gt;=0.88),"HIGH_PERFORMER",IF(OR(Z261&lt;4.2,AB261&lt;0.85,AD261&gt;=2),"AT_RISK","STANDARD"))))</x:f>
        <x:v>STANDARD</x:v>
      </x:c>
      <x:c r="AF261" s="15" t="n">
        <x:v>46022</x:v>
      </x:c>
      <x:c r="AG261" t="str">
        <x:v>VERIFIED</x:v>
      </x:c>
      <x:c r="AH261" t="str">
        <x:v>COMPLETE</x:v>
      </x:c>
      <x:c r="AI261" t="str">
        <x:v>Alex White</x:v>
      </x:c>
      <x:c r="AJ261" t="str">
        <x:v>SPOUSE_PARTNER</x:v>
      </x:c>
      <x:c r="AK261" t="str">
        <x:v>+1 (503) 555-0136</x:v>
      </x:c>
    </x:row>
    <x:row r="262" ht="18" customHeight="1">
      <x:c r="A262" t="str">
        <x:v>DHR-00261</x:v>
      </x:c>
      <x:c r="B262" t="str">
        <x:v>Jamie White</x:v>
      </x:c>
      <x:c r="C262" t="str">
        <x:v>https://api.dicebear.com/9.x/adventurer/png?seed=DHR-00261-Jamie%20White&amp;size=256&amp;radius=50&amp;backgroundColor=b6e3f4,c0aede,d1d4f9,ffd5dc,ffdfbf</x:v>
      </x:c>
      <x:c r="D262" t="str">
        <x:v>jamie.white.261@example.com</x:v>
      </x:c>
      <x:c r="E262" t="str">
        <x:v>+1 (212) 555-0160</x:v>
      </x:c>
      <x:c r="F262" t="str">
        <x:v>New York, NY</x:v>
      </x:c>
      <x:c r="G262" t="str">
        <x:v>New York</x:v>
      </x:c>
      <x:c r="H262" t="str">
        <x:v>NY</x:v>
      </x:c>
      <x:c r="I262" s="18" t="str">
        <x:v>10001</x:v>
      </x:c>
      <x:c r="J262" s="15" t="n">
        <x:v>34523.09048724537</x:v>
      </x:c>
      <x:c r="K262" t="n">
        <x:f>INT((DATE(2025,12,31)-J262)/365.25)</x:f>
        <x:v>31</x:v>
      </x:c>
      <x:c r="L262" t="str">
        <x:f>IF(K262&lt;25,"18-24",IF(K262&lt;35,"25-34",IF(K262&lt;45,"35-44",IF(K262&lt;55,"45-54","55+"))))</x:f>
        <x:v>25-34</x:v>
      </x:c>
      <x:c r="M262" s="15" t="n">
        <x:v>43496.056924097225</x:v>
      </x:c>
      <x:c r="N262" t="n">
        <x:f>(YEAR(DATE(2025,12,31))-YEAR(M262))*12+MONTH(DATE(2025,12,31))-MONTH(M262)</x:f>
        <x:v>83</x:v>
      </x:c>
      <x:c r="O262" t="str">
        <x:v>ACTIVE</x:v>
      </x:c>
      <x:c r="P262" t="str">
        <x:v>INDEPENDENT_CONTRACTOR</x:v>
      </x:c>
      <x:c r="Q262" t="str">
        <x:v>CAR</x:v>
      </x:c>
      <x:c r="R262" t="str">
        <x:v>WEEKENDS</x:v>
      </x:c>
      <x:c r="S262" t="n">
        <x:v>32</x:v>
      </x:c>
      <x:c r="T262" t="str">
        <x:v>CLEARED</x:v>
      </x:c>
      <x:c r="U262" t="str">
        <x:v>VALID</x:v>
      </x:c>
      <x:c r="V262" s="16" t="n">
        <x:v>0.9257</x:v>
      </x:c>
      <x:c r="W262" t="str">
        <x:v>English</x:v>
      </x:c>
      <x:c r="X262"/>
      <x:c r="Y262" t="n">
        <x:v>10535</x:v>
      </x:c>
      <x:c r="Z262" s="17" t="n">
        <x:v>4.37</x:v>
      </x:c>
      <x:c r="AA262" s="16" t="n">
        <x:v>0.9549</x:v>
      </x:c>
      <x:c r="AB262" s="16" t="n">
        <x:v>0.8992</x:v>
      </x:c>
      <x:c r="AC262" s="16" t="n">
        <x:v>0.8548</x:v>
      </x:c>
      <x:c r="AD262" t="n">
        <x:v>0</x:v>
      </x:c>
      <x:c r="AE262" t="str">
        <x:f>IF(O262&lt;&gt;"ACTIVE","NOT_RATED",IF(AND(Z262&gt;=4.8,AB262&gt;=0.97,AC262&gt;=0.93,AD262=0),"ELITE",IF(AND(Z262&gt;=4.6,AB262&gt;=0.94,AC262&gt;=0.88),"HIGH_PERFORMER",IF(OR(Z262&lt;4.2,AB262&lt;0.85,AD262&gt;=2),"AT_RISK","STANDARD"))))</x:f>
        <x:v>STANDARD</x:v>
      </x:c>
      <x:c r="AF262" s="15" t="n">
        <x:v>46022</x:v>
      </x:c>
      <x:c r="AG262" t="str">
        <x:v>VERIFIED</x:v>
      </x:c>
      <x:c r="AH262" t="str">
        <x:v>COMPLETE</x:v>
      </x:c>
      <x:c r="AI262" t="str">
        <x:v>Ethan Perez</x:v>
      </x:c>
      <x:c r="AJ262" t="str">
        <x:v>PARENT</x:v>
      </x:c>
      <x:c r="AK262" t="str">
        <x:v>+1 (212) 555-0143</x:v>
      </x:c>
    </x:row>
    <x:row r="263" ht="18" customHeight="1">
      <x:c r="A263" t="str">
        <x:v>DHR-00262</x:v>
      </x:c>
      <x:c r="B263" t="str">
        <x:v>Jamie Williams</x:v>
      </x:c>
      <x:c r="C263" t="str">
        <x:v>https://api.dicebear.com/9.x/adventurer/png?seed=DHR-00262-Jamie%20Williams&amp;size=256&amp;radius=50&amp;backgroundColor=b6e3f4,c0aede,d1d4f9,ffd5dc,ffdfbf</x:v>
      </x:c>
      <x:c r="D263" t="str">
        <x:v>jamie.williams.262@example.com</x:v>
      </x:c>
      <x:c r="E263" t="str">
        <x:v>+1 (214) 555-0161</x:v>
      </x:c>
      <x:c r="F263" t="str">
        <x:v>Dallas, TX</x:v>
      </x:c>
      <x:c r="G263" t="str">
        <x:v>Dallas</x:v>
      </x:c>
      <x:c r="H263" t="str">
        <x:v>TX</x:v>
      </x:c>
      <x:c r="I263" s="18" t="str">
        <x:v>75201</x:v>
      </x:c>
      <x:c r="J263" s="15" t="n">
        <x:v>37275.597829583334</x:v>
      </x:c>
      <x:c r="K263" t="n">
        <x:f>INT((DATE(2025,12,31)-J263)/365.25)</x:f>
        <x:v>23</x:v>
      </x:c>
      <x:c r="L263" t="str">
        <x:f>IF(K263&lt;25,"18-24",IF(K263&lt;35,"25-34",IF(K263&lt;45,"35-44",IF(K263&lt;55,"45-54","55+"))))</x:f>
        <x:v>18-24</x:v>
      </x:c>
      <x:c r="M263" s="15" t="n">
        <x:v>45273.560133425926</x:v>
      </x:c>
      <x:c r="N263" t="n">
        <x:f>(YEAR(DATE(2025,12,31))-YEAR(M263))*12+MONTH(DATE(2025,12,31))-MONTH(M263)</x:f>
        <x:v>24</x:v>
      </x:c>
      <x:c r="O263" t="str">
        <x:v>ACTIVE</x:v>
      </x:c>
      <x:c r="P263" t="str">
        <x:v>INDEPENDENT_CONTRACTOR</x:v>
      </x:c>
      <x:c r="Q263" t="str">
        <x:v>MOTORCYCLE</x:v>
      </x:c>
      <x:c r="R263" t="str">
        <x:v>DINNER</x:v>
      </x:c>
      <x:c r="S263" t="n">
        <x:v>28</x:v>
      </x:c>
      <x:c r="T263" t="str">
        <x:v>CLEARED</x:v>
      </x:c>
      <x:c r="U263" t="str">
        <x:v>VALID</x:v>
      </x:c>
      <x:c r="V263" s="16" t="n">
        <x:v>0.9898</x:v>
      </x:c>
      <x:c r="W263" t="str">
        <x:v>Spanish</x:v>
      </x:c>
      <x:c r="X263"/>
      <x:c r="Y263" t="n">
        <x:v>2790</x:v>
      </x:c>
      <x:c r="Z263" s="17" t="n">
        <x:v>4.45</x:v>
      </x:c>
      <x:c r="AA263" s="16" t="n">
        <x:v>0.6319</x:v>
      </x:c>
      <x:c r="AB263" s="16" t="n">
        <x:v>0.9835</x:v>
      </x:c>
      <x:c r="AC263" s="16" t="n">
        <x:v>0.8703</x:v>
      </x:c>
      <x:c r="AD263" t="n">
        <x:v>0</x:v>
      </x:c>
      <x:c r="AE263" t="str">
        <x:f>IF(O263&lt;&gt;"ACTIVE","NOT_RATED",IF(AND(Z263&gt;=4.8,AB263&gt;=0.97,AC263&gt;=0.93,AD263=0),"ELITE",IF(AND(Z263&gt;=4.6,AB263&gt;=0.94,AC263&gt;=0.88),"HIGH_PERFORMER",IF(OR(Z263&lt;4.2,AB263&lt;0.85,AD263&gt;=2),"AT_RISK","STANDARD"))))</x:f>
        <x:v>STANDARD</x:v>
      </x:c>
      <x:c r="AF263" s="15" t="n">
        <x:v>46020</x:v>
      </x:c>
      <x:c r="AG263" t="str">
        <x:v>VERIFIED</x:v>
      </x:c>
      <x:c r="AH263" t="str">
        <x:v>COMPLETE</x:v>
      </x:c>
      <x:c r="AI263" t="str">
        <x:v>Riley Lewis</x:v>
      </x:c>
      <x:c r="AJ263" t="str">
        <x:v>SPOUSE_PARTNER</x:v>
      </x:c>
      <x:c r="AK263" t="str">
        <x:v>+1 (214) 555-0150</x:v>
      </x:c>
    </x:row>
    <x:row r="264" ht="18" customHeight="1">
      <x:c r="A264" t="str">
        <x:v>DHR-00263</x:v>
      </x:c>
      <x:c r="B264" t="str">
        <x:v>Jamie Wilson</x:v>
      </x:c>
      <x:c r="C264" t="str">
        <x:v>https://api.dicebear.com/9.x/adventurer/png?seed=DHR-00263-Jamie%20Wilson&amp;size=256&amp;radius=50&amp;backgroundColor=b6e3f4,c0aede,d1d4f9,ffd5dc,ffdfbf</x:v>
      </x:c>
      <x:c r="D264" t="str">
        <x:v>jamie.wilson.263@example.com</x:v>
      </x:c>
      <x:c r="E264" t="str">
        <x:v>+1 (702) 555-0162</x:v>
      </x:c>
      <x:c r="F264" t="str">
        <x:v>Las Vegas, NV</x:v>
      </x:c>
      <x:c r="G264" t="str">
        <x:v>Las Vegas</x:v>
      </x:c>
      <x:c r="H264" t="str">
        <x:v>NV</x:v>
      </x:c>
      <x:c r="I264" s="18" t="str">
        <x:v>89101</x:v>
      </x:c>
      <x:c r="J264" s="15" t="n">
        <x:v>35891.333669074076</x:v>
      </x:c>
      <x:c r="K264" t="n">
        <x:f>INT((DATE(2025,12,31)-J264)/365.25)</x:f>
        <x:v>27</x:v>
      </x:c>
      <x:c r="L264" t="str">
        <x:f>IF(K264&lt;25,"18-24",IF(K264&lt;35,"25-34",IF(K264&lt;45,"35-44",IF(K264&lt;55,"45-54","55+"))))</x:f>
        <x:v>25-34</x:v>
      </x:c>
      <x:c r="M264" s="15" t="n">
        <x:v>44516.023896099534</x:v>
      </x:c>
      <x:c r="N264" t="n">
        <x:f>(YEAR(DATE(2025,12,31))-YEAR(M264))*12+MONTH(DATE(2025,12,31))-MONTH(M264)</x:f>
        <x:v>49</x:v>
      </x:c>
      <x:c r="O264" t="str">
        <x:v>ACTIVE</x:v>
      </x:c>
      <x:c r="P264" t="str">
        <x:v>INDEPENDENT_CONTRACTOR</x:v>
      </x:c>
      <x:c r="Q264" t="str">
        <x:v>CAR</x:v>
      </x:c>
      <x:c r="R264" t="str">
        <x:v>DINNER</x:v>
      </x:c>
      <x:c r="S264" t="n">
        <x:v>19</x:v>
      </x:c>
      <x:c r="T264" t="str">
        <x:v>CLEARED</x:v>
      </x:c>
      <x:c r="U264" t="str">
        <x:v>VALID</x:v>
      </x:c>
      <x:c r="V264" s="16" t="n">
        <x:v>0.8174</x:v>
      </x:c>
      <x:c r="W264" t="str">
        <x:v>Spanish</x:v>
      </x:c>
      <x:c r="X264"/>
      <x:c r="Y264" t="n">
        <x:v>1887</x:v>
      </x:c>
      <x:c r="Z264" s="17" t="n">
        <x:v>4.79</x:v>
      </x:c>
      <x:c r="AA264" s="16" t="n">
        <x:v>0.7333</x:v>
      </x:c>
      <x:c r="AB264" s="16" t="n">
        <x:v>0.998</x:v>
      </x:c>
      <x:c r="AC264" s="16" t="n">
        <x:v>0.8491</x:v>
      </x:c>
      <x:c r="AD264" t="n">
        <x:v>1</x:v>
      </x:c>
      <x:c r="AE264" t="str">
        <x:f>IF(O264&lt;&gt;"ACTIVE","NOT_RATED",IF(AND(Z264&gt;=4.8,AB264&gt;=0.97,AC264&gt;=0.93,AD264=0),"ELITE",IF(AND(Z264&gt;=4.6,AB264&gt;=0.94,AC264&gt;=0.88),"HIGH_PERFORMER",IF(OR(Z264&lt;4.2,AB264&lt;0.85,AD264&gt;=2),"AT_RISK","STANDARD"))))</x:f>
        <x:v>STANDARD</x:v>
      </x:c>
      <x:c r="AF264" s="15" t="n">
        <x:v>46019</x:v>
      </x:c>
      <x:c r="AG264" t="str">
        <x:v>VERIFIED</x:v>
      </x:c>
      <x:c r="AH264" t="str">
        <x:v>COMPLETE</x:v>
      </x:c>
      <x:c r="AI264" t="str">
        <x:v>Avery Lee</x:v>
      </x:c>
      <x:c r="AJ264" t="str">
        <x:v>SPOUSE_PARTNER</x:v>
      </x:c>
      <x:c r="AK264" t="str">
        <x:v>+1 (702) 555-0157</x:v>
      </x:c>
    </x:row>
    <x:row r="265" ht="18" customHeight="1">
      <x:c r="A265" t="str">
        <x:v>DHR-00264</x:v>
      </x:c>
      <x:c r="B265" t="str">
        <x:v>Jamie Young</x:v>
      </x:c>
      <x:c r="C265" t="str">
        <x:v>https://api.dicebear.com/9.x/adventurer/png?seed=DHR-00264-Jamie%20Young&amp;size=256&amp;radius=50&amp;backgroundColor=b6e3f4,c0aede,d1d4f9,ffd5dc,ffdfbf</x:v>
      </x:c>
      <x:c r="D265" t="str">
        <x:v>jamie.young.264@example.com</x:v>
      </x:c>
      <x:c r="E265" t="str">
        <x:v>+1 (415) 555-0163</x:v>
      </x:c>
      <x:c r="F265" t="str">
        <x:v>San Francisco, CA</x:v>
      </x:c>
      <x:c r="G265" t="str">
        <x:v>San Francisco</x:v>
      </x:c>
      <x:c r="H265" t="str">
        <x:v>CA</x:v>
      </x:c>
      <x:c r="I265" s="18" t="str">
        <x:v>94103</x:v>
      </x:c>
      <x:c r="J265" s="15" t="n">
        <x:v>32889.61355353009</x:v>
      </x:c>
      <x:c r="K265" t="n">
        <x:f>INT((DATE(2025,12,31)-J265)/365.25)</x:f>
        <x:v>35</x:v>
      </x:c>
      <x:c r="L265" t="str">
        <x:f>IF(K265&lt;25,"18-24",IF(K265&lt;35,"25-34",IF(K265&lt;45,"35-44",IF(K265&lt;55,"45-54","55+"))))</x:f>
        <x:v>35-44</x:v>
      </x:c>
      <x:c r="M265" s="15" t="n">
        <x:v>43873.50143482639</x:v>
      </x:c>
      <x:c r="N265" t="n">
        <x:f>(YEAR(DATE(2025,12,31))-YEAR(M265))*12+MONTH(DATE(2025,12,31))-MONTH(M265)</x:f>
        <x:v>70</x:v>
      </x:c>
      <x:c r="O265" t="str">
        <x:v>ACTIVE</x:v>
      </x:c>
      <x:c r="P265" t="str">
        <x:v>INDEPENDENT_CONTRACTOR</x:v>
      </x:c>
      <x:c r="Q265" t="str">
        <x:v>BICYCLE</x:v>
      </x:c>
      <x:c r="R265" t="str">
        <x:v>DINNER</x:v>
      </x:c>
      <x:c r="S265" t="n">
        <x:v>13</x:v>
      </x:c>
      <x:c r="T265" t="str">
        <x:v>CLEARED</x:v>
      </x:c>
      <x:c r="U265" t="str">
        <x:v>NOT_REQUIRED</x:v>
      </x:c>
      <x:c r="V265" s="16" t="n">
        <x:v>0.8636</x:v>
      </x:c>
      <x:c r="W265" t="str">
        <x:v>English</x:v>
      </x:c>
      <x:c r="X265"/>
      <x:c r="Y265" t="n">
        <x:v>1962</x:v>
      </x:c>
      <x:c r="Z265" s="17" t="n">
        <x:v>4.98</x:v>
      </x:c>
      <x:c r="AA265" s="16" t="n">
        <x:v>0.8941</x:v>
      </x:c>
      <x:c r="AB265" s="16" t="n">
        <x:v>0.9819</x:v>
      </x:c>
      <x:c r="AC265" s="16" t="n">
        <x:v>0.9866</x:v>
      </x:c>
      <x:c r="AD265" t="n">
        <x:v>0</x:v>
      </x:c>
      <x:c r="AE265" t="str">
        <x:f>IF(O265&lt;&gt;"ACTIVE","NOT_RATED",IF(AND(Z265&gt;=4.8,AB265&gt;=0.97,AC265&gt;=0.93,AD265=0),"ELITE",IF(AND(Z265&gt;=4.6,AB265&gt;=0.94,AC265&gt;=0.88),"HIGH_PERFORMER",IF(OR(Z265&lt;4.2,AB265&lt;0.85,AD265&gt;=2),"AT_RISK","STANDARD"))))</x:f>
        <x:v>ELITE</x:v>
      </x:c>
      <x:c r="AF265" s="15" t="n">
        <x:v>46020</x:v>
      </x:c>
      <x:c r="AG265" t="str">
        <x:v>VERIFIED</x:v>
      </x:c>
      <x:c r="AH265" t="str">
        <x:v>COMPLETE</x:v>
      </x:c>
      <x:c r="AI265" t="str">
        <x:v>Robin Anderson</x:v>
      </x:c>
      <x:c r="AJ265" t="str">
        <x:v>OTHER</x:v>
      </x:c>
      <x:c r="AK265" t="str">
        <x:v>+1 (415) 555-0164</x:v>
      </x:c>
    </x:row>
    <x:row r="266" ht="18" customHeight="1">
      <x:c r="A266" t="str">
        <x:v>DHR-00265</x:v>
      </x:c>
      <x:c r="B266" t="str">
        <x:v>Jesse Anderson</x:v>
      </x:c>
      <x:c r="C266" t="str">
        <x:v>https://api.dicebear.com/9.x/adventurer/png?seed=DHR-00265-Jesse%20Anderson&amp;size=256&amp;radius=50&amp;backgroundColor=b6e3f4,c0aede,d1d4f9,ffd5dc,ffdfbf</x:v>
      </x:c>
      <x:c r="D266" t="str">
        <x:v>jesse.anderson.265@example.com</x:v>
      </x:c>
      <x:c r="E266" t="str">
        <x:v>+1 (212) 555-0164</x:v>
      </x:c>
      <x:c r="F266" t="str">
        <x:v>New York, NY</x:v>
      </x:c>
      <x:c r="G266" t="str">
        <x:v>New York</x:v>
      </x:c>
      <x:c r="H266" t="str">
        <x:v>NY</x:v>
      </x:c>
      <x:c r="I266" s="18" t="str">
        <x:v>10001</x:v>
      </x:c>
      <x:c r="J266" s="15" t="n">
        <x:v>28769.74440212963</x:v>
      </x:c>
      <x:c r="K266" t="n">
        <x:f>INT((DATE(2025,12,31)-J266)/365.25)</x:f>
        <x:v>47</x:v>
      </x:c>
      <x:c r="L266" t="str">
        <x:f>IF(K266&lt;25,"18-24",IF(K266&lt;35,"25-34",IF(K266&lt;45,"35-44",IF(K266&lt;55,"45-54","55+"))))</x:f>
        <x:v>45-54</x:v>
      </x:c>
      <x:c r="M266" s="15" t="n">
        <x:v>43612.655370671295</x:v>
      </x:c>
      <x:c r="N266" t="n">
        <x:f>(YEAR(DATE(2025,12,31))-YEAR(M266))*12+MONTH(DATE(2025,12,31))-MONTH(M266)</x:f>
        <x:v>79</x:v>
      </x:c>
      <x:c r="O266" t="str">
        <x:v>ACTIVE</x:v>
      </x:c>
      <x:c r="P266" t="str">
        <x:v>INDEPENDENT_CONTRACTOR</x:v>
      </x:c>
      <x:c r="Q266" t="str">
        <x:v>CAR</x:v>
      </x:c>
      <x:c r="R266" t="str">
        <x:v>WEEKENDS</x:v>
      </x:c>
      <x:c r="S266" t="n">
        <x:v>16</x:v>
      </x:c>
      <x:c r="T266" t="str">
        <x:v>CLEARED</x:v>
      </x:c>
      <x:c r="U266" t="str">
        <x:v>VALID</x:v>
      </x:c>
      <x:c r="V266" s="16" t="n">
        <x:v>0.9659</x:v>
      </x:c>
      <x:c r="W266" t="str">
        <x:v>English</x:v>
      </x:c>
      <x:c r="X266"/>
      <x:c r="Y266" t="n">
        <x:v>4400</x:v>
      </x:c>
      <x:c r="Z266" s="17" t="n">
        <x:v>4.69</x:v>
      </x:c>
      <x:c r="AA266" s="16" t="n">
        <x:v>0.7409</x:v>
      </x:c>
      <x:c r="AB266" s="16" t="n">
        <x:v>0.9563</x:v>
      </x:c>
      <x:c r="AC266" s="16" t="n">
        <x:v>0.9797</x:v>
      </x:c>
      <x:c r="AD266" t="n">
        <x:v>0</x:v>
      </x:c>
      <x:c r="AE266" t="str">
        <x:f>IF(O266&lt;&gt;"ACTIVE","NOT_RATED",IF(AND(Z266&gt;=4.8,AB266&gt;=0.97,AC266&gt;=0.93,AD266=0),"ELITE",IF(AND(Z266&gt;=4.6,AB266&gt;=0.94,AC266&gt;=0.88),"HIGH_PERFORMER",IF(OR(Z266&lt;4.2,AB266&lt;0.85,AD266&gt;=2),"AT_RISK","STANDARD"))))</x:f>
        <x:v>HIGH_PERFORMER</x:v>
      </x:c>
      <x:c r="AF266" s="15" t="n">
        <x:v>46020</x:v>
      </x:c>
      <x:c r="AG266" t="str">
        <x:v>VERIFIED</x:v>
      </x:c>
      <x:c r="AH266" t="str">
        <x:v>COMPLETE</x:v>
      </x:c>
      <x:c r="AI266" t="str">
        <x:v>Ethan Clark</x:v>
      </x:c>
      <x:c r="AJ266" t="str">
        <x:v>PARENT</x:v>
      </x:c>
      <x:c r="AK266" t="str">
        <x:v>+1 (212) 555-0171</x:v>
      </x:c>
    </x:row>
    <x:row r="267" ht="18" customHeight="1">
      <x:c r="A267" t="str">
        <x:v>DHR-00266</x:v>
      </x:c>
      <x:c r="B267" t="str">
        <x:v>Jesse Brown</x:v>
      </x:c>
      <x:c r="C267" t="str">
        <x:v>https://api.dicebear.com/9.x/adventurer/png?seed=DHR-00266-Jesse%20Brown&amp;size=256&amp;radius=50&amp;backgroundColor=b6e3f4,c0aede,d1d4f9,ffd5dc,ffdfbf</x:v>
      </x:c>
      <x:c r="D267" t="str">
        <x:v>jesse.brown.266@example.com</x:v>
      </x:c>
      <x:c r="E267" t="str">
        <x:v>+1 (312) 555-0165</x:v>
      </x:c>
      <x:c r="F267" t="str">
        <x:v>Chicago, IL</x:v>
      </x:c>
      <x:c r="G267" t="str">
        <x:v>Chicago</x:v>
      </x:c>
      <x:c r="H267" t="str">
        <x:v>IL</x:v>
      </x:c>
      <x:c r="I267" s="18" t="str">
        <x:v>60601</x:v>
      </x:c>
      <x:c r="J267" s="15" t="n">
        <x:v>29149.127902673612</x:v>
      </x:c>
      <x:c r="K267" t="n">
        <x:f>INT((DATE(2025,12,31)-J267)/365.25)</x:f>
        <x:v>46</x:v>
      </x:c>
      <x:c r="L267" t="str">
        <x:f>IF(K267&lt;25,"18-24",IF(K267&lt;35,"25-34",IF(K267&lt;45,"35-44",IF(K267&lt;55,"45-54","55+"))))</x:f>
        <x:v>45-54</x:v>
      </x:c>
      <x:c r="M267" s="15" t="n">
        <x:v>45442.218186736114</x:v>
      </x:c>
      <x:c r="N267" t="n">
        <x:f>(YEAR(DATE(2025,12,31))-YEAR(M267))*12+MONTH(DATE(2025,12,31))-MONTH(M267)</x:f>
        <x:v>19</x:v>
      </x:c>
      <x:c r="O267" t="str">
        <x:v>ACTIVE</x:v>
      </x:c>
      <x:c r="P267" t="str">
        <x:v>INDEPENDENT_CONTRACTOR</x:v>
      </x:c>
      <x:c r="Q267" t="str">
        <x:v>E_BIKE</x:v>
      </x:c>
      <x:c r="R267" t="str">
        <x:v>FLEXIBLE</x:v>
      </x:c>
      <x:c r="S267" t="n">
        <x:v>27</x:v>
      </x:c>
      <x:c r="T267" t="str">
        <x:v>CLEARED</x:v>
      </x:c>
      <x:c r="U267" t="str">
        <x:v>NOT_REQUIRED</x:v>
      </x:c>
      <x:c r="V267" s="16" t="n">
        <x:v>0.7977</x:v>
      </x:c>
      <x:c r="W267" t="str">
        <x:v>Korean</x:v>
      </x:c>
      <x:c r="X267"/>
      <x:c r="Y267" t="n">
        <x:v>1873</x:v>
      </x:c>
      <x:c r="Z267" s="17" t="n">
        <x:v>4.82</x:v>
      </x:c>
      <x:c r="AA267" s="16" t="n">
        <x:v>0.8983</x:v>
      </x:c>
      <x:c r="AB267" s="16" t="n">
        <x:v>0.9773</x:v>
      </x:c>
      <x:c r="AC267" s="16" t="n">
        <x:v>0.8784</x:v>
      </x:c>
      <x:c r="AD267" t="n">
        <x:v>0</x:v>
      </x:c>
      <x:c r="AE267" t="str">
        <x:f>IF(O267&lt;&gt;"ACTIVE","NOT_RATED",IF(AND(Z267&gt;=4.8,AB267&gt;=0.97,AC267&gt;=0.93,AD267=0),"ELITE",IF(AND(Z267&gt;=4.6,AB267&gt;=0.94,AC267&gt;=0.88),"HIGH_PERFORMER",IF(OR(Z267&lt;4.2,AB267&lt;0.85,AD267&gt;=2),"AT_RISK","STANDARD"))))</x:f>
        <x:v>STANDARD</x:v>
      </x:c>
      <x:c r="AF267" s="15" t="n">
        <x:v>46017</x:v>
      </x:c>
      <x:c r="AG267" t="str">
        <x:v>VERIFIED</x:v>
      </x:c>
      <x:c r="AH267" t="str">
        <x:v>COMPLETE</x:v>
      </x:c>
      <x:c r="AI267" t="str">
        <x:v>Robin Lewis</x:v>
      </x:c>
      <x:c r="AJ267" t="str">
        <x:v>FRIEND</x:v>
      </x:c>
      <x:c r="AK267" t="str">
        <x:v>+1 (312) 555-0178</x:v>
      </x:c>
    </x:row>
    <x:row r="268" ht="18" customHeight="1">
      <x:c r="A268" t="str">
        <x:v>DHR-00267</x:v>
      </x:c>
      <x:c r="B268" t="str">
        <x:v>Jesse Davis</x:v>
      </x:c>
      <x:c r="C268" t="str">
        <x:v>https://api.dicebear.com/9.x/adventurer/png?seed=DHR-00267-Jesse%20Davis&amp;size=256&amp;radius=50&amp;backgroundColor=b6e3f4,c0aede,d1d4f9,ffd5dc,ffdfbf</x:v>
      </x:c>
      <x:c r="D268" t="str">
        <x:v>jesse.davis.267@example.com</x:v>
      </x:c>
      <x:c r="E268" t="str">
        <x:v>+1 (602) 555-0166</x:v>
      </x:c>
      <x:c r="F268" t="str">
        <x:v>Phoenix, AZ</x:v>
      </x:c>
      <x:c r="G268" t="str">
        <x:v>Phoenix</x:v>
      </x:c>
      <x:c r="H268" t="str">
        <x:v>AZ</x:v>
      </x:c>
      <x:c r="I268" s="18" t="str">
        <x:v>85004</x:v>
      </x:c>
      <x:c r="J268" s="15" t="n">
        <x:v>29517.31089283565</x:v>
      </x:c>
      <x:c r="K268" t="n">
        <x:f>INT((DATE(2025,12,31)-J268)/365.25)</x:f>
        <x:v>45</x:v>
      </x:c>
      <x:c r="L268" t="str">
        <x:f>IF(K268&lt;25,"18-24",IF(K268&lt;35,"25-34",IF(K268&lt;45,"35-44",IF(K268&lt;55,"45-54","55+"))))</x:f>
        <x:v>45-54</x:v>
      </x:c>
      <x:c r="M268" s="15" t="n">
        <x:v>44359.91989935185</x:v>
      </x:c>
      <x:c r="N268" t="n">
        <x:f>(YEAR(DATE(2025,12,31))-YEAR(M268))*12+MONTH(DATE(2025,12,31))-MONTH(M268)</x:f>
        <x:v>54</x:v>
      </x:c>
      <x:c r="O268" t="str">
        <x:v>PAUSED</x:v>
      </x:c>
      <x:c r="P268" t="str">
        <x:v>INDEPENDENT_CONTRACTOR</x:v>
      </x:c>
      <x:c r="Q268" t="str">
        <x:v>CAR</x:v>
      </x:c>
      <x:c r="R268" t="str">
        <x:v>WEEKENDS</x:v>
      </x:c>
      <x:c r="S268" t="n">
        <x:v>20</x:v>
      </x:c>
      <x:c r="T268" t="str">
        <x:v>CLEARED</x:v>
      </x:c>
      <x:c r="U268" t="str">
        <x:v>VALID</x:v>
      </x:c>
      <x:c r="V268" s="16" t="n">
        <x:v>0.9793</x:v>
      </x:c>
      <x:c r="W268" t="str">
        <x:v>English</x:v>
      </x:c>
      <x:c r="X268"/>
      <x:c r="Y268" t="n">
        <x:v>2704</x:v>
      </x:c>
      <x:c r="Z268" s="17" t="n">
        <x:v>4.69</x:v>
      </x:c>
      <x:c r="AA268" s="16" t="n">
        <x:v>0.99</x:v>
      </x:c>
      <x:c r="AB268" s="16" t="n">
        <x:v>0.9016</x:v>
      </x:c>
      <x:c r="AC268" s="16" t="n">
        <x:v>0.9001</x:v>
      </x:c>
      <x:c r="AD268" t="n">
        <x:v>0</x:v>
      </x:c>
      <x:c r="AE268" t="str">
        <x:f>IF(O268&lt;&gt;"ACTIVE","NOT_RATED",IF(AND(Z268&gt;=4.8,AB268&gt;=0.97,AC268&gt;=0.93,AD268=0),"ELITE",IF(AND(Z268&gt;=4.6,AB268&gt;=0.94,AC268&gt;=0.88),"HIGH_PERFORMER",IF(OR(Z268&lt;4.2,AB268&lt;0.85,AD268&gt;=2),"AT_RISK","STANDARD"))))</x:f>
        <x:v>NOT_RATED</x:v>
      </x:c>
      <x:c r="AF268" s="15" t="n">
        <x:v>45954</x:v>
      </x:c>
      <x:c r="AG268" t="str">
        <x:v>VERIFIED</x:v>
      </x:c>
      <x:c r="AH268" t="str">
        <x:v>COMPLETE</x:v>
      </x:c>
      <x:c r="AI268" t="str">
        <x:v>Casey Brown</x:v>
      </x:c>
      <x:c r="AJ268" t="str">
        <x:v>SPOUSE_PARTNER</x:v>
      </x:c>
      <x:c r="AK268" t="str">
        <x:v>+1 (602) 555-0185</x:v>
      </x:c>
    </x:row>
    <x:row r="269" ht="18" customHeight="1">
      <x:c r="A269" t="str">
        <x:v>DHR-00268</x:v>
      </x:c>
      <x:c r="B269" t="str">
        <x:v>Jesse Garcia</x:v>
      </x:c>
      <x:c r="C269" t="str">
        <x:v>https://api.dicebear.com/9.x/adventurer/png?seed=DHR-00268-Jesse%20Garcia&amp;size=256&amp;radius=50&amp;backgroundColor=b6e3f4,c0aede,d1d4f9,ffd5dc,ffdfbf</x:v>
      </x:c>
      <x:c r="D269" t="str">
        <x:v>jesse.garcia.268@example.com</x:v>
      </x:c>
      <x:c r="E269" t="str">
        <x:v>+1 (602) 555-0167</x:v>
      </x:c>
      <x:c r="F269" t="str">
        <x:v>Phoenix, AZ</x:v>
      </x:c>
      <x:c r="G269" t="str">
        <x:v>Phoenix</x:v>
      </x:c>
      <x:c r="H269" t="str">
        <x:v>AZ</x:v>
      </x:c>
      <x:c r="I269" s="18" t="str">
        <x:v>85004</x:v>
      </x:c>
      <x:c r="J269" s="15" t="n">
        <x:v>26725.536208796297</x:v>
      </x:c>
      <x:c r="K269" t="n">
        <x:f>INT((DATE(2025,12,31)-J269)/365.25)</x:f>
        <x:v>52</x:v>
      </x:c>
      <x:c r="L269" t="str">
        <x:f>IF(K269&lt;25,"18-24",IF(K269&lt;35,"25-34",IF(K269&lt;45,"35-44",IF(K269&lt;55,"45-54","55+"))))</x:f>
        <x:v>45-54</x:v>
      </x:c>
      <x:c r="M269" s="15" t="n">
        <x:v>45179.08069555555</x:v>
      </x:c>
      <x:c r="N269" t="n">
        <x:f>(YEAR(DATE(2025,12,31))-YEAR(M269))*12+MONTH(DATE(2025,12,31))-MONTH(M269)</x:f>
        <x:v>27</x:v>
      </x:c>
      <x:c r="O269" t="str">
        <x:v>ACTIVE</x:v>
      </x:c>
      <x:c r="P269" t="str">
        <x:v>INDEPENDENT_CONTRACTOR</x:v>
      </x:c>
      <x:c r="Q269" t="str">
        <x:v>CAR</x:v>
      </x:c>
      <x:c r="R269" t="str">
        <x:v>WEEKENDS</x:v>
      </x:c>
      <x:c r="S269" t="n">
        <x:v>8</x:v>
      </x:c>
      <x:c r="T269" t="str">
        <x:v>CLEARED</x:v>
      </x:c>
      <x:c r="U269" t="str">
        <x:v>VALID</x:v>
      </x:c>
      <x:c r="V269" s="16" t="n">
        <x:v>0.9576</x:v>
      </x:c>
      <x:c r="W269" t="str">
        <x:v>English</x:v>
      </x:c>
      <x:c r="X269"/>
      <x:c r="Y269" t="n">
        <x:v>585</x:v>
      </x:c>
      <x:c r="Z269" s="17" t="n">
        <x:v>4.62</x:v>
      </x:c>
      <x:c r="AA269" s="16" t="n">
        <x:v>0.6421</x:v>
      </x:c>
      <x:c r="AB269" s="16" t="n">
        <x:v>0.8749</x:v>
      </x:c>
      <x:c r="AC269" s="16" t="n">
        <x:v>0.9674</x:v>
      </x:c>
      <x:c r="AD269" t="n">
        <x:v>0</x:v>
      </x:c>
      <x:c r="AE269" t="str">
        <x:f>IF(O269&lt;&gt;"ACTIVE","NOT_RATED",IF(AND(Z269&gt;=4.8,AB269&gt;=0.97,AC269&gt;=0.93,AD269=0),"ELITE",IF(AND(Z269&gt;=4.6,AB269&gt;=0.94,AC269&gt;=0.88),"HIGH_PERFORMER",IF(OR(Z269&lt;4.2,AB269&lt;0.85,AD269&gt;=2),"AT_RISK","STANDARD"))))</x:f>
        <x:v>STANDARD</x:v>
      </x:c>
      <x:c r="AF269" s="15" t="n">
        <x:v>46012</x:v>
      </x:c>
      <x:c r="AG269" t="str">
        <x:v>VERIFIED</x:v>
      </x:c>
      <x:c r="AH269" t="str">
        <x:v>COMPLETE</x:v>
      </x:c>
      <x:c r="AI269" t="str">
        <x:v>Olivia Thomas</x:v>
      </x:c>
      <x:c r="AJ269" t="str">
        <x:v>SPOUSE_PARTNER</x:v>
      </x:c>
      <x:c r="AK269" t="str">
        <x:v>+1 (602) 555-0192</x:v>
      </x:c>
    </x:row>
    <x:row r="270" ht="18" customHeight="1">
      <x:c r="A270" t="str">
        <x:v>DHR-00269</x:v>
      </x:c>
      <x:c r="B270" t="str">
        <x:v>Jesse Jackson</x:v>
      </x:c>
      <x:c r="C270" t="str">
        <x:v>https://api.dicebear.com/9.x/adventurer/png?seed=DHR-00269-Jesse%20Jackson&amp;size=256&amp;radius=50&amp;backgroundColor=b6e3f4,c0aede,d1d4f9,ffd5dc,ffdfbf</x:v>
      </x:c>
      <x:c r="D270" t="str">
        <x:v>jesse.jackson.269@example.com</x:v>
      </x:c>
      <x:c r="E270" t="str">
        <x:v>+1 (213) 555-0168</x:v>
      </x:c>
      <x:c r="F270" t="str">
        <x:v>Los Angeles, CA</x:v>
      </x:c>
      <x:c r="G270" t="str">
        <x:v>Los Angeles</x:v>
      </x:c>
      <x:c r="H270" t="str">
        <x:v>CA</x:v>
      </x:c>
      <x:c r="I270" s="18" t="str">
        <x:v>90012</x:v>
      </x:c>
      <x:c r="J270" s="15" t="n">
        <x:v>30041.401629710646</x:v>
      </x:c>
      <x:c r="K270" t="n">
        <x:f>INT((DATE(2025,12,31)-J270)/365.25)</x:f>
        <x:v>43</x:v>
      </x:c>
      <x:c r="L270" t="str">
        <x:f>IF(K270&lt;25,"18-24",IF(K270&lt;35,"25-34",IF(K270&lt;45,"35-44",IF(K270&lt;55,"45-54","55+"))))</x:f>
        <x:v>35-44</x:v>
      </x:c>
      <x:c r="M270" s="15" t="n">
        <x:v>44235.34374888889</x:v>
      </x:c>
      <x:c r="N270" t="n">
        <x:f>(YEAR(DATE(2025,12,31))-YEAR(M270))*12+MONTH(DATE(2025,12,31))-MONTH(M270)</x:f>
        <x:v>58</x:v>
      </x:c>
      <x:c r="O270" t="str">
        <x:v>ACTIVE</x:v>
      </x:c>
      <x:c r="P270" t="str">
        <x:v>INDEPENDENT_CONTRACTOR</x:v>
      </x:c>
      <x:c r="Q270" t="str">
        <x:v>CAR</x:v>
      </x:c>
      <x:c r="R270" t="str">
        <x:v>WEEKENDS</x:v>
      </x:c>
      <x:c r="S270" t="n">
        <x:v>11</x:v>
      </x:c>
      <x:c r="T270" t="str">
        <x:v>CLEARED</x:v>
      </x:c>
      <x:c r="U270" t="str">
        <x:v>VALID</x:v>
      </x:c>
      <x:c r="V270" s="16" t="n">
        <x:v>0.9884</x:v>
      </x:c>
      <x:c r="W270" t="str">
        <x:v>English</x:v>
      </x:c>
      <x:c r="X270"/>
      <x:c r="Y270" t="n">
        <x:v>2480</x:v>
      </x:c>
      <x:c r="Z270" s="17" t="n">
        <x:v>4.89</x:v>
      </x:c>
      <x:c r="AA270" s="16" t="n">
        <x:v>0.7148</x:v>
      </x:c>
      <x:c r="AB270" s="16" t="n">
        <x:v>0.9482</x:v>
      </x:c>
      <x:c r="AC270" s="16" t="n">
        <x:v>0.8469</x:v>
      </x:c>
      <x:c r="AD270" t="n">
        <x:v>0</x:v>
      </x:c>
      <x:c r="AE270" t="str">
        <x:f>IF(O270&lt;&gt;"ACTIVE","NOT_RATED",IF(AND(Z270&gt;=4.8,AB270&gt;=0.97,AC270&gt;=0.93,AD270=0),"ELITE",IF(AND(Z270&gt;=4.6,AB270&gt;=0.94,AC270&gt;=0.88),"HIGH_PERFORMER",IF(OR(Z270&lt;4.2,AB270&lt;0.85,AD270&gt;=2),"AT_RISK","STANDARD"))))</x:f>
        <x:v>STANDARD</x:v>
      </x:c>
      <x:c r="AF270" s="15" t="n">
        <x:v>46012</x:v>
      </x:c>
      <x:c r="AG270" t="str">
        <x:v>VERIFIED</x:v>
      </x:c>
      <x:c r="AH270" t="str">
        <x:v>COMPLETE</x:v>
      </x:c>
      <x:c r="AI270" t="str">
        <x:v>Avery White</x:v>
      </x:c>
      <x:c r="AJ270" t="str">
        <x:v>PARENT</x:v>
      </x:c>
      <x:c r="AK270" t="str">
        <x:v>+1 (213) 555-0199</x:v>
      </x:c>
    </x:row>
    <x:row r="271" ht="18" customHeight="1">
      <x:c r="A271" t="str">
        <x:v>DHR-00270</x:v>
      </x:c>
      <x:c r="B271" t="str">
        <x:v>Jesse Johnson</x:v>
      </x:c>
      <x:c r="C271" t="str">
        <x:v>https://api.dicebear.com/9.x/adventurer/png?seed=DHR-00270-Jesse%20Johnson&amp;size=256&amp;radius=50&amp;backgroundColor=b6e3f4,c0aede,d1d4f9,ffd5dc,ffdfbf</x:v>
      </x:c>
      <x:c r="D271" t="str">
        <x:v>jesse.johnson.270@example.com</x:v>
      </x:c>
      <x:c r="E271" t="str">
        <x:v>+1 (408) 555-0169</x:v>
      </x:c>
      <x:c r="F271" t="str">
        <x:v>San Jose, CA</x:v>
      </x:c>
      <x:c r="G271" t="str">
        <x:v>San Jose</x:v>
      </x:c>
      <x:c r="H271" t="str">
        <x:v>CA</x:v>
      </x:c>
      <x:c r="I271" s="18" t="str">
        <x:v>95113</x:v>
      </x:c>
      <x:c r="J271" s="15" t="n">
        <x:v>32979.62413724537</x:v>
      </x:c>
      <x:c r="K271" t="n">
        <x:f>INT((DATE(2025,12,31)-J271)/365.25)</x:f>
        <x:v>35</x:v>
      </x:c>
      <x:c r="L271" t="str">
        <x:f>IF(K271&lt;25,"18-24",IF(K271&lt;35,"25-34",IF(K271&lt;45,"35-44",IF(K271&lt;55,"45-54","55+"))))</x:f>
        <x:v>35-44</x:v>
      </x:c>
      <x:c r="M271" s="15" t="n">
        <x:v>45407.26243902778</x:v>
      </x:c>
      <x:c r="N271" t="n">
        <x:f>(YEAR(DATE(2025,12,31))-YEAR(M271))*12+MONTH(DATE(2025,12,31))-MONTH(M271)</x:f>
        <x:v>20</x:v>
      </x:c>
      <x:c r="O271" t="str">
        <x:v>ACTIVE</x:v>
      </x:c>
      <x:c r="P271" t="str">
        <x:v>INDEPENDENT_CONTRACTOR</x:v>
      </x:c>
      <x:c r="Q271" t="str">
        <x:v>E_BIKE</x:v>
      </x:c>
      <x:c r="R271" t="str">
        <x:v>FLEXIBLE</x:v>
      </x:c>
      <x:c r="S271" t="n">
        <x:v>21</x:v>
      </x:c>
      <x:c r="T271" t="str">
        <x:v>CLEARED</x:v>
      </x:c>
      <x:c r="U271" t="str">
        <x:v>NOT_REQUIRED</x:v>
      </x:c>
      <x:c r="V271" s="16" t="n">
        <x:v>0.824</x:v>
      </x:c>
      <x:c r="W271" t="str">
        <x:v>Spanish</x:v>
      </x:c>
      <x:c r="X271"/>
      <x:c r="Y271" t="n">
        <x:v>1003</x:v>
      </x:c>
      <x:c r="Z271" s="17" t="n">
        <x:v>4.72</x:v>
      </x:c>
      <x:c r="AA271" s="16" t="n">
        <x:v>0.6512</x:v>
      </x:c>
      <x:c r="AB271" s="16" t="n">
        <x:v>0.9566</x:v>
      </x:c>
      <x:c r="AC271" s="16" t="n">
        <x:v>0.8658</x:v>
      </x:c>
      <x:c r="AD271" t="n">
        <x:v>0</x:v>
      </x:c>
      <x:c r="AE271" t="str">
        <x:f>IF(O271&lt;&gt;"ACTIVE","NOT_RATED",IF(AND(Z271&gt;=4.8,AB271&gt;=0.97,AC271&gt;=0.93,AD271=0),"ELITE",IF(AND(Z271&gt;=4.6,AB271&gt;=0.94,AC271&gt;=0.88),"HIGH_PERFORMER",IF(OR(Z271&lt;4.2,AB271&lt;0.85,AD271&gt;=2),"AT_RISK","STANDARD"))))</x:f>
        <x:v>STANDARD</x:v>
      </x:c>
      <x:c r="AF271" s="15" t="n">
        <x:v>46012</x:v>
      </x:c>
      <x:c r="AG271" t="str">
        <x:v>VERIFIED</x:v>
      </x:c>
      <x:c r="AH271" t="str">
        <x:v>COMPLETE</x:v>
      </x:c>
      <x:c r="AI271" t="str">
        <x:v>Sofia Thomas</x:v>
      </x:c>
      <x:c r="AJ271" t="str">
        <x:v>PARENT</x:v>
      </x:c>
      <x:c r="AK271" t="str">
        <x:v>+1 (408) 555-0106</x:v>
      </x:c>
    </x:row>
    <x:row r="272" ht="18" customHeight="1">
      <x:c r="A272" t="str">
        <x:v>DHR-00271</x:v>
      </x:c>
      <x:c r="B272" t="str">
        <x:v>Jesse Jones</x:v>
      </x:c>
      <x:c r="C272" t="str">
        <x:v>https://api.dicebear.com/9.x/adventurer/png?seed=DHR-00271-Jesse%20Jones&amp;size=256&amp;radius=50&amp;backgroundColor=b6e3f4,c0aede,d1d4f9,ffd5dc,ffdfbf</x:v>
      </x:c>
      <x:c r="D272" t="str">
        <x:v>jesse.jones.271@example.com</x:v>
      </x:c>
      <x:c r="E272" t="str">
        <x:v>+1 (512) 555-0170</x:v>
      </x:c>
      <x:c r="F272" t="str">
        <x:v>Austin, TX</x:v>
      </x:c>
      <x:c r="G272" t="str">
        <x:v>Austin</x:v>
      </x:c>
      <x:c r="H272" t="str">
        <x:v>TX</x:v>
      </x:c>
      <x:c r="I272" s="18" t="str">
        <x:v>78701</x:v>
      </x:c>
      <x:c r="J272" s="15" t="n">
        <x:v>30518.679158935185</x:v>
      </x:c>
      <x:c r="K272" t="n">
        <x:f>INT((DATE(2025,12,31)-J272)/365.25)</x:f>
        <x:v>42</x:v>
      </x:c>
      <x:c r="L272" t="str">
        <x:f>IF(K272&lt;25,"18-24",IF(K272&lt;35,"25-34",IF(K272&lt;45,"35-44",IF(K272&lt;55,"45-54","55+"))))</x:f>
        <x:v>35-44</x:v>
      </x:c>
      <x:c r="M272" s="15" t="n">
        <x:v>43994.90537454861</x:v>
      </x:c>
      <x:c r="N272" t="n">
        <x:f>(YEAR(DATE(2025,12,31))-YEAR(M272))*12+MONTH(DATE(2025,12,31))-MONTH(M272)</x:f>
        <x:v>66</x:v>
      </x:c>
      <x:c r="O272" t="str">
        <x:v>ACTIVE</x:v>
      </x:c>
      <x:c r="P272" t="str">
        <x:v>INDEPENDENT_CONTRACTOR</x:v>
      </x:c>
      <x:c r="Q272" t="str">
        <x:v>CAR</x:v>
      </x:c>
      <x:c r="R272" t="str">
        <x:v>FLEXIBLE</x:v>
      </x:c>
      <x:c r="S272" t="n">
        <x:v>48</x:v>
      </x:c>
      <x:c r="T272" t="str">
        <x:v>CLEARED</x:v>
      </x:c>
      <x:c r="U272" t="str">
        <x:v>VALID</x:v>
      </x:c>
      <x:c r="V272" s="16" t="n">
        <x:v>0.8847</x:v>
      </x:c>
      <x:c r="W272" t="str">
        <x:v>English</x:v>
      </x:c>
      <x:c r="X272"/>
      <x:c r="Y272" t="n">
        <x:v>13200</x:v>
      </x:c>
      <x:c r="Z272" s="17" t="n">
        <x:v>4.85</x:v>
      </x:c>
      <x:c r="AA272" s="16" t="n">
        <x:v>0.6892</x:v>
      </x:c>
      <x:c r="AB272" s="16" t="n">
        <x:v>0.9223</x:v>
      </x:c>
      <x:c r="AC272" s="16" t="n">
        <x:v>0.9497</x:v>
      </x:c>
      <x:c r="AD272" t="n">
        <x:v>0</x:v>
      </x:c>
      <x:c r="AE272" t="str">
        <x:f>IF(O272&lt;&gt;"ACTIVE","NOT_RATED",IF(AND(Z272&gt;=4.8,AB272&gt;=0.97,AC272&gt;=0.93,AD272=0),"ELITE",IF(AND(Z272&gt;=4.6,AB272&gt;=0.94,AC272&gt;=0.88),"HIGH_PERFORMER",IF(OR(Z272&lt;4.2,AB272&lt;0.85,AD272&gt;=2),"AT_RISK","STANDARD"))))</x:f>
        <x:v>STANDARD</x:v>
      </x:c>
      <x:c r="AF272" s="15" t="n">
        <x:v>46013</x:v>
      </x:c>
      <x:c r="AG272" t="str">
        <x:v>VERIFIED</x:v>
      </x:c>
      <x:c r="AH272" t="str">
        <x:v>COMPLETE</x:v>
      </x:c>
      <x:c r="AI272" t="str">
        <x:v>Skyler Rodriguez</x:v>
      </x:c>
      <x:c r="AJ272" t="str">
        <x:v>PARENT</x:v>
      </x:c>
      <x:c r="AK272" t="str">
        <x:v>+1 (512) 555-0113</x:v>
      </x:c>
    </x:row>
    <x:row r="273" ht="18" customHeight="1">
      <x:c r="A273" t="str">
        <x:v>DHR-00272</x:v>
      </x:c>
      <x:c r="B273" t="str">
        <x:v>Jesse Lee</x:v>
      </x:c>
      <x:c r="C273" t="str">
        <x:v>https://api.dicebear.com/9.x/adventurer/png?seed=DHR-00272-Jesse%20Lee&amp;size=256&amp;radius=50&amp;backgroundColor=b6e3f4,c0aede,d1d4f9,ffd5dc,ffdfbf</x:v>
      </x:c>
      <x:c r="D273" t="str">
        <x:v>jesse.lee.272@example.com</x:v>
      </x:c>
      <x:c r="E273" t="str">
        <x:v>+1 (713) 555-0171</x:v>
      </x:c>
      <x:c r="F273" t="str">
        <x:v>Houston, TX</x:v>
      </x:c>
      <x:c r="G273" t="str">
        <x:v>Houston</x:v>
      </x:c>
      <x:c r="H273" t="str">
        <x:v>TX</x:v>
      </x:c>
      <x:c r="I273" s="18" t="str">
        <x:v>77002</x:v>
      </x:c>
      <x:c r="J273" s="15" t="n">
        <x:v>32689.284121574074</x:v>
      </x:c>
      <x:c r="K273" t="n">
        <x:f>INT((DATE(2025,12,31)-J273)/365.25)</x:f>
        <x:v>36</x:v>
      </x:c>
      <x:c r="L273" t="str">
        <x:f>IF(K273&lt;25,"18-24",IF(K273&lt;35,"25-34",IF(K273&lt;45,"35-44",IF(K273&lt;55,"45-54","55+"))))</x:f>
        <x:v>35-44</x:v>
      </x:c>
      <x:c r="M273" s="15" t="n">
        <x:v>43653.51341989583</x:v>
      </x:c>
      <x:c r="N273" t="n">
        <x:f>(YEAR(DATE(2025,12,31))-YEAR(M273))*12+MONTH(DATE(2025,12,31))-MONTH(M273)</x:f>
        <x:v>77</x:v>
      </x:c>
      <x:c r="O273" t="str">
        <x:v>PAUSED</x:v>
      </x:c>
      <x:c r="P273" t="str">
        <x:v>INDEPENDENT_CONTRACTOR</x:v>
      </x:c>
      <x:c r="Q273" t="str">
        <x:v>BICYCLE</x:v>
      </x:c>
      <x:c r="R273" t="str">
        <x:v>LUNCH</x:v>
      </x:c>
      <x:c r="S273" t="n">
        <x:v>37</x:v>
      </x:c>
      <x:c r="T273" t="str">
        <x:v>CLEARED</x:v>
      </x:c>
      <x:c r="U273" t="str">
        <x:v>NOT_REQUIRED</x:v>
      </x:c>
      <x:c r="V273" s="16" t="n">
        <x:v>0.9757</x:v>
      </x:c>
      <x:c r="W273" t="str">
        <x:v>English</x:v>
      </x:c>
      <x:c r="X273"/>
      <x:c r="Y273" t="n">
        <x:v>6206</x:v>
      </x:c>
      <x:c r="Z273" s="17" t="n">
        <x:v>5</x:v>
      </x:c>
      <x:c r="AA273" s="16" t="n">
        <x:v>0.6501</x:v>
      </x:c>
      <x:c r="AB273" s="16" t="n">
        <x:v>0.9912</x:v>
      </x:c>
      <x:c r="AC273" s="16" t="n">
        <x:v>0.8383</x:v>
      </x:c>
      <x:c r="AD273" t="n">
        <x:v>0</x:v>
      </x:c>
      <x:c r="AE273" t="str">
        <x:f>IF(O273&lt;&gt;"ACTIVE","NOT_RATED",IF(AND(Z273&gt;=4.8,AB273&gt;=0.97,AC273&gt;=0.93,AD273=0),"ELITE",IF(AND(Z273&gt;=4.6,AB273&gt;=0.94,AC273&gt;=0.88),"HIGH_PERFORMER",IF(OR(Z273&lt;4.2,AB273&lt;0.85,AD273&gt;=2),"AT_RISK","STANDARD"))))</x:f>
        <x:v>NOT_RATED</x:v>
      </x:c>
      <x:c r="AF273" s="15" t="n">
        <x:v>45916</x:v>
      </x:c>
      <x:c r="AG273" t="str">
        <x:v>VERIFIED</x:v>
      </x:c>
      <x:c r="AH273" t="str">
        <x:v>COMPLETE</x:v>
      </x:c>
      <x:c r="AI273" t="str">
        <x:v>Chris Lee</x:v>
      </x:c>
      <x:c r="AJ273" t="str">
        <x:v>SIBLING</x:v>
      </x:c>
      <x:c r="AK273" t="str">
        <x:v>+1 (713) 555-0120</x:v>
      </x:c>
    </x:row>
    <x:row r="274" ht="18" customHeight="1">
      <x:c r="A274" t="str">
        <x:v>DHR-00273</x:v>
      </x:c>
      <x:c r="B274" t="str">
        <x:v>Jesse Lewis</x:v>
      </x:c>
      <x:c r="C274" t="str">
        <x:v>https://api.dicebear.com/9.x/adventurer/png?seed=DHR-00273-Jesse%20Lewis&amp;size=256&amp;radius=50&amp;backgroundColor=b6e3f4,c0aede,d1d4f9,ffd5dc,ffdfbf</x:v>
      </x:c>
      <x:c r="D274" t="str">
        <x:v>jesse.lewis.273@example.com</x:v>
      </x:c>
      <x:c r="E274" t="str">
        <x:v>+1 (602) 555-0172</x:v>
      </x:c>
      <x:c r="F274" t="str">
        <x:v>Phoenix, AZ</x:v>
      </x:c>
      <x:c r="G274" t="str">
        <x:v>Phoenix</x:v>
      </x:c>
      <x:c r="H274" t="str">
        <x:v>AZ</x:v>
      </x:c>
      <x:c r="I274" s="18" t="str">
        <x:v>85004</x:v>
      </x:c>
      <x:c r="J274" s="15" t="n">
        <x:v>32440.976375983795</x:v>
      </x:c>
      <x:c r="K274" t="n">
        <x:f>INT((DATE(2025,12,31)-J274)/365.25)</x:f>
        <x:v>37</x:v>
      </x:c>
      <x:c r="L274" t="str">
        <x:f>IF(K274&lt;25,"18-24",IF(K274&lt;35,"25-34",IF(K274&lt;45,"35-44",IF(K274&lt;55,"45-54","55+"))))</x:f>
        <x:v>35-44</x:v>
      </x:c>
      <x:c r="M274" s="15" t="n">
        <x:v>44357.675648159726</x:v>
      </x:c>
      <x:c r="N274" t="n">
        <x:f>(YEAR(DATE(2025,12,31))-YEAR(M274))*12+MONTH(DATE(2025,12,31))-MONTH(M274)</x:f>
        <x:v>54</x:v>
      </x:c>
      <x:c r="O274" t="str">
        <x:v>ACTIVE</x:v>
      </x:c>
      <x:c r="P274" t="str">
        <x:v>INDEPENDENT_CONTRACTOR</x:v>
      </x:c>
      <x:c r="Q274" t="str">
        <x:v>CAR</x:v>
      </x:c>
      <x:c r="R274" t="str">
        <x:v>FLEXIBLE</x:v>
      </x:c>
      <x:c r="S274" t="n">
        <x:v>19</x:v>
      </x:c>
      <x:c r="T274" t="str">
        <x:v>CLEARED</x:v>
      </x:c>
      <x:c r="U274" t="str">
        <x:v>VALID</x:v>
      </x:c>
      <x:c r="V274" s="16" t="n">
        <x:v>0.9939</x:v>
      </x:c>
      <x:c r="W274" t="str">
        <x:v>Korean</x:v>
      </x:c>
      <x:c r="X274"/>
      <x:c r="Y274" t="n">
        <x:v>2988</x:v>
      </x:c>
      <x:c r="Z274" s="17" t="n">
        <x:v>4.23</x:v>
      </x:c>
      <x:c r="AA274" s="16" t="n">
        <x:v>0.6928</x:v>
      </x:c>
      <x:c r="AB274" s="16" t="n">
        <x:v>0.9782</x:v>
      </x:c>
      <x:c r="AC274" s="16" t="n">
        <x:v>0.8892</x:v>
      </x:c>
      <x:c r="AD274" t="n">
        <x:v>0</x:v>
      </x:c>
      <x:c r="AE274" t="str">
        <x:f>IF(O274&lt;&gt;"ACTIVE","NOT_RATED",IF(AND(Z274&gt;=4.8,AB274&gt;=0.97,AC274&gt;=0.93,AD274=0),"ELITE",IF(AND(Z274&gt;=4.6,AB274&gt;=0.94,AC274&gt;=0.88),"HIGH_PERFORMER",IF(OR(Z274&lt;4.2,AB274&lt;0.85,AD274&gt;=2),"AT_RISK","STANDARD"))))</x:f>
        <x:v>STANDARD</x:v>
      </x:c>
      <x:c r="AF274" s="15" t="n">
        <x:v>46018</x:v>
      </x:c>
      <x:c r="AG274" t="str">
        <x:v>VERIFIED</x:v>
      </x:c>
      <x:c r="AH274" t="str">
        <x:v>COMPLETE</x:v>
      </x:c>
      <x:c r="AI274" t="str">
        <x:v>Jordan Miller</x:v>
      </x:c>
      <x:c r="AJ274" t="str">
        <x:v>PARENT</x:v>
      </x:c>
      <x:c r="AK274" t="str">
        <x:v>+1 (602) 555-0127</x:v>
      </x:c>
    </x:row>
    <x:row r="275" ht="18" customHeight="1">
      <x:c r="A275" t="str">
        <x:v>DHR-00274</x:v>
      </x:c>
      <x:c r="B275" t="str">
        <x:v>Jesse Martinez</x:v>
      </x:c>
      <x:c r="C275" t="str">
        <x:v>https://api.dicebear.com/9.x/adventurer/png?seed=DHR-00274-Jesse%20Martinez&amp;size=256&amp;radius=50&amp;backgroundColor=b6e3f4,c0aede,d1d4f9,ffd5dc,ffdfbf</x:v>
      </x:c>
      <x:c r="D275" t="str">
        <x:v>jesse.martinez.274@example.com</x:v>
      </x:c>
      <x:c r="E275" t="str">
        <x:v>+1 (612) 555-0173</x:v>
      </x:c>
      <x:c r="F275" t="str">
        <x:v>Minneapolis, MN</x:v>
      </x:c>
      <x:c r="G275" t="str">
        <x:v>Minneapolis</x:v>
      </x:c>
      <x:c r="H275" t="str">
        <x:v>MN</x:v>
      </x:c>
      <x:c r="I275" s="18" t="str">
        <x:v>55401</x:v>
      </x:c>
      <x:c r="J275" s="15" t="n">
        <x:v>33412.82927158565</x:v>
      </x:c>
      <x:c r="K275" t="n">
        <x:f>INT((DATE(2025,12,31)-J275)/365.25)</x:f>
        <x:v>34</x:v>
      </x:c>
      <x:c r="L275" t="str">
        <x:f>IF(K275&lt;25,"18-24",IF(K275&lt;35,"25-34",IF(K275&lt;45,"35-44",IF(K275&lt;55,"45-54","55+"))))</x:f>
        <x:v>25-34</x:v>
      </x:c>
      <x:c r="M275" s="15" t="n">
        <x:v>45843.73974993056</x:v>
      </x:c>
      <x:c r="N275" t="n">
        <x:f>(YEAR(DATE(2025,12,31))-YEAR(M275))*12+MONTH(DATE(2025,12,31))-MONTH(M275)</x:f>
        <x:v>5</x:v>
      </x:c>
      <x:c r="O275" t="str">
        <x:v>ACTIVE</x:v>
      </x:c>
      <x:c r="P275" t="str">
        <x:v>INDEPENDENT_CONTRACTOR</x:v>
      </x:c>
      <x:c r="Q275" t="str">
        <x:v>CAR</x:v>
      </x:c>
      <x:c r="R275" t="str">
        <x:v>DINNER</x:v>
      </x:c>
      <x:c r="S275" t="n">
        <x:v>25</x:v>
      </x:c>
      <x:c r="T275" t="str">
        <x:v>CLEARED</x:v>
      </x:c>
      <x:c r="U275" t="str">
        <x:v>VALID</x:v>
      </x:c>
      <x:c r="V275" s="16" t="n">
        <x:v>0.8532</x:v>
      </x:c>
      <x:c r="W275" t="str">
        <x:v>English</x:v>
      </x:c>
      <x:c r="X275"/>
      <x:c r="Y275" t="n">
        <x:v>468</x:v>
      </x:c>
      <x:c r="Z275" s="17" t="n">
        <x:v>4.39</x:v>
      </x:c>
      <x:c r="AA275" s="16" t="n">
        <x:v>0.9429</x:v>
      </x:c>
      <x:c r="AB275" s="16" t="n">
        <x:v>0.9218</x:v>
      </x:c>
      <x:c r="AC275" s="16" t="n">
        <x:v>0.901</x:v>
      </x:c>
      <x:c r="AD275" t="n">
        <x:v>0</x:v>
      </x:c>
      <x:c r="AE275" t="str">
        <x:f>IF(O275&lt;&gt;"ACTIVE","NOT_RATED",IF(AND(Z275&gt;=4.8,AB275&gt;=0.97,AC275&gt;=0.93,AD275=0),"ELITE",IF(AND(Z275&gt;=4.6,AB275&gt;=0.94,AC275&gt;=0.88),"HIGH_PERFORMER",IF(OR(Z275&lt;4.2,AB275&lt;0.85,AD275&gt;=2),"AT_RISK","STANDARD"))))</x:f>
        <x:v>STANDARD</x:v>
      </x:c>
      <x:c r="AF275" s="15" t="n">
        <x:v>46021</x:v>
      </x:c>
      <x:c r="AG275" t="str">
        <x:v>VERIFIED</x:v>
      </x:c>
      <x:c r="AH275" t="str">
        <x:v>COMPLETE</x:v>
      </x:c>
      <x:c r="AI275" t="str">
        <x:v>Liam Lee</x:v>
      </x:c>
      <x:c r="AJ275" t="str">
        <x:v>PARENT</x:v>
      </x:c>
      <x:c r="AK275" t="str">
        <x:v>+1 (612) 555-0134</x:v>
      </x:c>
    </x:row>
    <x:row r="276" ht="18" customHeight="1">
      <x:c r="A276" t="str">
        <x:v>DHR-00275</x:v>
      </x:c>
      <x:c r="B276" t="str">
        <x:v>Jesse Miller</x:v>
      </x:c>
      <x:c r="C276" t="str">
        <x:v>https://api.dicebear.com/9.x/adventurer/png?seed=DHR-00275-Jesse%20Miller&amp;size=256&amp;radius=50&amp;backgroundColor=b6e3f4,c0aede,d1d4f9,ffd5dc,ffdfbf</x:v>
      </x:c>
      <x:c r="D276" t="str">
        <x:v>jesse.miller.275@example.com</x:v>
      </x:c>
      <x:c r="E276" t="str">
        <x:v>+1 (619) 555-0174</x:v>
      </x:c>
      <x:c r="F276" t="str">
        <x:v>San Diego, CA</x:v>
      </x:c>
      <x:c r="G276" t="str">
        <x:v>San Diego</x:v>
      </x:c>
      <x:c r="H276" t="str">
        <x:v>CA</x:v>
      </x:c>
      <x:c r="I276" s="18" t="str">
        <x:v>92101</x:v>
      </x:c>
      <x:c r="J276" s="15" t="n">
        <x:v>34035.369574375</x:v>
      </x:c>
      <x:c r="K276" t="n">
        <x:f>INT((DATE(2025,12,31)-J276)/365.25)</x:f>
        <x:v>32</x:v>
      </x:c>
      <x:c r="L276" t="str">
        <x:f>IF(K276&lt;25,"18-24",IF(K276&lt;35,"25-34",IF(K276&lt;45,"35-44",IF(K276&lt;55,"45-54","55+"))))</x:f>
        <x:v>25-34</x:v>
      </x:c>
      <x:c r="M276" s="15" t="n">
        <x:v>43606.5175362963</x:v>
      </x:c>
      <x:c r="N276" t="n">
        <x:f>(YEAR(DATE(2025,12,31))-YEAR(M276))*12+MONTH(DATE(2025,12,31))-MONTH(M276)</x:f>
        <x:v>79</x:v>
      </x:c>
      <x:c r="O276" t="str">
        <x:v>ACTIVE</x:v>
      </x:c>
      <x:c r="P276" t="str">
        <x:v>INDEPENDENT_CONTRACTOR</x:v>
      </x:c>
      <x:c r="Q276" t="str">
        <x:v>CAR</x:v>
      </x:c>
      <x:c r="R276" t="str">
        <x:v>FLEXIBLE</x:v>
      </x:c>
      <x:c r="S276" t="n">
        <x:v>16</x:v>
      </x:c>
      <x:c r="T276" t="str">
        <x:v>CLEARED</x:v>
      </x:c>
      <x:c r="U276" t="str">
        <x:v>VALID</x:v>
      </x:c>
      <x:c r="V276" s="16" t="n">
        <x:v>0.9065</x:v>
      </x:c>
      <x:c r="W276" t="str">
        <x:v>English</x:v>
      </x:c>
      <x:c r="X276"/>
      <x:c r="Y276" t="n">
        <x:v>4296</x:v>
      </x:c>
      <x:c r="Z276" s="17" t="n">
        <x:v>4.55</x:v>
      </x:c>
      <x:c r="AA276" s="16" t="n">
        <x:v>0.8379</x:v>
      </x:c>
      <x:c r="AB276" s="16" t="n">
        <x:v>0.9428</x:v>
      </x:c>
      <x:c r="AC276" s="16" t="n">
        <x:v>0.9579</x:v>
      </x:c>
      <x:c r="AD276" t="n">
        <x:v>0</x:v>
      </x:c>
      <x:c r="AE276" t="str">
        <x:f>IF(O276&lt;&gt;"ACTIVE","NOT_RATED",IF(AND(Z276&gt;=4.8,AB276&gt;=0.97,AC276&gt;=0.93,AD276=0),"ELITE",IF(AND(Z276&gt;=4.6,AB276&gt;=0.94,AC276&gt;=0.88),"HIGH_PERFORMER",IF(OR(Z276&lt;4.2,AB276&lt;0.85,AD276&gt;=2),"AT_RISK","STANDARD"))))</x:f>
        <x:v>STANDARD</x:v>
      </x:c>
      <x:c r="AF276" s="15" t="n">
        <x:v>46012</x:v>
      </x:c>
      <x:c r="AG276" t="str">
        <x:v>VERIFIED</x:v>
      </x:c>
      <x:c r="AH276" t="str">
        <x:v>COMPLETE</x:v>
      </x:c>
      <x:c r="AI276" t="str">
        <x:v>Olivia Wilson</x:v>
      </x:c>
      <x:c r="AJ276" t="str">
        <x:v>SPOUSE_PARTNER</x:v>
      </x:c>
      <x:c r="AK276" t="str">
        <x:v>+1 (619) 555-0141</x:v>
      </x:c>
    </x:row>
    <x:row r="277" ht="18" customHeight="1">
      <x:c r="A277" t="str">
        <x:v>DHR-00276</x:v>
      </x:c>
      <x:c r="B277" t="str">
        <x:v>Jesse Moore</x:v>
      </x:c>
      <x:c r="C277" t="str">
        <x:v>https://api.dicebear.com/9.x/adventurer/png?seed=DHR-00276-Jesse%20Moore&amp;size=256&amp;radius=50&amp;backgroundColor=b6e3f4,c0aede,d1d4f9,ffd5dc,ffdfbf</x:v>
      </x:c>
      <x:c r="D277" t="str">
        <x:v>jesse.moore.276@example.com</x:v>
      </x:c>
      <x:c r="E277" t="str">
        <x:v>+1 (415) 555-0175</x:v>
      </x:c>
      <x:c r="F277" t="str">
        <x:v>San Francisco, CA</x:v>
      </x:c>
      <x:c r="G277" t="str">
        <x:v>San Francisco</x:v>
      </x:c>
      <x:c r="H277" t="str">
        <x:v>CA</x:v>
      </x:c>
      <x:c r="I277" s="18" t="str">
        <x:v>94103</x:v>
      </x:c>
      <x:c r="J277" s="15" t="n">
        <x:v>29520.585834548612</x:v>
      </x:c>
      <x:c r="K277" t="n">
        <x:f>INT((DATE(2025,12,31)-J277)/365.25)</x:f>
        <x:v>45</x:v>
      </x:c>
      <x:c r="L277" t="str">
        <x:f>IF(K277&lt;25,"18-24",IF(K277&lt;35,"25-34",IF(K277&lt;45,"35-44",IF(K277&lt;55,"45-54","55+"))))</x:f>
        <x:v>45-54</x:v>
      </x:c>
      <x:c r="M277" s="15" t="n">
        <x:v>44622.301616122684</x:v>
      </x:c>
      <x:c r="N277" t="n">
        <x:f>(YEAR(DATE(2025,12,31))-YEAR(M277))*12+MONTH(DATE(2025,12,31))-MONTH(M277)</x:f>
        <x:v>45</x:v>
      </x:c>
      <x:c r="O277" t="str">
        <x:v>ACTIVE</x:v>
      </x:c>
      <x:c r="P277" t="str">
        <x:v>INDEPENDENT_CONTRACTOR</x:v>
      </x:c>
      <x:c r="Q277" t="str">
        <x:v>CAR</x:v>
      </x:c>
      <x:c r="R277" t="str">
        <x:v>FLEXIBLE</x:v>
      </x:c>
      <x:c r="S277" t="n">
        <x:v>12</x:v>
      </x:c>
      <x:c r="T277" t="str">
        <x:v>CLEARED</x:v>
      </x:c>
      <x:c r="U277" t="str">
        <x:v>VALID</x:v>
      </x:c>
      <x:c r="V277" s="16" t="n">
        <x:v>0.9408</x:v>
      </x:c>
      <x:c r="W277" t="str">
        <x:v>English</x:v>
      </x:c>
      <x:c r="X277"/>
      <x:c r="Y277" t="n">
        <x:v>1612</x:v>
      </x:c>
      <x:c r="Z277" s="17" t="n">
        <x:v>4.39</x:v>
      </x:c>
      <x:c r="AA277" s="16" t="n">
        <x:v>0.639</x:v>
      </x:c>
      <x:c r="AB277" s="16" t="n">
        <x:v>0.8959</x:v>
      </x:c>
      <x:c r="AC277" s="16" t="n">
        <x:v>0.883</x:v>
      </x:c>
      <x:c r="AD277" t="n">
        <x:v>0</x:v>
      </x:c>
      <x:c r="AE277" t="str">
        <x:f>IF(O277&lt;&gt;"ACTIVE","NOT_RATED",IF(AND(Z277&gt;=4.8,AB277&gt;=0.97,AC277&gt;=0.93,AD277=0),"ELITE",IF(AND(Z277&gt;=4.6,AB277&gt;=0.94,AC277&gt;=0.88),"HIGH_PERFORMER",IF(OR(Z277&lt;4.2,AB277&lt;0.85,AD277&gt;=2),"AT_RISK","STANDARD"))))</x:f>
        <x:v>STANDARD</x:v>
      </x:c>
      <x:c r="AF277" s="15" t="n">
        <x:v>46008</x:v>
      </x:c>
      <x:c r="AG277" t="str">
        <x:v>VERIFIED</x:v>
      </x:c>
      <x:c r="AH277" t="str">
        <x:v>COMPLETE</x:v>
      </x:c>
      <x:c r="AI277" t="str">
        <x:v>Mateo Rodriguez</x:v>
      </x:c>
      <x:c r="AJ277" t="str">
        <x:v>SIBLING</x:v>
      </x:c>
      <x:c r="AK277" t="str">
        <x:v>+1 (415) 555-0148</x:v>
      </x:c>
    </x:row>
    <x:row r="278" ht="18" customHeight="1">
      <x:c r="A278" t="str">
        <x:v>DHR-00277</x:v>
      </x:c>
      <x:c r="B278" t="str">
        <x:v>Jesse Perez</x:v>
      </x:c>
      <x:c r="C278" t="str">
        <x:v>https://api.dicebear.com/9.x/adventurer/png?seed=DHR-00277-Jesse%20Perez&amp;size=256&amp;radius=50&amp;backgroundColor=b6e3f4,c0aede,d1d4f9,ffd5dc,ffdfbf</x:v>
      </x:c>
      <x:c r="D278" t="str">
        <x:v>jesse.perez.277@example.com</x:v>
      </x:c>
      <x:c r="E278" t="str">
        <x:v>+1 (213) 555-0176</x:v>
      </x:c>
      <x:c r="F278" t="str">
        <x:v>Los Angeles, CA</x:v>
      </x:c>
      <x:c r="G278" t="str">
        <x:v>Los Angeles</x:v>
      </x:c>
      <x:c r="H278" t="str">
        <x:v>CA</x:v>
      </x:c>
      <x:c r="I278" s="18" t="str">
        <x:v>90012</x:v>
      </x:c>
      <x:c r="J278" s="15" t="n">
        <x:v>29410.19892903935</x:v>
      </x:c>
      <x:c r="K278" t="n">
        <x:f>INT((DATE(2025,12,31)-J278)/365.25)</x:f>
        <x:v>45</x:v>
      </x:c>
      <x:c r="L278" t="str">
        <x:f>IF(K278&lt;25,"18-24",IF(K278&lt;35,"25-34",IF(K278&lt;45,"35-44",IF(K278&lt;55,"45-54","55+"))))</x:f>
        <x:v>45-54</x:v>
      </x:c>
      <x:c r="M278" s="15" t="n">
        <x:v>44400.75243148148</x:v>
      </x:c>
      <x:c r="N278" t="n">
        <x:f>(YEAR(DATE(2025,12,31))-YEAR(M278))*12+MONTH(DATE(2025,12,31))-MONTH(M278)</x:f>
        <x:v>53</x:v>
      </x:c>
      <x:c r="O278" t="str">
        <x:v>ACTIVE</x:v>
      </x:c>
      <x:c r="P278" t="str">
        <x:v>INDEPENDENT_CONTRACTOR</x:v>
      </x:c>
      <x:c r="Q278" t="str">
        <x:v>CAR</x:v>
      </x:c>
      <x:c r="R278" t="str">
        <x:v>FLEXIBLE</x:v>
      </x:c>
      <x:c r="S278" t="n">
        <x:v>14</x:v>
      </x:c>
      <x:c r="T278" t="str">
        <x:v>CLEARED</x:v>
      </x:c>
      <x:c r="U278" t="str">
        <x:v>VALID</x:v>
      </x:c>
      <x:c r="V278" s="16" t="n">
        <x:v>0.8378</x:v>
      </x:c>
      <x:c r="W278" t="str">
        <x:v>English</x:v>
      </x:c>
      <x:c r="X278"/>
      <x:c r="Y278" t="n">
        <x:v>2565</x:v>
      </x:c>
      <x:c r="Z278" s="17" t="n">
        <x:v>4.43</x:v>
      </x:c>
      <x:c r="AA278" s="16" t="n">
        <x:v>0.9173</x:v>
      </x:c>
      <x:c r="AB278" s="16" t="n">
        <x:v>0.9409</x:v>
      </x:c>
      <x:c r="AC278" s="16" t="n">
        <x:v>0.8867</x:v>
      </x:c>
      <x:c r="AD278" t="n">
        <x:v>0</x:v>
      </x:c>
      <x:c r="AE278" t="str">
        <x:f>IF(O278&lt;&gt;"ACTIVE","NOT_RATED",IF(AND(Z278&gt;=4.8,AB278&gt;=0.97,AC278&gt;=0.93,AD278=0),"ELITE",IF(AND(Z278&gt;=4.6,AB278&gt;=0.94,AC278&gt;=0.88),"HIGH_PERFORMER",IF(OR(Z278&lt;4.2,AB278&lt;0.85,AD278&gt;=2),"AT_RISK","STANDARD"))))</x:f>
        <x:v>STANDARD</x:v>
      </x:c>
      <x:c r="AF278" s="15" t="n">
        <x:v>46009</x:v>
      </x:c>
      <x:c r="AG278" t="str">
        <x:v>VERIFIED</x:v>
      </x:c>
      <x:c r="AH278" t="str">
        <x:v>COMPLETE</x:v>
      </x:c>
      <x:c r="AI278" t="str">
        <x:v>Hayden Thomas</x:v>
      </x:c>
      <x:c r="AJ278" t="str">
        <x:v>OTHER</x:v>
      </x:c>
      <x:c r="AK278" t="str">
        <x:v>+1 (213) 555-0155</x:v>
      </x:c>
    </x:row>
    <x:row r="279" ht="18" customHeight="1">
      <x:c r="A279" t="str">
        <x:v>DHR-00278</x:v>
      </x:c>
      <x:c r="B279" t="str">
        <x:v>Jesse Rodriguez</x:v>
      </x:c>
      <x:c r="C279" t="str">
        <x:v>https://api.dicebear.com/9.x/adventurer/png?seed=DHR-00278-Jesse%20Rodriguez&amp;size=256&amp;radius=50&amp;backgroundColor=b6e3f4,c0aede,d1d4f9,ffd5dc,ffdfbf</x:v>
      </x:c>
      <x:c r="D279" t="str">
        <x:v>jesse.rodriguez.278@example.com</x:v>
      </x:c>
      <x:c r="E279" t="str">
        <x:v>+1 (312) 555-0177</x:v>
      </x:c>
      <x:c r="F279" t="str">
        <x:v>Chicago, IL</x:v>
      </x:c>
      <x:c r="G279" t="str">
        <x:v>Chicago</x:v>
      </x:c>
      <x:c r="H279" t="str">
        <x:v>IL</x:v>
      </x:c>
      <x:c r="I279" s="18" t="str">
        <x:v>60601</x:v>
      </x:c>
      <x:c r="J279" s="15" t="n">
        <x:v>30727.772776435184</x:v>
      </x:c>
      <x:c r="K279" t="n">
        <x:f>INT((DATE(2025,12,31)-J279)/365.25)</x:f>
        <x:v>41</x:v>
      </x:c>
      <x:c r="L279" t="str">
        <x:f>IF(K279&lt;25,"18-24",IF(K279&lt;35,"25-34",IF(K279&lt;45,"35-44",IF(K279&lt;55,"45-54","55+"))))</x:f>
        <x:v>35-44</x:v>
      </x:c>
      <x:c r="M279" s="15" t="n">
        <x:v>44750.057112662034</x:v>
      </x:c>
      <x:c r="N279" t="n">
        <x:f>(YEAR(DATE(2025,12,31))-YEAR(M279))*12+MONTH(DATE(2025,12,31))-MONTH(M279)</x:f>
        <x:v>41</x:v>
      </x:c>
      <x:c r="O279" t="str">
        <x:v>ACTIVE</x:v>
      </x:c>
      <x:c r="P279" t="str">
        <x:v>INDEPENDENT_CONTRACTOR</x:v>
      </x:c>
      <x:c r="Q279" t="str">
        <x:v>CAR</x:v>
      </x:c>
      <x:c r="R279" t="str">
        <x:v>FLEXIBLE</x:v>
      </x:c>
      <x:c r="S279" t="n">
        <x:v>35</x:v>
      </x:c>
      <x:c r="T279" t="str">
        <x:v>CLEARED</x:v>
      </x:c>
      <x:c r="U279" t="str">
        <x:v>VALID</x:v>
      </x:c>
      <x:c r="V279" s="16" t="n">
        <x:v>0.8397</x:v>
      </x:c>
      <x:c r="W279" t="str">
        <x:v>English</x:v>
      </x:c>
      <x:c r="X279" t="str">
        <x:v>French</x:v>
      </x:c>
      <x:c r="Y279" t="n">
        <x:v>3654</x:v>
      </x:c>
      <x:c r="Z279" s="17" t="n">
        <x:v>4.94</x:v>
      </x:c>
      <x:c r="AA279" s="16" t="n">
        <x:v>0.6179</x:v>
      </x:c>
      <x:c r="AB279" s="16" t="n">
        <x:v>0.9958</x:v>
      </x:c>
      <x:c r="AC279" s="16" t="n">
        <x:v>0.9587</x:v>
      </x:c>
      <x:c r="AD279" t="n">
        <x:v>0</x:v>
      </x:c>
      <x:c r="AE279" t="str">
        <x:f>IF(O279&lt;&gt;"ACTIVE","NOT_RATED",IF(AND(Z279&gt;=4.8,AB279&gt;=0.97,AC279&gt;=0.93,AD279=0),"ELITE",IF(AND(Z279&gt;=4.6,AB279&gt;=0.94,AC279&gt;=0.88),"HIGH_PERFORMER",IF(OR(Z279&lt;4.2,AB279&lt;0.85,AD279&gt;=2),"AT_RISK","STANDARD"))))</x:f>
        <x:v>ELITE</x:v>
      </x:c>
      <x:c r="AF279" s="15" t="n">
        <x:v>46020</x:v>
      </x:c>
      <x:c r="AG279" t="str">
        <x:v>VERIFIED</x:v>
      </x:c>
      <x:c r="AH279" t="str">
        <x:v>COMPLETE</x:v>
      </x:c>
      <x:c r="AI279" t="str">
        <x:v>Chris Walker</x:v>
      </x:c>
      <x:c r="AJ279" t="str">
        <x:v>SIBLING</x:v>
      </x:c>
      <x:c r="AK279" t="str">
        <x:v>+1 (312) 555-0162</x:v>
      </x:c>
    </x:row>
    <x:row r="280" ht="18" customHeight="1">
      <x:c r="A280" t="str">
        <x:v>DHR-00279</x:v>
      </x:c>
      <x:c r="B280" t="str">
        <x:v>Jesse Taylor</x:v>
      </x:c>
      <x:c r="C280" t="str">
        <x:v>https://api.dicebear.com/9.x/adventurer/png?seed=DHR-00279-Jesse%20Taylor&amp;size=256&amp;radius=50&amp;backgroundColor=b6e3f4,c0aede,d1d4f9,ffd5dc,ffdfbf</x:v>
      </x:c>
      <x:c r="D280" t="str">
        <x:v>jesse.taylor.279@example.com</x:v>
      </x:c>
      <x:c r="E280" t="str">
        <x:v>+1 (312) 555-0178</x:v>
      </x:c>
      <x:c r="F280" t="str">
        <x:v>Chicago, IL</x:v>
      </x:c>
      <x:c r="G280" t="str">
        <x:v>Chicago</x:v>
      </x:c>
      <x:c r="H280" t="str">
        <x:v>IL</x:v>
      </x:c>
      <x:c r="I280" s="18" t="str">
        <x:v>60601</x:v>
      </x:c>
      <x:c r="J280" s="15" t="n">
        <x:v>32398.23598898148</x:v>
      </x:c>
      <x:c r="K280" t="n">
        <x:f>INT((DATE(2025,12,31)-J280)/365.25)</x:f>
        <x:v>37</x:v>
      </x:c>
      <x:c r="L280" t="str">
        <x:f>IF(K280&lt;25,"18-24",IF(K280&lt;35,"25-34",IF(K280&lt;45,"35-44",IF(K280&lt;55,"45-54","55+"))))</x:f>
        <x:v>35-44</x:v>
      </x:c>
      <x:c r="M280" s="15" t="n">
        <x:v>45362.520350555555</x:v>
      </x:c>
      <x:c r="N280" t="n">
        <x:f>(YEAR(DATE(2025,12,31))-YEAR(M280))*12+MONTH(DATE(2025,12,31))-MONTH(M280)</x:f>
        <x:v>21</x:v>
      </x:c>
      <x:c r="O280" t="str">
        <x:v>ACTIVE</x:v>
      </x:c>
      <x:c r="P280" t="str">
        <x:v>INDEPENDENT_CONTRACTOR</x:v>
      </x:c>
      <x:c r="Q280" t="str">
        <x:v>CAR</x:v>
      </x:c>
      <x:c r="R280" t="str">
        <x:v>DINNER</x:v>
      </x:c>
      <x:c r="S280" t="n">
        <x:v>29</x:v>
      </x:c>
      <x:c r="T280" t="str">
        <x:v>CLEARED</x:v>
      </x:c>
      <x:c r="U280" t="str">
        <x:v>VALID</x:v>
      </x:c>
      <x:c r="V280" s="16" t="n">
        <x:v>0.9462</x:v>
      </x:c>
      <x:c r="W280" t="str">
        <x:v>English</x:v>
      </x:c>
      <x:c r="X280"/>
      <x:c r="Y280" t="n">
        <x:v>2286</x:v>
      </x:c>
      <x:c r="Z280" s="17" t="n">
        <x:v>4.81</x:v>
      </x:c>
      <x:c r="AA280" s="16" t="n">
        <x:v>0.9318</x:v>
      </x:c>
      <x:c r="AB280" s="16" t="n">
        <x:v>0.9829</x:v>
      </x:c>
      <x:c r="AC280" s="16" t="n">
        <x:v>0.8497</x:v>
      </x:c>
      <x:c r="AD280" t="n">
        <x:v>0</x:v>
      </x:c>
      <x:c r="AE280" t="str">
        <x:f>IF(O280&lt;&gt;"ACTIVE","NOT_RATED",IF(AND(Z280&gt;=4.8,AB280&gt;=0.97,AC280&gt;=0.93,AD280=0),"ELITE",IF(AND(Z280&gt;=4.6,AB280&gt;=0.94,AC280&gt;=0.88),"HIGH_PERFORMER",IF(OR(Z280&lt;4.2,AB280&lt;0.85,AD280&gt;=2),"AT_RISK","STANDARD"))))</x:f>
        <x:v>STANDARD</x:v>
      </x:c>
      <x:c r="AF280" s="15" t="n">
        <x:v>46011</x:v>
      </x:c>
      <x:c r="AG280" t="str">
        <x:v>VERIFIED</x:v>
      </x:c>
      <x:c r="AH280" t="str">
        <x:v>PENDING</x:v>
      </x:c>
      <x:c r="AI280" t="str">
        <x:v>Casey Williams</x:v>
      </x:c>
      <x:c r="AJ280" t="str">
        <x:v>FRIEND</x:v>
      </x:c>
      <x:c r="AK280" t="str">
        <x:v>+1 (312) 555-0169</x:v>
      </x:c>
    </x:row>
    <x:row r="281" ht="18" customHeight="1">
      <x:c r="A281" t="str">
        <x:v>DHR-00280</x:v>
      </x:c>
      <x:c r="B281" t="str">
        <x:v>Jesse Thomas</x:v>
      </x:c>
      <x:c r="C281" t="str">
        <x:v>https://api.dicebear.com/9.x/adventurer/png?seed=DHR-00280-Jesse%20Thomas&amp;size=256&amp;radius=50&amp;backgroundColor=b6e3f4,c0aede,d1d4f9,ffd5dc,ffdfbf</x:v>
      </x:c>
      <x:c r="D281" t="str">
        <x:v>jesse.thomas.280@example.com</x:v>
      </x:c>
      <x:c r="E281" t="str">
        <x:v>+1 (303) 555-0179</x:v>
      </x:c>
      <x:c r="F281" t="str">
        <x:v>Denver, CO</x:v>
      </x:c>
      <x:c r="G281" t="str">
        <x:v>Denver</x:v>
      </x:c>
      <x:c r="H281" t="str">
        <x:v>CO</x:v>
      </x:c>
      <x:c r="I281" s="18" t="str">
        <x:v>80202</x:v>
      </x:c>
      <x:c r="J281" s="15" t="n">
        <x:v>28024.12180601852</x:v>
      </x:c>
      <x:c r="K281" t="n">
        <x:f>INT((DATE(2025,12,31)-J281)/365.25)</x:f>
        <x:v>49</x:v>
      </x:c>
      <x:c r="L281" t="str">
        <x:f>IF(K281&lt;25,"18-24",IF(K281&lt;35,"25-34",IF(K281&lt;45,"35-44",IF(K281&lt;55,"45-54","55+"))))</x:f>
        <x:v>45-54</x:v>
      </x:c>
      <x:c r="M281" s="15" t="n">
        <x:v>45256.35108936342</x:v>
      </x:c>
      <x:c r="N281" t="n">
        <x:f>(YEAR(DATE(2025,12,31))-YEAR(M281))*12+MONTH(DATE(2025,12,31))-MONTH(M281)</x:f>
        <x:v>25</x:v>
      </x:c>
      <x:c r="O281" t="str">
        <x:v>ACTIVE</x:v>
      </x:c>
      <x:c r="P281" t="str">
        <x:v>INDEPENDENT_CONTRACTOR</x:v>
      </x:c>
      <x:c r="Q281" t="str">
        <x:v>CAR</x:v>
      </x:c>
      <x:c r="R281" t="str">
        <x:v>DINNER</x:v>
      </x:c>
      <x:c r="S281" t="n">
        <x:v>44</x:v>
      </x:c>
      <x:c r="T281" t="str">
        <x:v>CLEARED</x:v>
      </x:c>
      <x:c r="U281" t="str">
        <x:v>VALID</x:v>
      </x:c>
      <x:c r="V281" s="16" t="n">
        <x:v>0.9168</x:v>
      </x:c>
      <x:c r="W281" t="str">
        <x:v>English</x:v>
      </x:c>
      <x:c r="X281"/>
      <x:c r="Y281" t="n">
        <x:v>2494</x:v>
      </x:c>
      <x:c r="Z281" s="17" t="n">
        <x:v>4.89</x:v>
      </x:c>
      <x:c r="AA281" s="16" t="n">
        <x:v>0.7872</x:v>
      </x:c>
      <x:c r="AB281" s="16" t="n">
        <x:v>0.9176</x:v>
      </x:c>
      <x:c r="AC281" s="16" t="n">
        <x:v>0.9175</x:v>
      </x:c>
      <x:c r="AD281" t="n">
        <x:v>0</x:v>
      </x:c>
      <x:c r="AE281" t="str">
        <x:f>IF(O281&lt;&gt;"ACTIVE","NOT_RATED",IF(AND(Z281&gt;=4.8,AB281&gt;=0.97,AC281&gt;=0.93,AD281=0),"ELITE",IF(AND(Z281&gt;=4.6,AB281&gt;=0.94,AC281&gt;=0.88),"HIGH_PERFORMER",IF(OR(Z281&lt;4.2,AB281&lt;0.85,AD281&gt;=2),"AT_RISK","STANDARD"))))</x:f>
        <x:v>STANDARD</x:v>
      </x:c>
      <x:c r="AF281" s="15" t="n">
        <x:v>46017</x:v>
      </x:c>
      <x:c r="AG281" t="str">
        <x:v>VERIFIED</x:v>
      </x:c>
      <x:c r="AH281" t="str">
        <x:v>COMPLETE</x:v>
      </x:c>
      <x:c r="AI281" t="str">
        <x:v>Jordan Harris</x:v>
      </x:c>
      <x:c r="AJ281" t="str">
        <x:v>PARENT</x:v>
      </x:c>
      <x:c r="AK281" t="str">
        <x:v>+1 (303) 555-0176</x:v>
      </x:c>
    </x:row>
    <x:row r="282" ht="18" customHeight="1">
      <x:c r="A282" t="str">
        <x:v>DHR-00281</x:v>
      </x:c>
      <x:c r="B282" t="str">
        <x:v>Jesse Thompson</x:v>
      </x:c>
      <x:c r="C282" t="str">
        <x:v>https://api.dicebear.com/9.x/adventurer/png?seed=DHR-00281-Jesse%20Thompson&amp;size=256&amp;radius=50&amp;backgroundColor=b6e3f4,c0aede,d1d4f9,ffd5dc,ffdfbf</x:v>
      </x:c>
      <x:c r="D282" t="str">
        <x:v>jesse.thompson.281@example.com</x:v>
      </x:c>
      <x:c r="E282" t="str">
        <x:v>+1 (303) 555-0180</x:v>
      </x:c>
      <x:c r="F282" t="str">
        <x:v>Denver, CO</x:v>
      </x:c>
      <x:c r="G282" t="str">
        <x:v>Denver</x:v>
      </x:c>
      <x:c r="H282" t="str">
        <x:v>CO</x:v>
      </x:c>
      <x:c r="I282" s="18" t="str">
        <x:v>80202</x:v>
      </x:c>
      <x:c r="J282" s="15" t="n">
        <x:v>37223.53593399306</x:v>
      </x:c>
      <x:c r="K282" t="n">
        <x:f>INT((DATE(2025,12,31)-J282)/365.25)</x:f>
        <x:v>24</x:v>
      </x:c>
      <x:c r="L282" t="str">
        <x:f>IF(K282&lt;25,"18-24",IF(K282&lt;35,"25-34",IF(K282&lt;45,"35-44",IF(K282&lt;55,"45-54","55+"))))</x:f>
        <x:v>18-24</x:v>
      </x:c>
      <x:c r="M282" s="15" t="n">
        <x:v>45445.535976099534</x:v>
      </x:c>
      <x:c r="N282" t="n">
        <x:f>(YEAR(DATE(2025,12,31))-YEAR(M282))*12+MONTH(DATE(2025,12,31))-MONTH(M282)</x:f>
        <x:v>18</x:v>
      </x:c>
      <x:c r="O282" t="str">
        <x:v>ACTIVE</x:v>
      </x:c>
      <x:c r="P282" t="str">
        <x:v>INDEPENDENT_CONTRACTOR</x:v>
      </x:c>
      <x:c r="Q282" t="str">
        <x:v>BICYCLE</x:v>
      </x:c>
      <x:c r="R282" t="str">
        <x:v>DINNER</x:v>
      </x:c>
      <x:c r="S282" t="n">
        <x:v>47</x:v>
      </x:c>
      <x:c r="T282" t="str">
        <x:v>CLEARED</x:v>
      </x:c>
      <x:c r="U282" t="str">
        <x:v>NOT_REQUIRED</x:v>
      </x:c>
      <x:c r="V282" s="16" t="n">
        <x:v>0.9976</x:v>
      </x:c>
      <x:c r="W282" t="str">
        <x:v>Spanish</x:v>
      </x:c>
      <x:c r="X282"/>
      <x:c r="Y282" t="n">
        <x:v>2148</x:v>
      </x:c>
      <x:c r="Z282" s="17" t="n">
        <x:v>4.92</x:v>
      </x:c>
      <x:c r="AA282" s="16" t="n">
        <x:v>0.866</x:v>
      </x:c>
      <x:c r="AB282" s="16" t="n">
        <x:v>0.9267</x:v>
      </x:c>
      <x:c r="AC282" s="16" t="n">
        <x:v>0.8412</x:v>
      </x:c>
      <x:c r="AD282" t="n">
        <x:v>0</x:v>
      </x:c>
      <x:c r="AE282" t="str">
        <x:f>IF(O282&lt;&gt;"ACTIVE","NOT_RATED",IF(AND(Z282&gt;=4.8,AB282&gt;=0.97,AC282&gt;=0.93,AD282=0),"ELITE",IF(AND(Z282&gt;=4.6,AB282&gt;=0.94,AC282&gt;=0.88),"HIGH_PERFORMER",IF(OR(Z282&lt;4.2,AB282&lt;0.85,AD282&gt;=2),"AT_RISK","STANDARD"))))</x:f>
        <x:v>STANDARD</x:v>
      </x:c>
      <x:c r="AF282" s="15" t="n">
        <x:v>46009</x:v>
      </x:c>
      <x:c r="AG282" t="str">
        <x:v>PENDING</x:v>
      </x:c>
      <x:c r="AH282" t="str">
        <x:v>COMPLETE</x:v>
      </x:c>
      <x:c r="AI282" t="str">
        <x:v>Noah Clark</x:v>
      </x:c>
      <x:c r="AJ282" t="str">
        <x:v>FRIEND</x:v>
      </x:c>
      <x:c r="AK282" t="str">
        <x:v>+1 (303) 555-0183</x:v>
      </x:c>
    </x:row>
    <x:row r="283" ht="18" customHeight="1">
      <x:c r="A283" t="str">
        <x:v>DHR-00282</x:v>
      </x:c>
      <x:c r="B283" t="str">
        <x:v>Jesse Walker</x:v>
      </x:c>
      <x:c r="C283" t="str">
        <x:v>https://api.dicebear.com/9.x/adventurer/png?seed=DHR-00282-Jesse%20Walker&amp;size=256&amp;radius=50&amp;backgroundColor=b6e3f4,c0aede,d1d4f9,ffd5dc,ffdfbf</x:v>
      </x:c>
      <x:c r="D283" t="str">
        <x:v>jesse.walker.282@example.com</x:v>
      </x:c>
      <x:c r="E283" t="str">
        <x:v>+1 (602) 555-0181</x:v>
      </x:c>
      <x:c r="F283" t="str">
        <x:v>Phoenix, AZ</x:v>
      </x:c>
      <x:c r="G283" t="str">
        <x:v>Phoenix</x:v>
      </x:c>
      <x:c r="H283" t="str">
        <x:v>AZ</x:v>
      </x:c>
      <x:c r="I283" s="18" t="str">
        <x:v>85004</x:v>
      </x:c>
      <x:c r="J283" s="15" t="n">
        <x:v>24273.954494930556</x:v>
      </x:c>
      <x:c r="K283" t="n">
        <x:f>INT((DATE(2025,12,31)-J283)/365.25)</x:f>
        <x:v>59</x:v>
      </x:c>
      <x:c r="L283" t="str">
        <x:f>IF(K283&lt;25,"18-24",IF(K283&lt;35,"25-34",IF(K283&lt;45,"35-44",IF(K283&lt;55,"45-54","55+"))))</x:f>
        <x:v>55+</x:v>
      </x:c>
      <x:c r="M283" s="15" t="n">
        <x:v>44423.670710590275</x:v>
      </x:c>
      <x:c r="N283" t="n">
        <x:f>(YEAR(DATE(2025,12,31))-YEAR(M283))*12+MONTH(DATE(2025,12,31))-MONTH(M283)</x:f>
        <x:v>52</x:v>
      </x:c>
      <x:c r="O283" t="str">
        <x:v>ACTIVE</x:v>
      </x:c>
      <x:c r="P283" t="str">
        <x:v>INDEPENDENT_CONTRACTOR</x:v>
      </x:c>
      <x:c r="Q283" t="str">
        <x:v>MOTORCYCLE</x:v>
      </x:c>
      <x:c r="R283" t="str">
        <x:v>WEEKENDS</x:v>
      </x:c>
      <x:c r="S283" t="n">
        <x:v>14</x:v>
      </x:c>
      <x:c r="T283" t="str">
        <x:v>CLEARED</x:v>
      </x:c>
      <x:c r="U283" t="str">
        <x:v>VALID</x:v>
      </x:c>
      <x:c r="V283" s="16" t="n">
        <x:v>0.9315</x:v>
      </x:c>
      <x:c r="W283" t="str">
        <x:v>Spanish</x:v>
      </x:c>
      <x:c r="X283"/>
      <x:c r="Y283" t="n">
        <x:v>2561</x:v>
      </x:c>
      <x:c r="Z283" s="17" t="n">
        <x:v>4.33</x:v>
      </x:c>
      <x:c r="AA283" s="16" t="n">
        <x:v>0.8364</x:v>
      </x:c>
      <x:c r="AB283" s="16" t="n">
        <x:v>0.91</x:v>
      </x:c>
      <x:c r="AC283" s="16" t="n">
        <x:v>0.8234</x:v>
      </x:c>
      <x:c r="AD283" t="n">
        <x:v>1</x:v>
      </x:c>
      <x:c r="AE283" t="str">
        <x:f>IF(O283&lt;&gt;"ACTIVE","NOT_RATED",IF(AND(Z283&gt;=4.8,AB283&gt;=0.97,AC283&gt;=0.93,AD283=0),"ELITE",IF(AND(Z283&gt;=4.6,AB283&gt;=0.94,AC283&gt;=0.88),"HIGH_PERFORMER",IF(OR(Z283&lt;4.2,AB283&lt;0.85,AD283&gt;=2),"AT_RISK","STANDARD"))))</x:f>
        <x:v>STANDARD</x:v>
      </x:c>
      <x:c r="AF283" s="15" t="n">
        <x:v>46022</x:v>
      </x:c>
      <x:c r="AG283" t="str">
        <x:v>VERIFIED</x:v>
      </x:c>
      <x:c r="AH283" t="str">
        <x:v>COMPLETE</x:v>
      </x:c>
      <x:c r="AI283" t="str">
        <x:v>Lucas Lewis</x:v>
      </x:c>
      <x:c r="AJ283" t="str">
        <x:v>FRIEND</x:v>
      </x:c>
      <x:c r="AK283" t="str">
        <x:v>+1 (602) 555-0190</x:v>
      </x:c>
    </x:row>
    <x:row r="284" ht="18" customHeight="1">
      <x:c r="A284" t="str">
        <x:v>DHR-00283</x:v>
      </x:c>
      <x:c r="B284" t="str">
        <x:v>Jesse White</x:v>
      </x:c>
      <x:c r="C284" t="str">
        <x:v>https://api.dicebear.com/9.x/adventurer/png?seed=DHR-00283-Jesse%20White&amp;size=256&amp;radius=50&amp;backgroundColor=b6e3f4,c0aede,d1d4f9,ffd5dc,ffdfbf</x:v>
      </x:c>
      <x:c r="D284" t="str">
        <x:v>jesse.white.283@example.com</x:v>
      </x:c>
      <x:c r="E284" t="str">
        <x:v>+1 (305) 555-0182</x:v>
      </x:c>
      <x:c r="F284" t="str">
        <x:v>Miami, FL</x:v>
      </x:c>
      <x:c r="G284" t="str">
        <x:v>Miami</x:v>
      </x:c>
      <x:c r="H284" t="str">
        <x:v>FL</x:v>
      </x:c>
      <x:c r="I284" s="18" t="str">
        <x:v>33130</x:v>
      </x:c>
      <x:c r="J284" s="15" t="n">
        <x:v>36455.68029049769</x:v>
      </x:c>
      <x:c r="K284" t="n">
        <x:f>INT((DATE(2025,12,31)-J284)/365.25)</x:f>
        <x:v>26</x:v>
      </x:c>
      <x:c r="L284" t="str">
        <x:f>IF(K284&lt;25,"18-24",IF(K284&lt;35,"25-34",IF(K284&lt;45,"35-44",IF(K284&lt;55,"45-54","55+"))))</x:f>
        <x:v>25-34</x:v>
      </x:c>
      <x:c r="M284" s="15" t="n">
        <x:v>45313.49130619213</x:v>
      </x:c>
      <x:c r="N284" t="n">
        <x:f>(YEAR(DATE(2025,12,31))-YEAR(M284))*12+MONTH(DATE(2025,12,31))-MONTH(M284)</x:f>
        <x:v>23</x:v>
      </x:c>
      <x:c r="O284" t="str">
        <x:v>ACTIVE</x:v>
      </x:c>
      <x:c r="P284" t="str">
        <x:v>INDEPENDENT_CONTRACTOR</x:v>
      </x:c>
      <x:c r="Q284" t="str">
        <x:v>CAR</x:v>
      </x:c>
      <x:c r="R284" t="str">
        <x:v>DINNER</x:v>
      </x:c>
      <x:c r="S284" t="n">
        <x:v>30</x:v>
      </x:c>
      <x:c r="T284" t="str">
        <x:v>CLEARED</x:v>
      </x:c>
      <x:c r="U284" t="str">
        <x:v>VALID</x:v>
      </x:c>
      <x:c r="V284" s="16" t="n">
        <x:v>0.9904</x:v>
      </x:c>
      <x:c r="W284" t="str">
        <x:v>Mandarin</x:v>
      </x:c>
      <x:c r="X284" t="str">
        <x:v>English</x:v>
      </x:c>
      <x:c r="Y284" t="n">
        <x:v>1739</x:v>
      </x:c>
      <x:c r="Z284" s="17" t="n">
        <x:v>4.89</x:v>
      </x:c>
      <x:c r="AA284" s="16" t="n">
        <x:v>0.8606</x:v>
      </x:c>
      <x:c r="AB284" s="16" t="n">
        <x:v>0.9827</x:v>
      </x:c>
      <x:c r="AC284" s="16" t="n">
        <x:v>0.8946</x:v>
      </x:c>
      <x:c r="AD284" t="n">
        <x:v>0</x:v>
      </x:c>
      <x:c r="AE284" t="str">
        <x:f>IF(O284&lt;&gt;"ACTIVE","NOT_RATED",IF(AND(Z284&gt;=4.8,AB284&gt;=0.97,AC284&gt;=0.93,AD284=0),"ELITE",IF(AND(Z284&gt;=4.6,AB284&gt;=0.94,AC284&gt;=0.88),"HIGH_PERFORMER",IF(OR(Z284&lt;4.2,AB284&lt;0.85,AD284&gt;=2),"AT_RISK","STANDARD"))))</x:f>
        <x:v>HIGH_PERFORMER</x:v>
      </x:c>
      <x:c r="AF284" s="15" t="n">
        <x:v>46017</x:v>
      </x:c>
      <x:c r="AG284" t="str">
        <x:v>VERIFIED</x:v>
      </x:c>
      <x:c r="AH284" t="str">
        <x:v>COMPLETE</x:v>
      </x:c>
      <x:c r="AI284" t="str">
        <x:v>Olivia Walker</x:v>
      </x:c>
      <x:c r="AJ284" t="str">
        <x:v>SPOUSE_PARTNER</x:v>
      </x:c>
      <x:c r="AK284" t="str">
        <x:v>+1 (305) 555-0197</x:v>
      </x:c>
    </x:row>
    <x:row r="285" ht="18" customHeight="1">
      <x:c r="A285" t="str">
        <x:v>DHR-00284</x:v>
      </x:c>
      <x:c r="B285" t="str">
        <x:v>Jesse Williams</x:v>
      </x:c>
      <x:c r="C285" t="str">
        <x:v>https://api.dicebear.com/9.x/adventurer/png?seed=DHR-00284-Jesse%20Williams&amp;size=256&amp;radius=50&amp;backgroundColor=b6e3f4,c0aede,d1d4f9,ffd5dc,ffdfbf</x:v>
      </x:c>
      <x:c r="D285" t="str">
        <x:v>jesse.williams.284@example.com</x:v>
      </x:c>
      <x:c r="E285" t="str">
        <x:v>+1 (305) 555-0183</x:v>
      </x:c>
      <x:c r="F285" t="str">
        <x:v>Miami, FL</x:v>
      </x:c>
      <x:c r="G285" t="str">
        <x:v>Miami</x:v>
      </x:c>
      <x:c r="H285" t="str">
        <x:v>FL</x:v>
      </x:c>
      <x:c r="I285" s="18" t="str">
        <x:v>33130</x:v>
      </x:c>
      <x:c r="J285" s="15" t="n">
        <x:v>38073.57869449074</x:v>
      </x:c>
      <x:c r="K285" t="n">
        <x:f>INT((DATE(2025,12,31)-J285)/365.25)</x:f>
        <x:v>21</x:v>
      </x:c>
      <x:c r="L285" t="str">
        <x:f>IF(K285&lt;25,"18-24",IF(K285&lt;35,"25-34",IF(K285&lt;45,"35-44",IF(K285&lt;55,"45-54","55+"))))</x:f>
        <x:v>18-24</x:v>
      </x:c>
      <x:c r="M285" s="15" t="n">
        <x:v>44655.579109583334</x:v>
      </x:c>
      <x:c r="N285" t="n">
        <x:f>(YEAR(DATE(2025,12,31))-YEAR(M285))*12+MONTH(DATE(2025,12,31))-MONTH(M285)</x:f>
        <x:v>44</x:v>
      </x:c>
      <x:c r="O285" t="str">
        <x:v>ACTIVE</x:v>
      </x:c>
      <x:c r="P285" t="str">
        <x:v>INDEPENDENT_CONTRACTOR</x:v>
      </x:c>
      <x:c r="Q285" t="str">
        <x:v>CAR</x:v>
      </x:c>
      <x:c r="R285" t="str">
        <x:v>DINNER</x:v>
      </x:c>
      <x:c r="S285" t="n">
        <x:v>24</x:v>
      </x:c>
      <x:c r="T285" t="str">
        <x:v>CLEARED</x:v>
      </x:c>
      <x:c r="U285" t="str">
        <x:v>VALID</x:v>
      </x:c>
      <x:c r="V285" s="16" t="n">
        <x:v>0.9483</x:v>
      </x:c>
      <x:c r="W285" t="str">
        <x:v>Spanish</x:v>
      </x:c>
      <x:c r="X285" t="str">
        <x:v>English</x:v>
      </x:c>
      <x:c r="Y285" t="n">
        <x:v>2558</x:v>
      </x:c>
      <x:c r="Z285" s="17" t="n">
        <x:v>4.92</x:v>
      </x:c>
      <x:c r="AA285" s="16" t="n">
        <x:v>0.7976</x:v>
      </x:c>
      <x:c r="AB285" s="16" t="n">
        <x:v>0.9498</x:v>
      </x:c>
      <x:c r="AC285" s="16" t="n">
        <x:v>0.8886</x:v>
      </x:c>
      <x:c r="AD285" t="n">
        <x:v>0</x:v>
      </x:c>
      <x:c r="AE285" t="str">
        <x:f>IF(O285&lt;&gt;"ACTIVE","NOT_RATED",IF(AND(Z285&gt;=4.8,AB285&gt;=0.97,AC285&gt;=0.93,AD285=0),"ELITE",IF(AND(Z285&gt;=4.6,AB285&gt;=0.94,AC285&gt;=0.88),"HIGH_PERFORMER",IF(OR(Z285&lt;4.2,AB285&lt;0.85,AD285&gt;=2),"AT_RISK","STANDARD"))))</x:f>
        <x:v>HIGH_PERFORMER</x:v>
      </x:c>
      <x:c r="AF285" s="15" t="n">
        <x:v>46015</x:v>
      </x:c>
      <x:c r="AG285" t="str">
        <x:v>VERIFIED</x:v>
      </x:c>
      <x:c r="AH285" t="str">
        <x:v>COMPLETE</x:v>
      </x:c>
      <x:c r="AI285" t="str">
        <x:v>Olivia Taylor</x:v>
      </x:c>
      <x:c r="AJ285" t="str">
        <x:v>PARENT</x:v>
      </x:c>
      <x:c r="AK285" t="str">
        <x:v>+1 (305) 555-0104</x:v>
      </x:c>
    </x:row>
    <x:row r="286" ht="18" customHeight="1">
      <x:c r="A286" t="str">
        <x:v>DHR-00285</x:v>
      </x:c>
      <x:c r="B286" t="str">
        <x:v>Jesse Wilson</x:v>
      </x:c>
      <x:c r="C286" t="str">
        <x:v>https://api.dicebear.com/9.x/adventurer/png?seed=DHR-00285-Jesse%20Wilson&amp;size=256&amp;radius=50&amp;backgroundColor=b6e3f4,c0aede,d1d4f9,ffd5dc,ffdfbf</x:v>
      </x:c>
      <x:c r="D286" t="str">
        <x:v>jesse.wilson.285@example.com</x:v>
      </x:c>
      <x:c r="E286" t="str">
        <x:v>+1 (619) 555-0184</x:v>
      </x:c>
      <x:c r="F286" t="str">
        <x:v>San Diego, CA</x:v>
      </x:c>
      <x:c r="G286" t="str">
        <x:v>San Diego</x:v>
      </x:c>
      <x:c r="H286" t="str">
        <x:v>CA</x:v>
      </x:c>
      <x:c r="I286" s="18" t="str">
        <x:v>92101</x:v>
      </x:c>
      <x:c r="J286" s="15" t="n">
        <x:v>28434.667530578703</x:v>
      </x:c>
      <x:c r="K286" t="n">
        <x:f>INT((DATE(2025,12,31)-J286)/365.25)</x:f>
        <x:v>48</x:v>
      </x:c>
      <x:c r="L286" t="str">
        <x:f>IF(K286&lt;25,"18-24",IF(K286&lt;35,"25-34",IF(K286&lt;45,"35-44",IF(K286&lt;55,"45-54","55+"))))</x:f>
        <x:v>45-54</x:v>
      </x:c>
      <x:c r="M286" s="15" t="n">
        <x:v>43520.271237071756</x:v>
      </x:c>
      <x:c r="N286" t="n">
        <x:f>(YEAR(DATE(2025,12,31))-YEAR(M286))*12+MONTH(DATE(2025,12,31))-MONTH(M286)</x:f>
        <x:v>82</x:v>
      </x:c>
      <x:c r="O286" t="str">
        <x:v>ACTIVE</x:v>
      </x:c>
      <x:c r="P286" t="str">
        <x:v>INDEPENDENT_CONTRACTOR</x:v>
      </x:c>
      <x:c r="Q286" t="str">
        <x:v>CAR</x:v>
      </x:c>
      <x:c r="R286" t="str">
        <x:v>DINNER</x:v>
      </x:c>
      <x:c r="S286" t="n">
        <x:v>14</x:v>
      </x:c>
      <x:c r="T286" t="str">
        <x:v>CLEARED</x:v>
      </x:c>
      <x:c r="U286" t="str">
        <x:v>VALID</x:v>
      </x:c>
      <x:c r="V286" s="16" t="n">
        <x:v>0.9105</x:v>
      </x:c>
      <x:c r="W286" t="str">
        <x:v>English</x:v>
      </x:c>
      <x:c r="X286"/>
      <x:c r="Y286" t="n">
        <x:v>3637</x:v>
      </x:c>
      <x:c r="Z286" s="17" t="n">
        <x:v>4.31</x:v>
      </x:c>
      <x:c r="AA286" s="16" t="n">
        <x:v>0.99</x:v>
      </x:c>
      <x:c r="AB286" s="16" t="n">
        <x:v>0.9921</x:v>
      </x:c>
      <x:c r="AC286" s="16" t="n">
        <x:v>0.8388</x:v>
      </x:c>
      <x:c r="AD286" t="n">
        <x:v>0</x:v>
      </x:c>
      <x:c r="AE286" t="str">
        <x:f>IF(O286&lt;&gt;"ACTIVE","NOT_RATED",IF(AND(Z286&gt;=4.8,AB286&gt;=0.97,AC286&gt;=0.93,AD286=0),"ELITE",IF(AND(Z286&gt;=4.6,AB286&gt;=0.94,AC286&gt;=0.88),"HIGH_PERFORMER",IF(OR(Z286&lt;4.2,AB286&lt;0.85,AD286&gt;=2),"AT_RISK","STANDARD"))))</x:f>
        <x:v>STANDARD</x:v>
      </x:c>
      <x:c r="AF286" s="15" t="n">
        <x:v>46010</x:v>
      </x:c>
      <x:c r="AG286" t="str">
        <x:v>VERIFIED</x:v>
      </x:c>
      <x:c r="AH286" t="str">
        <x:v>COMPLETE</x:v>
      </x:c>
      <x:c r="AI286" t="str">
        <x:v>Sofia Thompson</x:v>
      </x:c>
      <x:c r="AJ286" t="str">
        <x:v>SIBLING</x:v>
      </x:c>
      <x:c r="AK286" t="str">
        <x:v>+1 (619) 555-0111</x:v>
      </x:c>
    </x:row>
    <x:row r="287" ht="18" customHeight="1">
      <x:c r="A287" t="str">
        <x:v>DHR-00286</x:v>
      </x:c>
      <x:c r="B287" t="str">
        <x:v>Jesse Young</x:v>
      </x:c>
      <x:c r="C287" t="str">
        <x:v>https://api.dicebear.com/9.x/adventurer/png?seed=DHR-00286-Jesse%20Young&amp;size=256&amp;radius=50&amp;backgroundColor=b6e3f4,c0aede,d1d4f9,ffd5dc,ffdfbf</x:v>
      </x:c>
      <x:c r="D287" t="str">
        <x:v>jesse.young.286@example.com</x:v>
      </x:c>
      <x:c r="E287" t="str">
        <x:v>+1 (206) 555-0185</x:v>
      </x:c>
      <x:c r="F287" t="str">
        <x:v>Seattle, WA</x:v>
      </x:c>
      <x:c r="G287" t="str">
        <x:v>Seattle</x:v>
      </x:c>
      <x:c r="H287" t="str">
        <x:v>WA</x:v>
      </x:c>
      <x:c r="I287" s="18" t="str">
        <x:v>98101</x:v>
      </x:c>
      <x:c r="J287" s="15" t="n">
        <x:v>32943.8207903588</x:v>
      </x:c>
      <x:c r="K287" t="n">
        <x:f>INT((DATE(2025,12,31)-J287)/365.25)</x:f>
        <x:v>35</x:v>
      </x:c>
      <x:c r="L287" t="str">
        <x:f>IF(K287&lt;25,"18-24",IF(K287&lt;35,"25-34",IF(K287&lt;45,"35-44",IF(K287&lt;55,"45-54","55+"))))</x:f>
        <x:v>35-44</x:v>
      </x:c>
      <x:c r="M287" s="15" t="n">
        <x:v>43610.50502138889</x:v>
      </x:c>
      <x:c r="N287" t="n">
        <x:f>(YEAR(DATE(2025,12,31))-YEAR(M287))*12+MONTH(DATE(2025,12,31))-MONTH(M287)</x:f>
        <x:v>79</x:v>
      </x:c>
      <x:c r="O287" t="str">
        <x:v>ACTIVE</x:v>
      </x:c>
      <x:c r="P287" t="str">
        <x:v>INDEPENDENT_CONTRACTOR</x:v>
      </x:c>
      <x:c r="Q287" t="str">
        <x:v>BICYCLE</x:v>
      </x:c>
      <x:c r="R287" t="str">
        <x:v>DINNER</x:v>
      </x:c>
      <x:c r="S287" t="n">
        <x:v>35</x:v>
      </x:c>
      <x:c r="T287" t="str">
        <x:v>CLEARED</x:v>
      </x:c>
      <x:c r="U287" t="str">
        <x:v>NOT_REQUIRED</x:v>
      </x:c>
      <x:c r="V287" s="16" t="n">
        <x:v>0.8513</x:v>
      </x:c>
      <x:c r="W287" t="str">
        <x:v>Mandarin</x:v>
      </x:c>
      <x:c r="X287"/>
      <x:c r="Y287" t="n">
        <x:v>6367</x:v>
      </x:c>
      <x:c r="Z287" s="17" t="n">
        <x:v>4.35</x:v>
      </x:c>
      <x:c r="AA287" s="16" t="n">
        <x:v>0.6673</x:v>
      </x:c>
      <x:c r="AB287" s="16" t="n">
        <x:v>0.9478</x:v>
      </x:c>
      <x:c r="AC287" s="16" t="n">
        <x:v>0.8377</x:v>
      </x:c>
      <x:c r="AD287" t="n">
        <x:v>0</x:v>
      </x:c>
      <x:c r="AE287" t="str">
        <x:f>IF(O287&lt;&gt;"ACTIVE","NOT_RATED",IF(AND(Z287&gt;=4.8,AB287&gt;=0.97,AC287&gt;=0.93,AD287=0),"ELITE",IF(AND(Z287&gt;=4.6,AB287&gt;=0.94,AC287&gt;=0.88),"HIGH_PERFORMER",IF(OR(Z287&lt;4.2,AB287&lt;0.85,AD287&gt;=2),"AT_RISK","STANDARD"))))</x:f>
        <x:v>STANDARD</x:v>
      </x:c>
      <x:c r="AF287" s="15" t="n">
        <x:v>46017</x:v>
      </x:c>
      <x:c r="AG287" t="str">
        <x:v>VERIFIED</x:v>
      </x:c>
      <x:c r="AH287" t="str">
        <x:v>COMPLETE</x:v>
      </x:c>
      <x:c r="AI287" t="str">
        <x:v>Liam Wilson</x:v>
      </x:c>
      <x:c r="AJ287" t="str">
        <x:v>SPOUSE_PARTNER</x:v>
      </x:c>
      <x:c r="AK287" t="str">
        <x:v>+1 (206) 555-0118</x:v>
      </x:c>
    </x:row>
    <x:row r="288" ht="18" customHeight="1">
      <x:c r="A288" t="str">
        <x:v>DHR-00287</x:v>
      </x:c>
      <x:c r="B288" t="str">
        <x:v>Jordan Anderson</x:v>
      </x:c>
      <x:c r="C288" t="str">
        <x:v>https://api.dicebear.com/9.x/adventurer/png?seed=DHR-00287-Jordan%20Anderson&amp;size=256&amp;radius=50&amp;backgroundColor=b6e3f4,c0aede,d1d4f9,ffd5dc,ffdfbf</x:v>
      </x:c>
      <x:c r="D288" t="str">
        <x:v>jordan.anderson.287@example.com</x:v>
      </x:c>
      <x:c r="E288" t="str">
        <x:v>+1 (215) 555-0186</x:v>
      </x:c>
      <x:c r="F288" t="str">
        <x:v>Philadelphia, PA</x:v>
      </x:c>
      <x:c r="G288" t="str">
        <x:v>Philadelphia</x:v>
      </x:c>
      <x:c r="H288" t="str">
        <x:v>PA</x:v>
      </x:c>
      <x:c r="I288" s="18" t="str">
        <x:v>19103</x:v>
      </x:c>
      <x:c r="J288" s="15" t="n">
        <x:v>33759.232260324075</x:v>
      </x:c>
      <x:c r="K288" t="n">
        <x:f>INT((DATE(2025,12,31)-J288)/365.25)</x:f>
        <x:v>33</x:v>
      </x:c>
      <x:c r="L288" t="str">
        <x:f>IF(K288&lt;25,"18-24",IF(K288&lt;35,"25-34",IF(K288&lt;45,"35-44",IF(K288&lt;55,"45-54","55+"))))</x:f>
        <x:v>25-34</x:v>
      </x:c>
      <x:c r="M288" s="15" t="n">
        <x:v>44862.176173368054</x:v>
      </x:c>
      <x:c r="N288" t="n">
        <x:f>(YEAR(DATE(2025,12,31))-YEAR(M288))*12+MONTH(DATE(2025,12,31))-MONTH(M288)</x:f>
        <x:v>38</x:v>
      </x:c>
      <x:c r="O288" t="str">
        <x:v>ACTIVE</x:v>
      </x:c>
      <x:c r="P288" t="str">
        <x:v>INDEPENDENT_CONTRACTOR</x:v>
      </x:c>
      <x:c r="Q288" t="str">
        <x:v>BICYCLE</x:v>
      </x:c>
      <x:c r="R288" t="str">
        <x:v>DINNER</x:v>
      </x:c>
      <x:c r="S288" t="n">
        <x:v>48</x:v>
      </x:c>
      <x:c r="T288" t="str">
        <x:v>REVIEW_REQUIRED</x:v>
      </x:c>
      <x:c r="U288" t="str">
        <x:v>NOT_REQUIRED</x:v>
      </x:c>
      <x:c r="V288" s="16" t="n">
        <x:v>0.8917</x:v>
      </x:c>
      <x:c r="W288" t="str">
        <x:v>Spanish</x:v>
      </x:c>
      <x:c r="X288"/>
      <x:c r="Y288" t="n">
        <x:v>4942</x:v>
      </x:c>
      <x:c r="Z288" s="17" t="n">
        <x:v>4.64</x:v>
      </x:c>
      <x:c r="AA288" s="16" t="n">
        <x:v>0.933</x:v>
      </x:c>
      <x:c r="AB288" s="16" t="n">
        <x:v>0.8857</x:v>
      </x:c>
      <x:c r="AC288" s="16" t="n">
        <x:v>0.9783</x:v>
      </x:c>
      <x:c r="AD288" t="n">
        <x:v>0</x:v>
      </x:c>
      <x:c r="AE288" t="str">
        <x:f>IF(O288&lt;&gt;"ACTIVE","NOT_RATED",IF(AND(Z288&gt;=4.8,AB288&gt;=0.97,AC288&gt;=0.93,AD288=0),"ELITE",IF(AND(Z288&gt;=4.6,AB288&gt;=0.94,AC288&gt;=0.88),"HIGH_PERFORMER",IF(OR(Z288&lt;4.2,AB288&lt;0.85,AD288&gt;=2),"AT_RISK","STANDARD"))))</x:f>
        <x:v>STANDARD</x:v>
      </x:c>
      <x:c r="AF288" s="15" t="n">
        <x:v>46016</x:v>
      </x:c>
      <x:c r="AG288" t="str">
        <x:v>VERIFIED</x:v>
      </x:c>
      <x:c r="AH288" t="str">
        <x:v>COMPLETE</x:v>
      </x:c>
      <x:c r="AI288" t="str">
        <x:v>Lucas Johnson</x:v>
      </x:c>
      <x:c r="AJ288" t="str">
        <x:v>SPOUSE_PARTNER</x:v>
      </x:c>
      <x:c r="AK288" t="str">
        <x:v>+1 (215) 555-0125</x:v>
      </x:c>
    </x:row>
    <x:row r="289" ht="18" customHeight="1">
      <x:c r="A289" t="str">
        <x:v>DHR-00288</x:v>
      </x:c>
      <x:c r="B289" t="str">
        <x:v>Jordan Brown</x:v>
      </x:c>
      <x:c r="C289" t="str">
        <x:v>https://api.dicebear.com/9.x/adventurer/png?seed=DHR-00288-Jordan%20Brown&amp;size=256&amp;radius=50&amp;backgroundColor=b6e3f4,c0aede,d1d4f9,ffd5dc,ffdfbf</x:v>
      </x:c>
      <x:c r="D289" t="str">
        <x:v>jordan.brown.288@example.com</x:v>
      </x:c>
      <x:c r="E289" t="str">
        <x:v>+1 (614) 555-0187</x:v>
      </x:c>
      <x:c r="F289" t="str">
        <x:v>Columbus, OH</x:v>
      </x:c>
      <x:c r="G289" t="str">
        <x:v>Columbus</x:v>
      </x:c>
      <x:c r="H289" t="str">
        <x:v>OH</x:v>
      </x:c>
      <x:c r="I289" s="18" t="str">
        <x:v>43215</x:v>
      </x:c>
      <x:c r="J289" s="15" t="n">
        <x:v>32516.131461990743</x:v>
      </x:c>
      <x:c r="K289" t="n">
        <x:f>INT((DATE(2025,12,31)-J289)/365.25)</x:f>
        <x:v>36</x:v>
      </x:c>
      <x:c r="L289" t="str">
        <x:f>IF(K289&lt;25,"18-24",IF(K289&lt;35,"25-34",IF(K289&lt;45,"35-44",IF(K289&lt;55,"45-54","55+"))))</x:f>
        <x:v>35-44</x:v>
      </x:c>
      <x:c r="M289" s="15" t="n">
        <x:v>45896.304659560185</x:v>
      </x:c>
      <x:c r="N289" t="n">
        <x:f>(YEAR(DATE(2025,12,31))-YEAR(M289))*12+MONTH(DATE(2025,12,31))-MONTH(M289)</x:f>
        <x:v>4</x:v>
      </x:c>
      <x:c r="O289" t="str">
        <x:v>OFFBOARDED</x:v>
      </x:c>
      <x:c r="P289" t="str">
        <x:v>INDEPENDENT_CONTRACTOR</x:v>
      </x:c>
      <x:c r="Q289" t="str">
        <x:v>CAR</x:v>
      </x:c>
      <x:c r="R289" t="str">
        <x:v>WEEKENDS</x:v>
      </x:c>
      <x:c r="S289" t="n">
        <x:v>40</x:v>
      </x:c>
      <x:c r="T289" t="str">
        <x:v>CLEARED</x:v>
      </x:c>
      <x:c r="U289" t="str">
        <x:v>VALID</x:v>
      </x:c>
      <x:c r="V289" s="16" t="n">
        <x:v>0.9145</x:v>
      </x:c>
      <x:c r="W289" t="str">
        <x:v>English</x:v>
      </x:c>
      <x:c r="X289"/>
      <x:c r="Y289" t="n">
        <x:v>291</x:v>
      </x:c>
      <x:c r="Z289" s="17" t="n">
        <x:v>4.52</x:v>
      </x:c>
      <x:c r="AA289" s="16" t="n">
        <x:v>0.5994</x:v>
      </x:c>
      <x:c r="AB289" s="16" t="n">
        <x:v>0.9355</x:v>
      </x:c>
      <x:c r="AC289" s="16" t="n">
        <x:v>0.9323</x:v>
      </x:c>
      <x:c r="AD289" t="n">
        <x:v>0</x:v>
      </x:c>
      <x:c r="AE289" t="str">
        <x:f>IF(O289&lt;&gt;"ACTIVE","NOT_RATED",IF(AND(Z289&gt;=4.8,AB289&gt;=0.97,AC289&gt;=0.93,AD289=0),"ELITE",IF(AND(Z289&gt;=4.6,AB289&gt;=0.94,AC289&gt;=0.88),"HIGH_PERFORMER",IF(OR(Z289&lt;4.2,AB289&lt;0.85,AD289&gt;=2),"AT_RISK","STANDARD"))))</x:f>
        <x:v>NOT_RATED</x:v>
      </x:c>
      <x:c r="AF289" s="15" t="n">
        <x:v>45897</x:v>
      </x:c>
      <x:c r="AG289" t="str">
        <x:v>VERIFIED</x:v>
      </x:c>
      <x:c r="AH289" t="str">
        <x:v>COMPLETE</x:v>
      </x:c>
      <x:c r="AI289" t="str">
        <x:v>Ava Davis</x:v>
      </x:c>
      <x:c r="AJ289" t="str">
        <x:v>SPOUSE_PARTNER</x:v>
      </x:c>
      <x:c r="AK289" t="str">
        <x:v>+1 (614) 555-0132</x:v>
      </x:c>
    </x:row>
    <x:row r="290" ht="18" customHeight="1">
      <x:c r="A290" t="str">
        <x:v>DHR-00289</x:v>
      </x:c>
      <x:c r="B290" t="str">
        <x:v>Jordan Clark</x:v>
      </x:c>
      <x:c r="C290" t="str">
        <x:v>https://api.dicebear.com/9.x/adventurer/png?seed=DHR-00289-Jordan%20Clark&amp;size=256&amp;radius=50&amp;backgroundColor=b6e3f4,c0aede,d1d4f9,ffd5dc,ffdfbf</x:v>
      </x:c>
      <x:c r="D290" t="str">
        <x:v>jordan.clark.289@example.com</x:v>
      </x:c>
      <x:c r="E290" t="str">
        <x:v>+1 (303) 555-0188</x:v>
      </x:c>
      <x:c r="F290" t="str">
        <x:v>Denver, CO</x:v>
      </x:c>
      <x:c r="G290" t="str">
        <x:v>Denver</x:v>
      </x:c>
      <x:c r="H290" t="str">
        <x:v>CO</x:v>
      </x:c>
      <x:c r="I290" s="18" t="str">
        <x:v>80202</x:v>
      </x:c>
      <x:c r="J290" s="15" t="n">
        <x:v>26690.46327648148</x:v>
      </x:c>
      <x:c r="K290" t="n">
        <x:f>INT((DATE(2025,12,31)-J290)/365.25)</x:f>
        <x:v>52</x:v>
      </x:c>
      <x:c r="L290" t="str">
        <x:f>IF(K290&lt;25,"18-24",IF(K290&lt;35,"25-34",IF(K290&lt;45,"35-44",IF(K290&lt;55,"45-54","55+"))))</x:f>
        <x:v>45-54</x:v>
      </x:c>
      <x:c r="M290" s="15" t="n">
        <x:v>45960.64348280092</x:v>
      </x:c>
      <x:c r="N290" t="n">
        <x:f>(YEAR(DATE(2025,12,31))-YEAR(M290))*12+MONTH(DATE(2025,12,31))-MONTH(M290)</x:f>
        <x:v>2</x:v>
      </x:c>
      <x:c r="O290" t="str">
        <x:v>ACTIVE</x:v>
      </x:c>
      <x:c r="P290" t="str">
        <x:v>INDEPENDENT_CONTRACTOR</x:v>
      </x:c>
      <x:c r="Q290" t="str">
        <x:v>BICYCLE</x:v>
      </x:c>
      <x:c r="R290" t="str">
        <x:v>DINNER</x:v>
      </x:c>
      <x:c r="S290" t="n">
        <x:v>45</x:v>
      </x:c>
      <x:c r="T290" t="str">
        <x:v>CLEARED</x:v>
      </x:c>
      <x:c r="U290" t="str">
        <x:v>NOT_REQUIRED</x:v>
      </x:c>
      <x:c r="V290" s="16" t="n">
        <x:v>0.7827</x:v>
      </x:c>
      <x:c r="W290" t="str">
        <x:v>English</x:v>
      </x:c>
      <x:c r="X290" t="str">
        <x:v>Arabic</x:v>
      </x:c>
      <x:c r="Y290" t="n">
        <x:v>294</x:v>
      </x:c>
      <x:c r="Z290" s="17" t="n">
        <x:v>4.18</x:v>
      </x:c>
      <x:c r="AA290" s="16" t="n">
        <x:v>0.7962</x:v>
      </x:c>
      <x:c r="AB290" s="16" t="n">
        <x:v>0.8874</x:v>
      </x:c>
      <x:c r="AC290" s="16" t="n">
        <x:v>0.9037</x:v>
      </x:c>
      <x:c r="AD290" t="n">
        <x:v>0</x:v>
      </x:c>
      <x:c r="AE290" t="str">
        <x:f>IF(O290&lt;&gt;"ACTIVE","NOT_RATED",IF(AND(Z290&gt;=4.8,AB290&gt;=0.97,AC290&gt;=0.93,AD290=0),"ELITE",IF(AND(Z290&gt;=4.6,AB290&gt;=0.94,AC290&gt;=0.88),"HIGH_PERFORMER",IF(OR(Z290&lt;4.2,AB290&lt;0.85,AD290&gt;=2),"AT_RISK","STANDARD"))))</x:f>
        <x:v>AT_RISK</x:v>
      </x:c>
      <x:c r="AF290" s="15" t="n">
        <x:v>46009</x:v>
      </x:c>
      <x:c r="AG290" t="str">
        <x:v>VERIFIED</x:v>
      </x:c>
      <x:c r="AH290" t="str">
        <x:v>PENDING</x:v>
      </x:c>
      <x:c r="AI290" t="str">
        <x:v>Mia Rodriguez</x:v>
      </x:c>
      <x:c r="AJ290" t="str">
        <x:v>PARENT</x:v>
      </x:c>
      <x:c r="AK290" t="str">
        <x:v>+1 (303) 555-0139</x:v>
      </x:c>
    </x:row>
    <x:row r="291" ht="18" customHeight="1">
      <x:c r="A291" t="str">
        <x:v>DHR-00290</x:v>
      </x:c>
      <x:c r="B291" t="str">
        <x:v>Jordan Davis</x:v>
      </x:c>
      <x:c r="C291" t="str">
        <x:v>https://api.dicebear.com/9.x/adventurer/png?seed=DHR-00290-Jordan%20Davis&amp;size=256&amp;radius=50&amp;backgroundColor=b6e3f4,c0aede,d1d4f9,ffd5dc,ffdfbf</x:v>
      </x:c>
      <x:c r="D291" t="str">
        <x:v>jordan.davis.290@example.com</x:v>
      </x:c>
      <x:c r="E291" t="str">
        <x:v>+1 (415) 555-0189</x:v>
      </x:c>
      <x:c r="F291" t="str">
        <x:v>San Francisco, CA</x:v>
      </x:c>
      <x:c r="G291" t="str">
        <x:v>San Francisco</x:v>
      </x:c>
      <x:c r="H291" t="str">
        <x:v>CA</x:v>
      </x:c>
      <x:c r="I291" s="18" t="str">
        <x:v>94103</x:v>
      </x:c>
      <x:c r="J291" s="15" t="n">
        <x:v>33839.321649375</x:v>
      </x:c>
      <x:c r="K291" t="n">
        <x:f>INT((DATE(2025,12,31)-J291)/365.25)</x:f>
        <x:v>33</x:v>
      </x:c>
      <x:c r="L291" t="str">
        <x:f>IF(K291&lt;25,"18-24",IF(K291&lt;35,"25-34",IF(K291&lt;45,"35-44",IF(K291&lt;55,"45-54","55+"))))</x:f>
        <x:v>25-34</x:v>
      </x:c>
      <x:c r="M291" s="15" t="n">
        <x:v>43528.20572167824</x:v>
      </x:c>
      <x:c r="N291" t="n">
        <x:f>(YEAR(DATE(2025,12,31))-YEAR(M291))*12+MONTH(DATE(2025,12,31))-MONTH(M291)</x:f>
        <x:v>81</x:v>
      </x:c>
      <x:c r="O291" t="str">
        <x:v>PAUSED</x:v>
      </x:c>
      <x:c r="P291" t="str">
        <x:v>INDEPENDENT_CONTRACTOR</x:v>
      </x:c>
      <x:c r="Q291" t="str">
        <x:v>CAR</x:v>
      </x:c>
      <x:c r="R291" t="str">
        <x:v>WEEKENDS</x:v>
      </x:c>
      <x:c r="S291" t="n">
        <x:v>23</x:v>
      </x:c>
      <x:c r="T291" t="str">
        <x:v>CLEARED</x:v>
      </x:c>
      <x:c r="U291" t="str">
        <x:v>VALID</x:v>
      </x:c>
      <x:c r="V291" s="16" t="n">
        <x:v>0.9744</x:v>
      </x:c>
      <x:c r="W291" t="str">
        <x:v>English</x:v>
      </x:c>
      <x:c r="X291"/>
      <x:c r="Y291" t="n">
        <x:v>8145</x:v>
      </x:c>
      <x:c r="Z291" s="17" t="n">
        <x:v>4.4</x:v>
      </x:c>
      <x:c r="AA291" s="16" t="n">
        <x:v>0.8809</x:v>
      </x:c>
      <x:c r="AB291" s="16" t="n">
        <x:v>0.998</x:v>
      </x:c>
      <x:c r="AC291" s="16" t="n">
        <x:v>0.9186</x:v>
      </x:c>
      <x:c r="AD291" t="n">
        <x:v>0</x:v>
      </x:c>
      <x:c r="AE291" t="str">
        <x:f>IF(O291&lt;&gt;"ACTIVE","NOT_RATED",IF(AND(Z291&gt;=4.8,AB291&gt;=0.97,AC291&gt;=0.93,AD291=0),"ELITE",IF(AND(Z291&gt;=4.6,AB291&gt;=0.94,AC291&gt;=0.88),"HIGH_PERFORMER",IF(OR(Z291&lt;4.2,AB291&lt;0.85,AD291&gt;=2),"AT_RISK","STANDARD"))))</x:f>
        <x:v>NOT_RATED</x:v>
      </x:c>
      <x:c r="AF291" s="15" t="n">
        <x:v>45927</x:v>
      </x:c>
      <x:c r="AG291" t="str">
        <x:v>VERIFIED</x:v>
      </x:c>
      <x:c r="AH291" t="str">
        <x:v>COMPLETE</x:v>
      </x:c>
      <x:c r="AI291" t="str">
        <x:v>Hayden White</x:v>
      </x:c>
      <x:c r="AJ291" t="str">
        <x:v>OTHER</x:v>
      </x:c>
      <x:c r="AK291" t="str">
        <x:v>+1 (415) 555-0146</x:v>
      </x:c>
    </x:row>
    <x:row r="292" ht="18" customHeight="1">
      <x:c r="A292" t="str">
        <x:v>DHR-00291</x:v>
      </x:c>
      <x:c r="B292" t="str">
        <x:v>Jordan Garcia</x:v>
      </x:c>
      <x:c r="C292" t="str">
        <x:v>https://api.dicebear.com/9.x/adventurer/png?seed=DHR-00291-Jordan%20Garcia&amp;size=256&amp;radius=50&amp;backgroundColor=b6e3f4,c0aede,d1d4f9,ffd5dc,ffdfbf</x:v>
      </x:c>
      <x:c r="D292" t="str">
        <x:v>jordan.garcia.291@example.com</x:v>
      </x:c>
      <x:c r="E292" t="str">
        <x:v>+1 (617) 555-0190</x:v>
      </x:c>
      <x:c r="F292" t="str">
        <x:v>Boston, MA</x:v>
      </x:c>
      <x:c r="G292" t="str">
        <x:v>Boston</x:v>
      </x:c>
      <x:c r="H292" t="str">
        <x:v>MA</x:v>
      </x:c>
      <x:c r="I292" s="18" t="str">
        <x:v>02108</x:v>
      </x:c>
      <x:c r="J292" s="15" t="n">
        <x:v>36637.693265821756</x:v>
      </x:c>
      <x:c r="K292" t="n">
        <x:f>INT((DATE(2025,12,31)-J292)/365.25)</x:f>
        <x:v>25</x:v>
      </x:c>
      <x:c r="L292" t="str">
        <x:f>IF(K292&lt;25,"18-24",IF(K292&lt;35,"25-34",IF(K292&lt;45,"35-44",IF(K292&lt;55,"45-54","55+"))))</x:f>
        <x:v>25-34</x:v>
      </x:c>
      <x:c r="M292" s="15" t="n">
        <x:v>45679.96425094907</x:v>
      </x:c>
      <x:c r="N292" t="n">
        <x:f>(YEAR(DATE(2025,12,31))-YEAR(M292))*12+MONTH(DATE(2025,12,31))-MONTH(M292)</x:f>
        <x:v>11</x:v>
      </x:c>
      <x:c r="O292" t="str">
        <x:v>ACTIVE</x:v>
      </x:c>
      <x:c r="P292" t="str">
        <x:v>INDEPENDENT_CONTRACTOR</x:v>
      </x:c>
      <x:c r="Q292" t="str">
        <x:v>BICYCLE</x:v>
      </x:c>
      <x:c r="R292" t="str">
        <x:v>FLEXIBLE</x:v>
      </x:c>
      <x:c r="S292" t="n">
        <x:v>14</x:v>
      </x:c>
      <x:c r="T292" t="str">
        <x:v>CLEARED</x:v>
      </x:c>
      <x:c r="U292" t="str">
        <x:v>NOT_REQUIRED</x:v>
      </x:c>
      <x:c r="V292" s="16" t="n">
        <x:v>0.8629</x:v>
      </x:c>
      <x:c r="W292" t="str">
        <x:v>Spanish</x:v>
      </x:c>
      <x:c r="X292"/>
      <x:c r="Y292" t="n">
        <x:v>333</x:v>
      </x:c>
      <x:c r="Z292" s="17" t="n">
        <x:v>4.31</x:v>
      </x:c>
      <x:c r="AA292" s="16" t="n">
        <x:v>0.6437</x:v>
      </x:c>
      <x:c r="AB292" s="16" t="n">
        <x:v>0.9232</x:v>
      </x:c>
      <x:c r="AC292" s="16" t="n">
        <x:v>0.9445</x:v>
      </x:c>
      <x:c r="AD292" t="n">
        <x:v>0</x:v>
      </x:c>
      <x:c r="AE292" t="str">
        <x:f>IF(O292&lt;&gt;"ACTIVE","NOT_RATED",IF(AND(Z292&gt;=4.8,AB292&gt;=0.97,AC292&gt;=0.93,AD292=0),"ELITE",IF(AND(Z292&gt;=4.6,AB292&gt;=0.94,AC292&gt;=0.88),"HIGH_PERFORMER",IF(OR(Z292&lt;4.2,AB292&lt;0.85,AD292&gt;=2),"AT_RISK","STANDARD"))))</x:f>
        <x:v>STANDARD</x:v>
      </x:c>
      <x:c r="AF292" s="15" t="n">
        <x:v>46018</x:v>
      </x:c>
      <x:c r="AG292" t="str">
        <x:v>VERIFIED</x:v>
      </x:c>
      <x:c r="AH292" t="str">
        <x:v>COMPLETE</x:v>
      </x:c>
      <x:c r="AI292" t="str">
        <x:v>Sofia Miller</x:v>
      </x:c>
      <x:c r="AJ292" t="str">
        <x:v>SIBLING</x:v>
      </x:c>
      <x:c r="AK292" t="str">
        <x:v>+1 (617) 555-0153</x:v>
      </x:c>
    </x:row>
    <x:row r="293" ht="18" customHeight="1">
      <x:c r="A293" t="str">
        <x:v>DHR-00292</x:v>
      </x:c>
      <x:c r="B293" t="str">
        <x:v>Jordan Harris</x:v>
      </x:c>
      <x:c r="C293" t="str">
        <x:v>https://api.dicebear.com/9.x/adventurer/png?seed=DHR-00292-Jordan%20Harris&amp;size=256&amp;radius=50&amp;backgroundColor=b6e3f4,c0aede,d1d4f9,ffd5dc,ffdfbf</x:v>
      </x:c>
      <x:c r="D293" t="str">
        <x:v>jordan.harris.292@example.com</x:v>
      </x:c>
      <x:c r="E293" t="str">
        <x:v>+1 (212) 555-0191</x:v>
      </x:c>
      <x:c r="F293" t="str">
        <x:v>New York, NY</x:v>
      </x:c>
      <x:c r="G293" t="str">
        <x:v>New York</x:v>
      </x:c>
      <x:c r="H293" t="str">
        <x:v>NY</x:v>
      </x:c>
      <x:c r="I293" s="18" t="str">
        <x:v>10001</x:v>
      </x:c>
      <x:c r="J293" s="15" t="n">
        <x:v>38216.66907537037</x:v>
      </x:c>
      <x:c r="K293" t="n">
        <x:f>INT((DATE(2025,12,31)-J293)/365.25)</x:f>
        <x:v>21</x:v>
      </x:c>
      <x:c r="L293" t="str">
        <x:f>IF(K293&lt;25,"18-24",IF(K293&lt;35,"25-34",IF(K293&lt;45,"35-44",IF(K293&lt;55,"45-54","55+"))))</x:f>
        <x:v>18-24</x:v>
      </x:c>
      <x:c r="M293" s="15" t="n">
        <x:v>45100.663299594904</x:v>
      </x:c>
      <x:c r="N293" t="n">
        <x:f>(YEAR(DATE(2025,12,31))-YEAR(M293))*12+MONTH(DATE(2025,12,31))-MONTH(M293)</x:f>
        <x:v>30</x:v>
      </x:c>
      <x:c r="O293" t="str">
        <x:v>PAUSED</x:v>
      </x:c>
      <x:c r="P293" t="str">
        <x:v>INDEPENDENT_CONTRACTOR</x:v>
      </x:c>
      <x:c r="Q293" t="str">
        <x:v>SCOOTER</x:v>
      </x:c>
      <x:c r="R293" t="str">
        <x:v>FLEXIBLE</x:v>
      </x:c>
      <x:c r="S293" t="n">
        <x:v>43</x:v>
      </x:c>
      <x:c r="T293" t="str">
        <x:v>CLEARED</x:v>
      </x:c>
      <x:c r="U293" t="str">
        <x:v>VALID</x:v>
      </x:c>
      <x:c r="V293" s="16" t="n">
        <x:v>0.8331</x:v>
      </x:c>
      <x:c r="W293" t="str">
        <x:v>Portuguese</x:v>
      </x:c>
      <x:c r="X293"/>
      <x:c r="Y293" t="n">
        <x:v>4690</x:v>
      </x:c>
      <x:c r="Z293" s="17" t="n">
        <x:v>4.32</x:v>
      </x:c>
      <x:c r="AA293" s="16" t="n">
        <x:v>0.6545</x:v>
      </x:c>
      <x:c r="AB293" s="16" t="n">
        <x:v>0.9751</x:v>
      </x:c>
      <x:c r="AC293" s="16" t="n">
        <x:v>0.9616</x:v>
      </x:c>
      <x:c r="AD293" t="n">
        <x:v>0</x:v>
      </x:c>
      <x:c r="AE293" t="str">
        <x:f>IF(O293&lt;&gt;"ACTIVE","NOT_RATED",IF(AND(Z293&gt;=4.8,AB293&gt;=0.97,AC293&gt;=0.93,AD293=0),"ELITE",IF(AND(Z293&gt;=4.6,AB293&gt;=0.94,AC293&gt;=0.88),"HIGH_PERFORMER",IF(OR(Z293&lt;4.2,AB293&lt;0.85,AD293&gt;=2),"AT_RISK","STANDARD"))))</x:f>
        <x:v>NOT_RATED</x:v>
      </x:c>
      <x:c r="AF293" s="15" t="n">
        <x:v>45985</x:v>
      </x:c>
      <x:c r="AG293" t="str">
        <x:v>VERIFIED</x:v>
      </x:c>
      <x:c r="AH293" t="str">
        <x:v>COMPLETE</x:v>
      </x:c>
      <x:c r="AI293" t="str">
        <x:v>Olivia Johnson</x:v>
      </x:c>
      <x:c r="AJ293" t="str">
        <x:v>PARENT</x:v>
      </x:c>
      <x:c r="AK293" t="str">
        <x:v>+1 (212) 555-0160</x:v>
      </x:c>
    </x:row>
    <x:row r="294" ht="18" customHeight="1">
      <x:c r="A294" t="str">
        <x:v>DHR-00293</x:v>
      </x:c>
      <x:c r="B294" t="str">
        <x:v>Jordan Jackson</x:v>
      </x:c>
      <x:c r="C294" t="str">
        <x:v>https://api.dicebear.com/9.x/adventurer/png?seed=DHR-00293-Jordan%20Jackson&amp;size=256&amp;radius=50&amp;backgroundColor=b6e3f4,c0aede,d1d4f9,ffd5dc,ffdfbf</x:v>
      </x:c>
      <x:c r="D294" t="str">
        <x:v>jordan.jackson.293@example.com</x:v>
      </x:c>
      <x:c r="E294" t="str">
        <x:v>+1 (213) 555-0192</x:v>
      </x:c>
      <x:c r="F294" t="str">
        <x:v>Los Angeles, CA</x:v>
      </x:c>
      <x:c r="G294" t="str">
        <x:v>Los Angeles</x:v>
      </x:c>
      <x:c r="H294" t="str">
        <x:v>CA</x:v>
      </x:c>
      <x:c r="I294" s="18" t="str">
        <x:v>90012</x:v>
      </x:c>
      <x:c r="J294" s="15" t="n">
        <x:v>33539.99922207176</x:v>
      </x:c>
      <x:c r="K294" t="n">
        <x:f>INT((DATE(2025,12,31)-J294)/365.25)</x:f>
        <x:v>34</x:v>
      </x:c>
      <x:c r="L294" t="str">
        <x:f>IF(K294&lt;25,"18-24",IF(K294&lt;35,"25-34",IF(K294&lt;45,"35-44",IF(K294&lt;55,"45-54","55+"))))</x:f>
        <x:v>25-34</x:v>
      </x:c>
      <x:c r="M294" s="15" t="n">
        <x:v>43522.1745412963</x:v>
      </x:c>
      <x:c r="N294" t="n">
        <x:f>(YEAR(DATE(2025,12,31))-YEAR(M294))*12+MONTH(DATE(2025,12,31))-MONTH(M294)</x:f>
        <x:v>82</x:v>
      </x:c>
      <x:c r="O294" t="str">
        <x:v>ACTIVE</x:v>
      </x:c>
      <x:c r="P294" t="str">
        <x:v>INDEPENDENT_CONTRACTOR</x:v>
      </x:c>
      <x:c r="Q294" t="str">
        <x:v>CAR</x:v>
      </x:c>
      <x:c r="R294" t="str">
        <x:v>LUNCH</x:v>
      </x:c>
      <x:c r="S294" t="n">
        <x:v>14</x:v>
      </x:c>
      <x:c r="T294" t="str">
        <x:v>CLEARED</x:v>
      </x:c>
      <x:c r="U294" t="str">
        <x:v>VALID</x:v>
      </x:c>
      <x:c r="V294" s="16" t="n">
        <x:v>0.8302</x:v>
      </x:c>
      <x:c r="W294" t="str">
        <x:v>English</x:v>
      </x:c>
      <x:c r="X294"/>
      <x:c r="Y294" t="n">
        <x:v>3691</x:v>
      </x:c>
      <x:c r="Z294" s="17" t="n">
        <x:v>4.49</x:v>
      </x:c>
      <x:c r="AA294" s="16" t="n">
        <x:v>0.8168</x:v>
      </x:c>
      <x:c r="AB294" s="16" t="n">
        <x:v>0.998</x:v>
      </x:c>
      <x:c r="AC294" s="16" t="n">
        <x:v>0.8965</x:v>
      </x:c>
      <x:c r="AD294" t="n">
        <x:v>0</x:v>
      </x:c>
      <x:c r="AE294" t="str">
        <x:f>IF(O294&lt;&gt;"ACTIVE","NOT_RATED",IF(AND(Z294&gt;=4.8,AB294&gt;=0.97,AC294&gt;=0.93,AD294=0),"ELITE",IF(AND(Z294&gt;=4.6,AB294&gt;=0.94,AC294&gt;=0.88),"HIGH_PERFORMER",IF(OR(Z294&lt;4.2,AB294&lt;0.85,AD294&gt;=2),"AT_RISK","STANDARD"))))</x:f>
        <x:v>STANDARD</x:v>
      </x:c>
      <x:c r="AF294" s="15" t="n">
        <x:v>46009</x:v>
      </x:c>
      <x:c r="AG294" t="str">
        <x:v>VERIFIED</x:v>
      </x:c>
      <x:c r="AH294" t="str">
        <x:v>COMPLETE</x:v>
      </x:c>
      <x:c r="AI294" t="str">
        <x:v>Mia Young</x:v>
      </x:c>
      <x:c r="AJ294" t="str">
        <x:v>SIBLING</x:v>
      </x:c>
      <x:c r="AK294" t="str">
        <x:v>+1 (213) 555-0167</x:v>
      </x:c>
    </x:row>
    <x:row r="295" ht="18" customHeight="1">
      <x:c r="A295" t="str">
        <x:v>DHR-00294</x:v>
      </x:c>
      <x:c r="B295" t="str">
        <x:v>Jordan Jones</x:v>
      </x:c>
      <x:c r="C295" t="str">
        <x:v>https://api.dicebear.com/9.x/adventurer/png?seed=DHR-00294-Jordan%20Jones&amp;size=256&amp;radius=50&amp;backgroundColor=b6e3f4,c0aede,d1d4f9,ffd5dc,ffdfbf</x:v>
      </x:c>
      <x:c r="D295" t="str">
        <x:v>jordan.jones.294@example.com</x:v>
      </x:c>
      <x:c r="E295" t="str">
        <x:v>+1 (215) 555-0193</x:v>
      </x:c>
      <x:c r="F295" t="str">
        <x:v>Philadelphia, PA</x:v>
      </x:c>
      <x:c r="G295" t="str">
        <x:v>Philadelphia</x:v>
      </x:c>
      <x:c r="H295" t="str">
        <x:v>PA</x:v>
      </x:c>
      <x:c r="I295" s="18" t="str">
        <x:v>19103</x:v>
      </x:c>
      <x:c r="J295" s="15" t="n">
        <x:v>26421.609699907407</x:v>
      </x:c>
      <x:c r="K295" t="n">
        <x:f>INT((DATE(2025,12,31)-J295)/365.25)</x:f>
        <x:v>53</x:v>
      </x:c>
      <x:c r="L295" t="str">
        <x:f>IF(K295&lt;25,"18-24",IF(K295&lt;35,"25-34",IF(K295&lt;45,"35-44",IF(K295&lt;55,"45-54","55+"))))</x:f>
        <x:v>45-54</x:v>
      </x:c>
      <x:c r="M295" s="15" t="n">
        <x:v>44631.3662634838</x:v>
      </x:c>
      <x:c r="N295" t="n">
        <x:f>(YEAR(DATE(2025,12,31))-YEAR(M295))*12+MONTH(DATE(2025,12,31))-MONTH(M295)</x:f>
        <x:v>45</x:v>
      </x:c>
      <x:c r="O295" t="str">
        <x:v>ACTIVE</x:v>
      </x:c>
      <x:c r="P295" t="str">
        <x:v>INDEPENDENT_CONTRACTOR</x:v>
      </x:c>
      <x:c r="Q295" t="str">
        <x:v>BICYCLE</x:v>
      </x:c>
      <x:c r="R295" t="str">
        <x:v>DINNER</x:v>
      </x:c>
      <x:c r="S295" t="n">
        <x:v>25</x:v>
      </x:c>
      <x:c r="T295" t="str">
        <x:v>CLEARED</x:v>
      </x:c>
      <x:c r="U295" t="str">
        <x:v>NOT_REQUIRED</x:v>
      </x:c>
      <x:c r="V295" s="16" t="n">
        <x:v>0.8291</x:v>
      </x:c>
      <x:c r="W295" t="str">
        <x:v>English</x:v>
      </x:c>
      <x:c r="X295"/>
      <x:c r="Y295" t="n">
        <x:v>2768</x:v>
      </x:c>
      <x:c r="Z295" s="17" t="n">
        <x:v>4.61</x:v>
      </x:c>
      <x:c r="AA295" s="16" t="n">
        <x:v>0.7293</x:v>
      </x:c>
      <x:c r="AB295" s="16" t="n">
        <x:v>0.8929</x:v>
      </x:c>
      <x:c r="AC295" s="16" t="n">
        <x:v>0.8744</x:v>
      </x:c>
      <x:c r="AD295" t="n">
        <x:v>0</x:v>
      </x:c>
      <x:c r="AE295" t="str">
        <x:f>IF(O295&lt;&gt;"ACTIVE","NOT_RATED",IF(AND(Z295&gt;=4.8,AB295&gt;=0.97,AC295&gt;=0.93,AD295=0),"ELITE",IF(AND(Z295&gt;=4.6,AB295&gt;=0.94,AC295&gt;=0.88),"HIGH_PERFORMER",IF(OR(Z295&lt;4.2,AB295&lt;0.85,AD295&gt;=2),"AT_RISK","STANDARD"))))</x:f>
        <x:v>STANDARD</x:v>
      </x:c>
      <x:c r="AF295" s="15" t="n">
        <x:v>46008</x:v>
      </x:c>
      <x:c r="AG295" t="str">
        <x:v>VERIFIED</x:v>
      </x:c>
      <x:c r="AH295" t="str">
        <x:v>COMPLETE</x:v>
      </x:c>
      <x:c r="AI295" t="str">
        <x:v>Parker Perez</x:v>
      </x:c>
      <x:c r="AJ295" t="str">
        <x:v>PARENT</x:v>
      </x:c>
      <x:c r="AK295" t="str">
        <x:v>+1 (215) 555-0174</x:v>
      </x:c>
    </x:row>
    <x:row r="296" ht="18" customHeight="1">
      <x:c r="A296" t="str">
        <x:v>DHR-00295</x:v>
      </x:c>
      <x:c r="B296" t="str">
        <x:v>Jordan Lee</x:v>
      </x:c>
      <x:c r="C296" t="str">
        <x:v>https://api.dicebear.com/9.x/adventurer/png?seed=DHR-00295-Jordan%20Lee&amp;size=256&amp;radius=50&amp;backgroundColor=b6e3f4,c0aede,d1d4f9,ffd5dc,ffdfbf</x:v>
      </x:c>
      <x:c r="D296" t="str">
        <x:v>jordan.lee.295@example.com</x:v>
      </x:c>
      <x:c r="E296" t="str">
        <x:v>+1 (602) 555-0194</x:v>
      </x:c>
      <x:c r="F296" t="str">
        <x:v>Phoenix, AZ</x:v>
      </x:c>
      <x:c r="G296" t="str">
        <x:v>Phoenix</x:v>
      </x:c>
      <x:c r="H296" t="str">
        <x:v>AZ</x:v>
      </x:c>
      <x:c r="I296" s="18" t="str">
        <x:v>85004</x:v>
      </x:c>
      <x:c r="J296" s="15" t="n">
        <x:v>27127.07068800926</x:v>
      </x:c>
      <x:c r="K296" t="n">
        <x:f>INT((DATE(2025,12,31)-J296)/365.25)</x:f>
        <x:v>51</x:v>
      </x:c>
      <x:c r="L296" t="str">
        <x:f>IF(K296&lt;25,"18-24",IF(K296&lt;35,"25-34",IF(K296&lt;45,"35-44",IF(K296&lt;55,"45-54","55+"))))</x:f>
        <x:v>45-54</x:v>
      </x:c>
      <x:c r="M296" s="15" t="n">
        <x:v>44207.28410383102</x:v>
      </x:c>
      <x:c r="N296" t="n">
        <x:f>(YEAR(DATE(2025,12,31))-YEAR(M296))*12+MONTH(DATE(2025,12,31))-MONTH(M296)</x:f>
        <x:v>59</x:v>
      </x:c>
      <x:c r="O296" t="str">
        <x:v>ACTIVE</x:v>
      </x:c>
      <x:c r="P296" t="str">
        <x:v>INDEPENDENT_CONTRACTOR</x:v>
      </x:c>
      <x:c r="Q296" t="str">
        <x:v>E_BIKE</x:v>
      </x:c>
      <x:c r="R296" t="str">
        <x:v>DINNER</x:v>
      </x:c>
      <x:c r="S296" t="n">
        <x:v>23</x:v>
      </x:c>
      <x:c r="T296" t="str">
        <x:v>CLEARED</x:v>
      </x:c>
      <x:c r="U296" t="str">
        <x:v>NOT_REQUIRED</x:v>
      </x:c>
      <x:c r="V296" s="16" t="n">
        <x:v>0.8944</x:v>
      </x:c>
      <x:c r="W296" t="str">
        <x:v>English</x:v>
      </x:c>
      <x:c r="X296"/>
      <x:c r="Y296" t="n">
        <x:v>4584</x:v>
      </x:c>
      <x:c r="Z296" s="17" t="n">
        <x:v>4.7</x:v>
      </x:c>
      <x:c r="AA296" s="16" t="n">
        <x:v>0.7872</x:v>
      </x:c>
      <x:c r="AB296" s="16" t="n">
        <x:v>0.998</x:v>
      </x:c>
      <x:c r="AC296" s="16" t="n">
        <x:v>0.8557</x:v>
      </x:c>
      <x:c r="AD296" t="n">
        <x:v>1</x:v>
      </x:c>
      <x:c r="AE296" t="str">
        <x:f>IF(O296&lt;&gt;"ACTIVE","NOT_RATED",IF(AND(Z296&gt;=4.8,AB296&gt;=0.97,AC296&gt;=0.93,AD296=0),"ELITE",IF(AND(Z296&gt;=4.6,AB296&gt;=0.94,AC296&gt;=0.88),"HIGH_PERFORMER",IF(OR(Z296&lt;4.2,AB296&lt;0.85,AD296&gt;=2),"AT_RISK","STANDARD"))))</x:f>
        <x:v>STANDARD</x:v>
      </x:c>
      <x:c r="AF296" s="15" t="n">
        <x:v>46010</x:v>
      </x:c>
      <x:c r="AG296" t="str">
        <x:v>VERIFIED</x:v>
      </x:c>
      <x:c r="AH296" t="str">
        <x:v>COMPLETE</x:v>
      </x:c>
      <x:c r="AI296" t="str">
        <x:v>Casey Wilson</x:v>
      </x:c>
      <x:c r="AJ296" t="str">
        <x:v>PARENT</x:v>
      </x:c>
      <x:c r="AK296" t="str">
        <x:v>+1 (602) 555-0181</x:v>
      </x:c>
    </x:row>
    <x:row r="297" ht="18" customHeight="1">
      <x:c r="A297" t="str">
        <x:v>DHR-00296</x:v>
      </x:c>
      <x:c r="B297" t="str">
        <x:v>Jordan Lewis</x:v>
      </x:c>
      <x:c r="C297" t="str">
        <x:v>https://api.dicebear.com/9.x/adventurer/png?seed=DHR-00296-Jordan%20Lewis&amp;size=256&amp;radius=50&amp;backgroundColor=b6e3f4,c0aede,d1d4f9,ffd5dc,ffdfbf</x:v>
      </x:c>
      <x:c r="D297" t="str">
        <x:v>jordan.lewis.296@example.com</x:v>
      </x:c>
      <x:c r="E297" t="str">
        <x:v>+1 (312) 555-0195</x:v>
      </x:c>
      <x:c r="F297" t="str">
        <x:v>Chicago, IL</x:v>
      </x:c>
      <x:c r="G297" t="str">
        <x:v>Chicago</x:v>
      </x:c>
      <x:c r="H297" t="str">
        <x:v>IL</x:v>
      </x:c>
      <x:c r="I297" s="18" t="str">
        <x:v>60601</x:v>
      </x:c>
      <x:c r="J297" s="15" t="n">
        <x:v>37314.48427208333</x:v>
      </x:c>
      <x:c r="K297" t="n">
        <x:f>INT((DATE(2025,12,31)-J297)/365.25)</x:f>
        <x:v>23</x:v>
      </x:c>
      <x:c r="L297" t="str">
        <x:f>IF(K297&lt;25,"18-24",IF(K297&lt;35,"25-34",IF(K297&lt;45,"35-44",IF(K297&lt;55,"45-54","55+"))))</x:f>
        <x:v>18-24</x:v>
      </x:c>
      <x:c r="M297" s="15" t="n">
        <x:v>45321.95121303241</x:v>
      </x:c>
      <x:c r="N297" t="n">
        <x:f>(YEAR(DATE(2025,12,31))-YEAR(M297))*12+MONTH(DATE(2025,12,31))-MONTH(M297)</x:f>
        <x:v>23</x:v>
      </x:c>
      <x:c r="O297" t="str">
        <x:v>ACTIVE</x:v>
      </x:c>
      <x:c r="P297" t="str">
        <x:v>INDEPENDENT_CONTRACTOR</x:v>
      </x:c>
      <x:c r="Q297" t="str">
        <x:v>CAR</x:v>
      </x:c>
      <x:c r="R297" t="str">
        <x:v>DINNER</x:v>
      </x:c>
      <x:c r="S297" t="n">
        <x:v>8</x:v>
      </x:c>
      <x:c r="T297" t="str">
        <x:v>CLEARED</x:v>
      </x:c>
      <x:c r="U297" t="str">
        <x:v>VALID</x:v>
      </x:c>
      <x:c r="V297" s="16" t="n">
        <x:v>0.8814</x:v>
      </x:c>
      <x:c r="W297" t="str">
        <x:v>English</x:v>
      </x:c>
      <x:c r="X297"/>
      <x:c r="Y297" t="n">
        <x:v>443</x:v>
      </x:c>
      <x:c r="Z297" s="17" t="n">
        <x:v>4.18</x:v>
      </x:c>
      <x:c r="AA297" s="16" t="n">
        <x:v>0.6828</x:v>
      </x:c>
      <x:c r="AB297" s="16" t="n">
        <x:v>0.924</x:v>
      </x:c>
      <x:c r="AC297" s="16" t="n">
        <x:v>0.9202</x:v>
      </x:c>
      <x:c r="AD297" t="n">
        <x:v>0</x:v>
      </x:c>
      <x:c r="AE297" t="str">
        <x:f>IF(O297&lt;&gt;"ACTIVE","NOT_RATED",IF(AND(Z297&gt;=4.8,AB297&gt;=0.97,AC297&gt;=0.93,AD297=0),"ELITE",IF(AND(Z297&gt;=4.6,AB297&gt;=0.94,AC297&gt;=0.88),"HIGH_PERFORMER",IF(OR(Z297&lt;4.2,AB297&lt;0.85,AD297&gt;=2),"AT_RISK","STANDARD"))))</x:f>
        <x:v>AT_RISK</x:v>
      </x:c>
      <x:c r="AF297" s="15" t="n">
        <x:v>46019</x:v>
      </x:c>
      <x:c r="AG297" t="str">
        <x:v>VERIFIED</x:v>
      </x:c>
      <x:c r="AH297" t="str">
        <x:v>COMPLETE</x:v>
      </x:c>
      <x:c r="AI297" t="str">
        <x:v>Drew Clark</x:v>
      </x:c>
      <x:c r="AJ297" t="str">
        <x:v>PARENT</x:v>
      </x:c>
      <x:c r="AK297" t="str">
        <x:v>+1 (312) 555-0188</x:v>
      </x:c>
    </x:row>
    <x:row r="298" ht="18" customHeight="1">
      <x:c r="A298" t="str">
        <x:v>DHR-00297</x:v>
      </x:c>
      <x:c r="B298" t="str">
        <x:v>Jordan Martin</x:v>
      </x:c>
      <x:c r="C298" t="str">
        <x:v>https://api.dicebear.com/9.x/adventurer/png?seed=DHR-00297-Jordan%20Martin&amp;size=256&amp;radius=50&amp;backgroundColor=b6e3f4,c0aede,d1d4f9,ffd5dc,ffdfbf</x:v>
      </x:c>
      <x:c r="D298" t="str">
        <x:v>jordan.martin.297@example.com</x:v>
      </x:c>
      <x:c r="E298" t="str">
        <x:v>+1 (904) 555-0196</x:v>
      </x:c>
      <x:c r="F298" t="str">
        <x:v>Jacksonville, FL</x:v>
      </x:c>
      <x:c r="G298" t="str">
        <x:v>Jacksonville</x:v>
      </x:c>
      <x:c r="H298" t="str">
        <x:v>FL</x:v>
      </x:c>
      <x:c r="I298" s="18" t="str">
        <x:v>32202</x:v>
      </x:c>
      <x:c r="J298" s="15" t="n">
        <x:v>28036.12408127315</x:v>
      </x:c>
      <x:c r="K298" t="n">
        <x:f>INT((DATE(2025,12,31)-J298)/365.25)</x:f>
        <x:v>49</x:v>
      </x:c>
      <x:c r="L298" t="str">
        <x:f>IF(K298&lt;25,"18-24",IF(K298&lt;35,"25-34",IF(K298&lt;45,"35-44",IF(K298&lt;55,"45-54","55+"))))</x:f>
        <x:v>45-54</x:v>
      </x:c>
      <x:c r="M298" s="15" t="n">
        <x:v>43781.719492743054</x:v>
      </x:c>
      <x:c r="N298" t="n">
        <x:f>(YEAR(DATE(2025,12,31))-YEAR(M298))*12+MONTH(DATE(2025,12,31))-MONTH(M298)</x:f>
        <x:v>73</x:v>
      </x:c>
      <x:c r="O298" t="str">
        <x:v>ACTIVE</x:v>
      </x:c>
      <x:c r="P298" t="str">
        <x:v>INDEPENDENT_CONTRACTOR</x:v>
      </x:c>
      <x:c r="Q298" t="str">
        <x:v>CAR</x:v>
      </x:c>
      <x:c r="R298" t="str">
        <x:v>WEEKENDS</x:v>
      </x:c>
      <x:c r="S298" t="n">
        <x:v>27</x:v>
      </x:c>
      <x:c r="T298" t="str">
        <x:v>CLEARED</x:v>
      </x:c>
      <x:c r="U298" t="str">
        <x:v>VALID</x:v>
      </x:c>
      <x:c r="V298" s="16" t="n">
        <x:v>0.9995</x:v>
      </x:c>
      <x:c r="W298" t="str">
        <x:v>English</x:v>
      </x:c>
      <x:c r="X298"/>
      <x:c r="Y298" t="n">
        <x:v>6293</x:v>
      </x:c>
      <x:c r="Z298" s="17" t="n">
        <x:v>4.68</x:v>
      </x:c>
      <x:c r="AA298" s="16" t="n">
        <x:v>0.8451</x:v>
      </x:c>
      <x:c r="AB298" s="16" t="n">
        <x:v>0.998</x:v>
      </x:c>
      <x:c r="AC298" s="16" t="n">
        <x:v>0.9656</x:v>
      </x:c>
      <x:c r="AD298" t="n">
        <x:v>0</x:v>
      </x:c>
      <x:c r="AE298" t="str">
        <x:f>IF(O298&lt;&gt;"ACTIVE","NOT_RATED",IF(AND(Z298&gt;=4.8,AB298&gt;=0.97,AC298&gt;=0.93,AD298=0),"ELITE",IF(AND(Z298&gt;=4.6,AB298&gt;=0.94,AC298&gt;=0.88),"HIGH_PERFORMER",IF(OR(Z298&lt;4.2,AB298&lt;0.85,AD298&gt;=2),"AT_RISK","STANDARD"))))</x:f>
        <x:v>HIGH_PERFORMER</x:v>
      </x:c>
      <x:c r="AF298" s="15" t="n">
        <x:v>46014</x:v>
      </x:c>
      <x:c r="AG298" t="str">
        <x:v>VERIFIED</x:v>
      </x:c>
      <x:c r="AH298" t="str">
        <x:v>COMPLETE</x:v>
      </x:c>
      <x:c r="AI298" t="str">
        <x:v>Sofia Thomas</x:v>
      </x:c>
      <x:c r="AJ298" t="str">
        <x:v>PARENT</x:v>
      </x:c>
      <x:c r="AK298" t="str">
        <x:v>+1 (904) 555-0195</x:v>
      </x:c>
    </x:row>
    <x:row r="299" ht="18" customHeight="1">
      <x:c r="A299" t="str">
        <x:v>DHR-00298</x:v>
      </x:c>
      <x:c r="B299" t="str">
        <x:v>Jordan Martinez</x:v>
      </x:c>
      <x:c r="C299" t="str">
        <x:v>https://api.dicebear.com/9.x/adventurer/png?seed=DHR-00298-Jordan%20Martinez&amp;size=256&amp;radius=50&amp;backgroundColor=b6e3f4,c0aede,d1d4f9,ffd5dc,ffdfbf</x:v>
      </x:c>
      <x:c r="D299" t="str">
        <x:v>jordan.martinez.298@example.com</x:v>
      </x:c>
      <x:c r="E299" t="str">
        <x:v>+1 (713) 555-0197</x:v>
      </x:c>
      <x:c r="F299" t="str">
        <x:v>Houston, TX</x:v>
      </x:c>
      <x:c r="G299" t="str">
        <x:v>Houston</x:v>
      </x:c>
      <x:c r="H299" t="str">
        <x:v>TX</x:v>
      </x:c>
      <x:c r="I299" s="18" t="str">
        <x:v>77002</x:v>
      </x:c>
      <x:c r="J299" s="15" t="n">
        <x:v>28430.046637372685</x:v>
      </x:c>
      <x:c r="K299" t="n">
        <x:f>INT((DATE(2025,12,31)-J299)/365.25)</x:f>
        <x:v>48</x:v>
      </x:c>
      <x:c r="L299" t="str">
        <x:f>IF(K299&lt;25,"18-24",IF(K299&lt;35,"25-34",IF(K299&lt;45,"35-44",IF(K299&lt;55,"45-54","55+"))))</x:f>
        <x:v>45-54</x:v>
      </x:c>
      <x:c r="M299" s="15" t="n">
        <x:v>45298.964202731484</x:v>
      </x:c>
      <x:c r="N299" t="n">
        <x:f>(YEAR(DATE(2025,12,31))-YEAR(M299))*12+MONTH(DATE(2025,12,31))-MONTH(M299)</x:f>
        <x:v>23</x:v>
      </x:c>
      <x:c r="O299" t="str">
        <x:v>ACTIVE</x:v>
      </x:c>
      <x:c r="P299" t="str">
        <x:v>INDEPENDENT_CONTRACTOR</x:v>
      </x:c>
      <x:c r="Q299" t="str">
        <x:v>CAR</x:v>
      </x:c>
      <x:c r="R299" t="str">
        <x:v>DINNER</x:v>
      </x:c>
      <x:c r="S299" t="n">
        <x:v>38</x:v>
      </x:c>
      <x:c r="T299" t="str">
        <x:v>CLEARED</x:v>
      </x:c>
      <x:c r="U299" t="str">
        <x:v>VALID</x:v>
      </x:c>
      <x:c r="V299" s="16" t="n">
        <x:v>0.8779</x:v>
      </x:c>
      <x:c r="W299" t="str">
        <x:v>English</x:v>
      </x:c>
      <x:c r="X299"/>
      <x:c r="Y299" t="n">
        <x:v>2161</x:v>
      </x:c>
      <x:c r="Z299" s="17" t="n">
        <x:v>4.42</x:v>
      </x:c>
      <x:c r="AA299" s="16" t="n">
        <x:v>0.9188</x:v>
      </x:c>
      <x:c r="AB299" s="16" t="n">
        <x:v>0.9379</x:v>
      </x:c>
      <x:c r="AC299" s="16" t="n">
        <x:v>0.898</x:v>
      </x:c>
      <x:c r="AD299" t="n">
        <x:v>0</x:v>
      </x:c>
      <x:c r="AE299" t="str">
        <x:f>IF(O299&lt;&gt;"ACTIVE","NOT_RATED",IF(AND(Z299&gt;=4.8,AB299&gt;=0.97,AC299&gt;=0.93,AD299=0),"ELITE",IF(AND(Z299&gt;=4.6,AB299&gt;=0.94,AC299&gt;=0.88),"HIGH_PERFORMER",IF(OR(Z299&lt;4.2,AB299&lt;0.85,AD299&gt;=2),"AT_RISK","STANDARD"))))</x:f>
        <x:v>STANDARD</x:v>
      </x:c>
      <x:c r="AF299" s="15" t="n">
        <x:v>46012</x:v>
      </x:c>
      <x:c r="AG299" t="str">
        <x:v>VERIFIED</x:v>
      </x:c>
      <x:c r="AH299" t="str">
        <x:v>COMPLETE</x:v>
      </x:c>
      <x:c r="AI299" t="str">
        <x:v>Cameron Martin</x:v>
      </x:c>
      <x:c r="AJ299" t="str">
        <x:v>PARENT</x:v>
      </x:c>
      <x:c r="AK299" t="str">
        <x:v>+1 (713) 555-0102</x:v>
      </x:c>
    </x:row>
    <x:row r="300" ht="18" customHeight="1">
      <x:c r="A300" t="str">
        <x:v>DHR-00299</x:v>
      </x:c>
      <x:c r="B300" t="str">
        <x:v>Jordan Moore</x:v>
      </x:c>
      <x:c r="C300" t="str">
        <x:v>https://api.dicebear.com/9.x/adventurer/png?seed=DHR-00299-Jordan%20Moore&amp;size=256&amp;radius=50&amp;backgroundColor=b6e3f4,c0aede,d1d4f9,ffd5dc,ffdfbf</x:v>
      </x:c>
      <x:c r="D300" t="str">
        <x:v>jordan.moore.299@example.com</x:v>
      </x:c>
      <x:c r="E300" t="str">
        <x:v>+1 (206) 555-0198</x:v>
      </x:c>
      <x:c r="F300" t="str">
        <x:v>Seattle, WA</x:v>
      </x:c>
      <x:c r="G300" t="str">
        <x:v>Seattle</x:v>
      </x:c>
      <x:c r="H300" t="str">
        <x:v>WA</x:v>
      </x:c>
      <x:c r="I300" s="18" t="str">
        <x:v>98101</x:v>
      </x:c>
      <x:c r="J300" s="15" t="n">
        <x:v>25775.82160545139</x:v>
      </x:c>
      <x:c r="K300" t="n">
        <x:f>INT((DATE(2025,12,31)-J300)/365.25)</x:f>
        <x:v>55</x:v>
      </x:c>
      <x:c r="L300" t="str">
        <x:f>IF(K300&lt;25,"18-24",IF(K300&lt;35,"25-34",IF(K300&lt;45,"35-44",IF(K300&lt;55,"45-54","55+"))))</x:f>
        <x:v>55+</x:v>
      </x:c>
      <x:c r="M300" s="15" t="n">
        <x:v>45290.60338788194</x:v>
      </x:c>
      <x:c r="N300" t="n">
        <x:f>(YEAR(DATE(2025,12,31))-YEAR(M300))*12+MONTH(DATE(2025,12,31))-MONTH(M300)</x:f>
        <x:v>24</x:v>
      </x:c>
      <x:c r="O300" t="str">
        <x:v>ACTIVE</x:v>
      </x:c>
      <x:c r="P300" t="str">
        <x:v>INDEPENDENT_CONTRACTOR</x:v>
      </x:c>
      <x:c r="Q300" t="str">
        <x:v>CAR</x:v>
      </x:c>
      <x:c r="R300" t="str">
        <x:v>LUNCH</x:v>
      </x:c>
      <x:c r="S300" t="n">
        <x:v>46</x:v>
      </x:c>
      <x:c r="T300" t="str">
        <x:v>CLEARED</x:v>
      </x:c>
      <x:c r="U300" t="str">
        <x:v>VALID</x:v>
      </x:c>
      <x:c r="V300" s="16" t="n">
        <x:v>0.9097</x:v>
      </x:c>
      <x:c r="W300" t="str">
        <x:v>English</x:v>
      </x:c>
      <x:c r="X300"/>
      <x:c r="Y300" t="n">
        <x:v>3816</x:v>
      </x:c>
      <x:c r="Z300" s="17" t="n">
        <x:v>4.62</x:v>
      </x:c>
      <x:c r="AA300" s="16" t="n">
        <x:v>0.6585</x:v>
      </x:c>
      <x:c r="AB300" s="16" t="n">
        <x:v>0.8811</x:v>
      </x:c>
      <x:c r="AC300" s="16" t="n">
        <x:v>0.8257</x:v>
      </x:c>
      <x:c r="AD300" t="n">
        <x:v>0</x:v>
      </x:c>
      <x:c r="AE300" t="str">
        <x:f>IF(O300&lt;&gt;"ACTIVE","NOT_RATED",IF(AND(Z300&gt;=4.8,AB300&gt;=0.97,AC300&gt;=0.93,AD300=0),"ELITE",IF(AND(Z300&gt;=4.6,AB300&gt;=0.94,AC300&gt;=0.88),"HIGH_PERFORMER",IF(OR(Z300&lt;4.2,AB300&lt;0.85,AD300&gt;=2),"AT_RISK","STANDARD"))))</x:f>
        <x:v>STANDARD</x:v>
      </x:c>
      <x:c r="AF300" s="15" t="n">
        <x:v>46008</x:v>
      </x:c>
      <x:c r="AG300" t="str">
        <x:v>VERIFIED</x:v>
      </x:c>
      <x:c r="AH300" t="str">
        <x:v>COMPLETE</x:v>
      </x:c>
      <x:c r="AI300" t="str">
        <x:v>Reese Miller</x:v>
      </x:c>
      <x:c r="AJ300" t="str">
        <x:v>PARENT</x:v>
      </x:c>
      <x:c r="AK300" t="str">
        <x:v>+1 (206) 555-0109</x:v>
      </x:c>
    </x:row>
    <x:row r="301" ht="18" customHeight="1">
      <x:c r="A301" t="str">
        <x:v>DHR-00300</x:v>
      </x:c>
      <x:c r="B301" t="str">
        <x:v>Jordan Rodriguez</x:v>
      </x:c>
      <x:c r="C301" t="str">
        <x:v>https://api.dicebear.com/9.x/adventurer/png?seed=DHR-00300-Jordan%20Rodriguez&amp;size=256&amp;radius=50&amp;backgroundColor=b6e3f4,c0aede,d1d4f9,ffd5dc,ffdfbf</x:v>
      </x:c>
      <x:c r="D301" t="str">
        <x:v>jordan.rodriguez.300@example.com</x:v>
      </x:c>
      <x:c r="E301" t="str">
        <x:v>+1 (702) 555-0199</x:v>
      </x:c>
      <x:c r="F301" t="str">
        <x:v>Las Vegas, NV</x:v>
      </x:c>
      <x:c r="G301" t="str">
        <x:v>Las Vegas</x:v>
      </x:c>
      <x:c r="H301" t="str">
        <x:v>NV</x:v>
      </x:c>
      <x:c r="I301" s="18" t="str">
        <x:v>89101</x:v>
      </x:c>
      <x:c r="J301" s="15" t="n">
        <x:v>32514.929518310186</x:v>
      </x:c>
      <x:c r="K301" t="n">
        <x:f>INT((DATE(2025,12,31)-J301)/365.25)</x:f>
        <x:v>36</x:v>
      </x:c>
      <x:c r="L301" t="str">
        <x:f>IF(K301&lt;25,"18-24",IF(K301&lt;35,"25-34",IF(K301&lt;45,"35-44",IF(K301&lt;55,"45-54","55+"))))</x:f>
        <x:v>35-44</x:v>
      </x:c>
      <x:c r="M301" s="15" t="n">
        <x:v>45400.48380710648</x:v>
      </x:c>
      <x:c r="N301" t="n">
        <x:f>(YEAR(DATE(2025,12,31))-YEAR(M301))*12+MONTH(DATE(2025,12,31))-MONTH(M301)</x:f>
        <x:v>20</x:v>
      </x:c>
      <x:c r="O301" t="str">
        <x:v>ACTIVE</x:v>
      </x:c>
      <x:c r="P301" t="str">
        <x:v>INDEPENDENT_CONTRACTOR</x:v>
      </x:c>
      <x:c r="Q301" t="str">
        <x:v>CAR</x:v>
      </x:c>
      <x:c r="R301" t="str">
        <x:v>LUNCH</x:v>
      </x:c>
      <x:c r="S301" t="n">
        <x:v>18</x:v>
      </x:c>
      <x:c r="T301" t="str">
        <x:v>CLEARED</x:v>
      </x:c>
      <x:c r="U301" t="str">
        <x:v>VALID</x:v>
      </x:c>
      <x:c r="V301" s="16" t="n">
        <x:v>0.9811</x:v>
      </x:c>
      <x:c r="W301" t="str">
        <x:v>English</x:v>
      </x:c>
      <x:c r="X301"/>
      <x:c r="Y301" t="n">
        <x:v>1227</x:v>
      </x:c>
      <x:c r="Z301" s="17" t="n">
        <x:v>4.92</x:v>
      </x:c>
      <x:c r="AA301" s="16" t="n">
        <x:v>0.8791</x:v>
      </x:c>
      <x:c r="AB301" s="16" t="n">
        <x:v>0.8852</x:v>
      </x:c>
      <x:c r="AC301" s="16" t="n">
        <x:v>0.8832</x:v>
      </x:c>
      <x:c r="AD301" t="n">
        <x:v>0</x:v>
      </x:c>
      <x:c r="AE301" t="str">
        <x:f>IF(O301&lt;&gt;"ACTIVE","NOT_RATED",IF(AND(Z301&gt;=4.8,AB301&gt;=0.97,AC301&gt;=0.93,AD301=0),"ELITE",IF(AND(Z301&gt;=4.6,AB301&gt;=0.94,AC301&gt;=0.88),"HIGH_PERFORMER",IF(OR(Z301&lt;4.2,AB301&lt;0.85,AD301&gt;=2),"AT_RISK","STANDARD"))))</x:f>
        <x:v>STANDARD</x:v>
      </x:c>
      <x:c r="AF301" s="15" t="n">
        <x:v>46022</x:v>
      </x:c>
      <x:c r="AG301" t="str">
        <x:v>VERIFIED</x:v>
      </x:c>
      <x:c r="AH301" t="str">
        <x:v>COMPLETE</x:v>
      </x:c>
      <x:c r="AI301" t="str">
        <x:v>Mia Brown</x:v>
      </x:c>
      <x:c r="AJ301" t="str">
        <x:v>SPOUSE_PARTNER</x:v>
      </x:c>
      <x:c r="AK301" t="str">
        <x:v>+1 (702) 555-0116</x:v>
      </x:c>
    </x:row>
    <x:row r="302" ht="18" customHeight="1">
      <x:c r="A302" t="str">
        <x:v>DHR-00301</x:v>
      </x:c>
      <x:c r="B302" t="str">
        <x:v>Jordan Taylor</x:v>
      </x:c>
      <x:c r="C302" t="str">
        <x:v>https://api.dicebear.com/9.x/adventurer/png?seed=DHR-00301-Jordan%20Taylor&amp;size=256&amp;radius=50&amp;backgroundColor=b6e3f4,c0aede,d1d4f9,ffd5dc,ffdfbf</x:v>
      </x:c>
      <x:c r="D302" t="str">
        <x:v>jordan.taylor.301@example.com</x:v>
      </x:c>
      <x:c r="E302" t="str">
        <x:v>+1 (602) 555-0100</x:v>
      </x:c>
      <x:c r="F302" t="str">
        <x:v>Phoenix, AZ</x:v>
      </x:c>
      <x:c r="G302" t="str">
        <x:v>Phoenix</x:v>
      </x:c>
      <x:c r="H302" t="str">
        <x:v>AZ</x:v>
      </x:c>
      <x:c r="I302" s="18" t="str">
        <x:v>85004</x:v>
      </x:c>
      <x:c r="J302" s="15" t="n">
        <x:v>37603.24073052083</x:v>
      </x:c>
      <x:c r="K302" t="n">
        <x:f>INT((DATE(2025,12,31)-J302)/365.25)</x:f>
        <x:v>23</x:v>
      </x:c>
      <x:c r="L302" t="str">
        <x:f>IF(K302&lt;25,"18-24",IF(K302&lt;35,"25-34",IF(K302&lt;45,"35-44",IF(K302&lt;55,"45-54","55+"))))</x:f>
        <x:v>18-24</x:v>
      </x:c>
      <x:c r="M302" s="15" t="n">
        <x:v>44423.99123270834</x:v>
      </x:c>
      <x:c r="N302" t="n">
        <x:f>(YEAR(DATE(2025,12,31))-YEAR(M302))*12+MONTH(DATE(2025,12,31))-MONTH(M302)</x:f>
        <x:v>52</x:v>
      </x:c>
      <x:c r="O302" t="str">
        <x:v>ACTIVE</x:v>
      </x:c>
      <x:c r="P302" t="str">
        <x:v>INDEPENDENT_CONTRACTOR</x:v>
      </x:c>
      <x:c r="Q302" t="str">
        <x:v>BICYCLE</x:v>
      </x:c>
      <x:c r="R302" t="str">
        <x:v>FLEXIBLE</x:v>
      </x:c>
      <x:c r="S302" t="n">
        <x:v>10</x:v>
      </x:c>
      <x:c r="T302" t="str">
        <x:v>CLEARED</x:v>
      </x:c>
      <x:c r="U302" t="str">
        <x:v>NOT_REQUIRED</x:v>
      </x:c>
      <x:c r="V302" s="16" t="n">
        <x:v>0.9548</x:v>
      </x:c>
      <x:c r="W302" t="str">
        <x:v>English</x:v>
      </x:c>
      <x:c r="X302"/>
      <x:c r="Y302" t="n">
        <x:v>1768</x:v>
      </x:c>
      <x:c r="Z302" s="17" t="n">
        <x:v>4.99</x:v>
      </x:c>
      <x:c r="AA302" s="16" t="n">
        <x:v>0.9016</x:v>
      </x:c>
      <x:c r="AB302" s="16" t="n">
        <x:v>0.9728</x:v>
      </x:c>
      <x:c r="AC302" s="16" t="n">
        <x:v>0.972</x:v>
      </x:c>
      <x:c r="AD302" t="n">
        <x:v>0</x:v>
      </x:c>
      <x:c r="AE302" t="str">
        <x:f>IF(O302&lt;&gt;"ACTIVE","NOT_RATED",IF(AND(Z302&gt;=4.8,AB302&gt;=0.97,AC302&gt;=0.93,AD302=0),"ELITE",IF(AND(Z302&gt;=4.6,AB302&gt;=0.94,AC302&gt;=0.88),"HIGH_PERFORMER",IF(OR(Z302&lt;4.2,AB302&lt;0.85,AD302&gt;=2),"AT_RISK","STANDARD"))))</x:f>
        <x:v>ELITE</x:v>
      </x:c>
      <x:c r="AF302" s="15" t="n">
        <x:v>46008</x:v>
      </x:c>
      <x:c r="AG302" t="str">
        <x:v>PENDING</x:v>
      </x:c>
      <x:c r="AH302" t="str">
        <x:v>COMPLETE</x:v>
      </x:c>
      <x:c r="AI302" t="str">
        <x:v>Jamie Miller</x:v>
      </x:c>
      <x:c r="AJ302" t="str">
        <x:v>SIBLING</x:v>
      </x:c>
      <x:c r="AK302" t="str">
        <x:v>+1 (602) 555-0123</x:v>
      </x:c>
    </x:row>
    <x:row r="303" ht="18" customHeight="1">
      <x:c r="A303" t="str">
        <x:v>DHR-00302</x:v>
      </x:c>
      <x:c r="B303" t="str">
        <x:v>Jordan Thomas</x:v>
      </x:c>
      <x:c r="C303" t="str">
        <x:v>https://api.dicebear.com/9.x/adventurer/png?seed=DHR-00302-Jordan%20Thomas&amp;size=256&amp;radius=50&amp;backgroundColor=b6e3f4,c0aede,d1d4f9,ffd5dc,ffdfbf</x:v>
      </x:c>
      <x:c r="D303" t="str">
        <x:v>jordan.thomas.302@example.com</x:v>
      </x:c>
      <x:c r="E303" t="str">
        <x:v>+1 (303) 555-0101</x:v>
      </x:c>
      <x:c r="F303" t="str">
        <x:v>Denver, CO</x:v>
      </x:c>
      <x:c r="G303" t="str">
        <x:v>Denver</x:v>
      </x:c>
      <x:c r="H303" t="str">
        <x:v>CO</x:v>
      </x:c>
      <x:c r="I303" s="18" t="str">
        <x:v>80202</x:v>
      </x:c>
      <x:c r="J303" s="15" t="n">
        <x:v>27984.756212569446</x:v>
      </x:c>
      <x:c r="K303" t="n">
        <x:f>INT((DATE(2025,12,31)-J303)/365.25)</x:f>
        <x:v>49</x:v>
      </x:c>
      <x:c r="L303" t="str">
        <x:f>IF(K303&lt;25,"18-24",IF(K303&lt;35,"25-34",IF(K303&lt;45,"35-44",IF(K303&lt;55,"45-54","55+"))))</x:f>
        <x:v>45-54</x:v>
      </x:c>
      <x:c r="M303" s="15" t="n">
        <x:v>43888.25131436343</x:v>
      </x:c>
      <x:c r="N303" t="n">
        <x:f>(YEAR(DATE(2025,12,31))-YEAR(M303))*12+MONTH(DATE(2025,12,31))-MONTH(M303)</x:f>
        <x:v>70</x:v>
      </x:c>
      <x:c r="O303" t="str">
        <x:v>ACTIVE</x:v>
      </x:c>
      <x:c r="P303" t="str">
        <x:v>INDEPENDENT_CONTRACTOR</x:v>
      </x:c>
      <x:c r="Q303" t="str">
        <x:v>CAR</x:v>
      </x:c>
      <x:c r="R303" t="str">
        <x:v>DINNER</x:v>
      </x:c>
      <x:c r="S303" t="n">
        <x:v>25</x:v>
      </x:c>
      <x:c r="T303" t="str">
        <x:v>CLEARED</x:v>
      </x:c>
      <x:c r="U303" t="str">
        <x:v>VALID</x:v>
      </x:c>
      <x:c r="V303" s="16" t="n">
        <x:v>0.9998</x:v>
      </x:c>
      <x:c r="W303" t="str">
        <x:v>English</x:v>
      </x:c>
      <x:c r="X303"/>
      <x:c r="Y303" t="n">
        <x:v>5425</x:v>
      </x:c>
      <x:c r="Z303" s="17" t="n">
        <x:v>4.96</x:v>
      </x:c>
      <x:c r="AA303" s="16" t="n">
        <x:v>0.9065</x:v>
      </x:c>
      <x:c r="AB303" s="16" t="n">
        <x:v>0.9909</x:v>
      </x:c>
      <x:c r="AC303" s="16" t="n">
        <x:v>0.995</x:v>
      </x:c>
      <x:c r="AD303" t="n">
        <x:v>0</x:v>
      </x:c>
      <x:c r="AE303" t="str">
        <x:f>IF(O303&lt;&gt;"ACTIVE","NOT_RATED",IF(AND(Z303&gt;=4.8,AB303&gt;=0.97,AC303&gt;=0.93,AD303=0),"ELITE",IF(AND(Z303&gt;=4.6,AB303&gt;=0.94,AC303&gt;=0.88),"HIGH_PERFORMER",IF(OR(Z303&lt;4.2,AB303&lt;0.85,AD303&gt;=2),"AT_RISK","STANDARD"))))</x:f>
        <x:v>ELITE</x:v>
      </x:c>
      <x:c r="AF303" s="15" t="n">
        <x:v>46016</x:v>
      </x:c>
      <x:c r="AG303" t="str">
        <x:v>VERIFIED</x:v>
      </x:c>
      <x:c r="AH303" t="str">
        <x:v>COMPLETE</x:v>
      </x:c>
      <x:c r="AI303" t="str">
        <x:v>Liam Anderson</x:v>
      </x:c>
      <x:c r="AJ303" t="str">
        <x:v>SPOUSE_PARTNER</x:v>
      </x:c>
      <x:c r="AK303" t="str">
        <x:v>+1 (303) 555-0130</x:v>
      </x:c>
    </x:row>
    <x:row r="304" ht="18" customHeight="1">
      <x:c r="A304" t="str">
        <x:v>DHR-00303</x:v>
      </x:c>
      <x:c r="B304" t="str">
        <x:v>Jordan Thompson</x:v>
      </x:c>
      <x:c r="C304" t="str">
        <x:v>https://api.dicebear.com/9.x/adventurer/png?seed=DHR-00303-Jordan%20Thompson&amp;size=256&amp;radius=50&amp;backgroundColor=b6e3f4,c0aede,d1d4f9,ffd5dc,ffdfbf</x:v>
      </x:c>
      <x:c r="D304" t="str">
        <x:v>jordan.thompson.303@example.com</x:v>
      </x:c>
      <x:c r="E304" t="str">
        <x:v>+1 (702) 555-0102</x:v>
      </x:c>
      <x:c r="F304" t="str">
        <x:v>Las Vegas, NV</x:v>
      </x:c>
      <x:c r="G304" t="str">
        <x:v>Las Vegas</x:v>
      </x:c>
      <x:c r="H304" t="str">
        <x:v>NV</x:v>
      </x:c>
      <x:c r="I304" s="18" t="str">
        <x:v>89101</x:v>
      </x:c>
      <x:c r="J304" s="15" t="n">
        <x:v>33663.07816877315</x:v>
      </x:c>
      <x:c r="K304" t="n">
        <x:f>INT((DATE(2025,12,31)-J304)/365.25)</x:f>
        <x:v>33</x:v>
      </x:c>
      <x:c r="L304" t="str">
        <x:f>IF(K304&lt;25,"18-24",IF(K304&lt;35,"25-34",IF(K304&lt;45,"35-44",IF(K304&lt;55,"45-54","55+"))))</x:f>
        <x:v>25-34</x:v>
      </x:c>
      <x:c r="M304" s="15" t="n">
        <x:v>45927.33963207176</x:v>
      </x:c>
      <x:c r="N304" t="n">
        <x:f>(YEAR(DATE(2025,12,31))-YEAR(M304))*12+MONTH(DATE(2025,12,31))-MONTH(M304)</x:f>
        <x:v>3</x:v>
      </x:c>
      <x:c r="O304" t="str">
        <x:v>ACTIVE</x:v>
      </x:c>
      <x:c r="P304" t="str">
        <x:v>INDEPENDENT_CONTRACTOR</x:v>
      </x:c>
      <x:c r="Q304" t="str">
        <x:v>CAR</x:v>
      </x:c>
      <x:c r="R304" t="str">
        <x:v>WEEKENDS</x:v>
      </x:c>
      <x:c r="S304" t="n">
        <x:v>11</x:v>
      </x:c>
      <x:c r="T304" t="str">
        <x:v>CLEARED</x:v>
      </x:c>
      <x:c r="U304" t="str">
        <x:v>VALID</x:v>
      </x:c>
      <x:c r="V304" s="16" t="n">
        <x:v>0.8529</x:v>
      </x:c>
      <x:c r="W304" t="str">
        <x:v>English</x:v>
      </x:c>
      <x:c r="X304"/>
      <x:c r="Y304" t="n">
        <x:v>149</x:v>
      </x:c>
      <x:c r="Z304" s="17" t="n">
        <x:v>4.47</x:v>
      </x:c>
      <x:c r="AA304" s="16" t="n">
        <x:v>0.8624</x:v>
      </x:c>
      <x:c r="AB304" s="16" t="n">
        <x:v>0.8838</x:v>
      </x:c>
      <x:c r="AC304" s="16" t="n">
        <x:v>0.8903</x:v>
      </x:c>
      <x:c r="AD304" t="n">
        <x:v>0</x:v>
      </x:c>
      <x:c r="AE304" t="str">
        <x:f>IF(O304&lt;&gt;"ACTIVE","NOT_RATED",IF(AND(Z304&gt;=4.8,AB304&gt;=0.97,AC304&gt;=0.93,AD304=0),"ELITE",IF(AND(Z304&gt;=4.6,AB304&gt;=0.94,AC304&gt;=0.88),"HIGH_PERFORMER",IF(OR(Z304&lt;4.2,AB304&lt;0.85,AD304&gt;=2),"AT_RISK","STANDARD"))))</x:f>
        <x:v>STANDARD</x:v>
      </x:c>
      <x:c r="AF304" s="15" t="n">
        <x:v>46012</x:v>
      </x:c>
      <x:c r="AG304" t="str">
        <x:v>VERIFIED</x:v>
      </x:c>
      <x:c r="AH304" t="str">
        <x:v>COMPLETE</x:v>
      </x:c>
      <x:c r="AI304" t="str">
        <x:v>Taylor Clark</x:v>
      </x:c>
      <x:c r="AJ304" t="str">
        <x:v>FRIEND</x:v>
      </x:c>
      <x:c r="AK304" t="str">
        <x:v>+1 (702) 555-0137</x:v>
      </x:c>
    </x:row>
    <x:row r="305" ht="18" customHeight="1">
      <x:c r="A305" t="str">
        <x:v>DHR-00304</x:v>
      </x:c>
      <x:c r="B305" t="str">
        <x:v>Jordan Walker</x:v>
      </x:c>
      <x:c r="C305" t="str">
        <x:v>https://api.dicebear.com/9.x/adventurer/png?seed=DHR-00304-Jordan%20Walker&amp;size=256&amp;radius=50&amp;backgroundColor=b6e3f4,c0aede,d1d4f9,ffd5dc,ffdfbf</x:v>
      </x:c>
      <x:c r="D305" t="str">
        <x:v>jordan.walker.304@example.com</x:v>
      </x:c>
      <x:c r="E305" t="str">
        <x:v>+1 (212) 555-0103</x:v>
      </x:c>
      <x:c r="F305" t="str">
        <x:v>New York, NY</x:v>
      </x:c>
      <x:c r="G305" t="str">
        <x:v>New York</x:v>
      </x:c>
      <x:c r="H305" t="str">
        <x:v>NY</x:v>
      </x:c>
      <x:c r="I305" s="18" t="str">
        <x:v>10001</x:v>
      </x:c>
      <x:c r="J305" s="15" t="n">
        <x:v>25021.520910625</x:v>
      </x:c>
      <x:c r="K305" t="n">
        <x:f>INT((DATE(2025,12,31)-J305)/365.25)</x:f>
        <x:v>57</x:v>
      </x:c>
      <x:c r="L305" t="str">
        <x:f>IF(K305&lt;25,"18-24",IF(K305&lt;35,"25-34",IF(K305&lt;45,"35-44",IF(K305&lt;55,"45-54","55+"))))</x:f>
        <x:v>55+</x:v>
      </x:c>
      <x:c r="M305" s="15" t="n">
        <x:v>43936.013486909724</x:v>
      </x:c>
      <x:c r="N305" t="n">
        <x:f>(YEAR(DATE(2025,12,31))-YEAR(M305))*12+MONTH(DATE(2025,12,31))-MONTH(M305)</x:f>
        <x:v>68</x:v>
      </x:c>
      <x:c r="O305" t="str">
        <x:v>ACTIVE</x:v>
      </x:c>
      <x:c r="P305" t="str">
        <x:v>INDEPENDENT_CONTRACTOR</x:v>
      </x:c>
      <x:c r="Q305" t="str">
        <x:v>CAR</x:v>
      </x:c>
      <x:c r="R305" t="str">
        <x:v>WEEKENDS</x:v>
      </x:c>
      <x:c r="S305" t="n">
        <x:v>8</x:v>
      </x:c>
      <x:c r="T305" t="str">
        <x:v>CLEARED</x:v>
      </x:c>
      <x:c r="U305" t="str">
        <x:v>VALID</x:v>
      </x:c>
      <x:c r="V305" s="16" t="n">
        <x:v>0.864</x:v>
      </x:c>
      <x:c r="W305" t="str">
        <x:v>Portuguese</x:v>
      </x:c>
      <x:c r="X305"/>
      <x:c r="Y305" t="n">
        <x:v>1332</x:v>
      </x:c>
      <x:c r="Z305" s="17" t="n">
        <x:v>4.83</x:v>
      </x:c>
      <x:c r="AA305" s="16" t="n">
        <x:v>0.9471</x:v>
      </x:c>
      <x:c r="AB305" s="16" t="n">
        <x:v>0.998</x:v>
      </x:c>
      <x:c r="AC305" s="16" t="n">
        <x:v>0.8819</x:v>
      </x:c>
      <x:c r="AD305" t="n">
        <x:v>0</x:v>
      </x:c>
      <x:c r="AE305" t="str">
        <x:f>IF(O305&lt;&gt;"ACTIVE","NOT_RATED",IF(AND(Z305&gt;=4.8,AB305&gt;=0.97,AC305&gt;=0.93,AD305=0),"ELITE",IF(AND(Z305&gt;=4.6,AB305&gt;=0.94,AC305&gt;=0.88),"HIGH_PERFORMER",IF(OR(Z305&lt;4.2,AB305&lt;0.85,AD305&gt;=2),"AT_RISK","STANDARD"))))</x:f>
        <x:v>HIGH_PERFORMER</x:v>
      </x:c>
      <x:c r="AF305" s="15" t="n">
        <x:v>46021</x:v>
      </x:c>
      <x:c r="AG305" t="str">
        <x:v>VERIFIED</x:v>
      </x:c>
      <x:c r="AH305" t="str">
        <x:v>COMPLETE</x:v>
      </x:c>
      <x:c r="AI305" t="str">
        <x:v>Jordan Harris</x:v>
      </x:c>
      <x:c r="AJ305" t="str">
        <x:v>SPOUSE_PARTNER</x:v>
      </x:c>
      <x:c r="AK305" t="str">
        <x:v>+1 (212) 555-0144</x:v>
      </x:c>
    </x:row>
    <x:row r="306" ht="18" customHeight="1">
      <x:c r="A306" t="str">
        <x:v>DHR-00305</x:v>
      </x:c>
      <x:c r="B306" t="str">
        <x:v>Jordan White</x:v>
      </x:c>
      <x:c r="C306" t="str">
        <x:v>https://api.dicebear.com/9.x/adventurer/png?seed=DHR-00305-Jordan%20White&amp;size=256&amp;radius=50&amp;backgroundColor=b6e3f4,c0aede,d1d4f9,ffd5dc,ffdfbf</x:v>
      </x:c>
      <x:c r="D306" t="str">
        <x:v>jordan.white.305@example.com</x:v>
      </x:c>
      <x:c r="E306" t="str">
        <x:v>+1 (415) 555-0104</x:v>
      </x:c>
      <x:c r="F306" t="str">
        <x:v>San Francisco, CA</x:v>
      </x:c>
      <x:c r="G306" t="str">
        <x:v>San Francisco</x:v>
      </x:c>
      <x:c r="H306" t="str">
        <x:v>CA</x:v>
      </x:c>
      <x:c r="I306" s="18" t="str">
        <x:v>94103</x:v>
      </x:c>
      <x:c r="J306" s="15" t="n">
        <x:v>31297.03065679398</x:v>
      </x:c>
      <x:c r="K306" t="n">
        <x:f>INT((DATE(2025,12,31)-J306)/365.25)</x:f>
        <x:v>40</x:v>
      </x:c>
      <x:c r="L306" t="str">
        <x:f>IF(K306&lt;25,"18-24",IF(K306&lt;35,"25-34",IF(K306&lt;45,"35-44",IF(K306&lt;55,"45-54","55+"))))</x:f>
        <x:v>35-44</x:v>
      </x:c>
      <x:c r="M306" s="15" t="n">
        <x:v>44801.73493335648</x:v>
      </x:c>
      <x:c r="N306" t="n">
        <x:f>(YEAR(DATE(2025,12,31))-YEAR(M306))*12+MONTH(DATE(2025,12,31))-MONTH(M306)</x:f>
        <x:v>40</x:v>
      </x:c>
      <x:c r="O306" t="str">
        <x:v>ACTIVE</x:v>
      </x:c>
      <x:c r="P306" t="str">
        <x:v>INDEPENDENT_CONTRACTOR</x:v>
      </x:c>
      <x:c r="Q306" t="str">
        <x:v>BICYCLE</x:v>
      </x:c>
      <x:c r="R306" t="str">
        <x:v>WEEKENDS</x:v>
      </x:c>
      <x:c r="S306" t="n">
        <x:v>43</x:v>
      </x:c>
      <x:c r="T306" t="str">
        <x:v>CLEARED</x:v>
      </x:c>
      <x:c r="U306" t="str">
        <x:v>NOT_REQUIRED</x:v>
      </x:c>
      <x:c r="V306" s="16" t="n">
        <x:v>0.8619</x:v>
      </x:c>
      <x:c r="W306" t="str">
        <x:v>English</x:v>
      </x:c>
      <x:c r="X306"/>
      <x:c r="Y306" t="n">
        <x:v>5774</x:v>
      </x:c>
      <x:c r="Z306" s="17" t="n">
        <x:v>4.33</x:v>
      </x:c>
      <x:c r="AA306" s="16" t="n">
        <x:v>0.7221</x:v>
      </x:c>
      <x:c r="AB306" s="16" t="n">
        <x:v>0.8994</x:v>
      </x:c>
      <x:c r="AC306" s="16" t="n">
        <x:v>0.9282</x:v>
      </x:c>
      <x:c r="AD306" t="n">
        <x:v>0</x:v>
      </x:c>
      <x:c r="AE306" t="str">
        <x:f>IF(O306&lt;&gt;"ACTIVE","NOT_RATED",IF(AND(Z306&gt;=4.8,AB306&gt;=0.97,AC306&gt;=0.93,AD306=0),"ELITE",IF(AND(Z306&gt;=4.6,AB306&gt;=0.94,AC306&gt;=0.88),"HIGH_PERFORMER",IF(OR(Z306&lt;4.2,AB306&lt;0.85,AD306&gt;=2),"AT_RISK","STANDARD"))))</x:f>
        <x:v>STANDARD</x:v>
      </x:c>
      <x:c r="AF306" s="15" t="n">
        <x:v>46021</x:v>
      </x:c>
      <x:c r="AG306" t="str">
        <x:v>VERIFIED</x:v>
      </x:c>
      <x:c r="AH306" t="str">
        <x:v>COMPLETE</x:v>
      </x:c>
      <x:c r="AI306" t="str">
        <x:v>Ava Moore</x:v>
      </x:c>
      <x:c r="AJ306" t="str">
        <x:v>OTHER</x:v>
      </x:c>
      <x:c r="AK306" t="str">
        <x:v>+1 (415) 555-0151</x:v>
      </x:c>
    </x:row>
    <x:row r="307" ht="18" customHeight="1">
      <x:c r="A307" t="str">
        <x:v>DHR-00306</x:v>
      </x:c>
      <x:c r="B307" t="str">
        <x:v>Jordan Williams</x:v>
      </x:c>
      <x:c r="C307" t="str">
        <x:v>https://api.dicebear.com/9.x/adventurer/png?seed=DHR-00306-Jordan%20Williams&amp;size=256&amp;radius=50&amp;backgroundColor=b6e3f4,c0aede,d1d4f9,ffd5dc,ffdfbf</x:v>
      </x:c>
      <x:c r="D307" t="str">
        <x:v>jordan.williams.306@example.com</x:v>
      </x:c>
      <x:c r="E307" t="str">
        <x:v>+1 (212) 555-0105</x:v>
      </x:c>
      <x:c r="F307" t="str">
        <x:v>New York, NY</x:v>
      </x:c>
      <x:c r="G307" t="str">
        <x:v>New York</x:v>
      </x:c>
      <x:c r="H307" t="str">
        <x:v>NY</x:v>
      </x:c>
      <x:c r="I307" s="18" t="str">
        <x:v>10001</x:v>
      </x:c>
      <x:c r="J307" s="15" t="n">
        <x:v>32542.370397847222</x:v>
      </x:c>
      <x:c r="K307" t="n">
        <x:f>INT((DATE(2025,12,31)-J307)/365.25)</x:f>
        <x:v>36</x:v>
      </x:c>
      <x:c r="L307" t="str">
        <x:f>IF(K307&lt;25,"18-24",IF(K307&lt;35,"25-34",IF(K307&lt;45,"35-44",IF(K307&lt;55,"45-54","55+"))))</x:f>
        <x:v>35-44</x:v>
      </x:c>
      <x:c r="M307" s="15" t="n">
        <x:v>43947.838043194446</x:v>
      </x:c>
      <x:c r="N307" t="n">
        <x:f>(YEAR(DATE(2025,12,31))-YEAR(M307))*12+MONTH(DATE(2025,12,31))-MONTH(M307)</x:f>
        <x:v>68</x:v>
      </x:c>
      <x:c r="O307" t="str">
        <x:v>PAUSED</x:v>
      </x:c>
      <x:c r="P307" t="str">
        <x:v>INDEPENDENT_CONTRACTOR</x:v>
      </x:c>
      <x:c r="Q307" t="str">
        <x:v>CAR</x:v>
      </x:c>
      <x:c r="R307" t="str">
        <x:v>FLEXIBLE</x:v>
      </x:c>
      <x:c r="S307" t="n">
        <x:v>20</x:v>
      </x:c>
      <x:c r="T307" t="str">
        <x:v>CLEARED</x:v>
      </x:c>
      <x:c r="U307" t="str">
        <x:v>VALID</x:v>
      </x:c>
      <x:c r="V307" s="16" t="n">
        <x:v>0.9111</x:v>
      </x:c>
      <x:c r="W307" t="str">
        <x:v>English</x:v>
      </x:c>
      <x:c r="X307"/>
      <x:c r="Y307" t="n">
        <x:v>3065</x:v>
      </x:c>
      <x:c r="Z307" s="17" t="n">
        <x:v>4.41</x:v>
      </x:c>
      <x:c r="AA307" s="16" t="n">
        <x:v>0.6939</x:v>
      </x:c>
      <x:c r="AB307" s="16" t="n">
        <x:v>0.9954</x:v>
      </x:c>
      <x:c r="AC307" s="16" t="n">
        <x:v>0.9286</x:v>
      </x:c>
      <x:c r="AD307" t="n">
        <x:v>1</x:v>
      </x:c>
      <x:c r="AE307" t="str">
        <x:f>IF(O307&lt;&gt;"ACTIVE","NOT_RATED",IF(AND(Z307&gt;=4.8,AB307&gt;=0.97,AC307&gt;=0.93,AD307=0),"ELITE",IF(AND(Z307&gt;=4.6,AB307&gt;=0.94,AC307&gt;=0.88),"HIGH_PERFORMER",IF(OR(Z307&lt;4.2,AB307&lt;0.85,AD307&gt;=2),"AT_RISK","STANDARD"))))</x:f>
        <x:v>NOT_RATED</x:v>
      </x:c>
      <x:c r="AF307" s="15" t="n">
        <x:v>45930</x:v>
      </x:c>
      <x:c r="AG307" t="str">
        <x:v>VERIFIED</x:v>
      </x:c>
      <x:c r="AH307" t="str">
        <x:v>COMPLETE</x:v>
      </x:c>
      <x:c r="AI307" t="str">
        <x:v>Emma Martin</x:v>
      </x:c>
      <x:c r="AJ307" t="str">
        <x:v>SPOUSE_PARTNER</x:v>
      </x:c>
      <x:c r="AK307" t="str">
        <x:v>+1 (212) 555-0158</x:v>
      </x:c>
    </x:row>
    <x:row r="308" ht="18" customHeight="1">
      <x:c r="A308" t="str">
        <x:v>DHR-00307</x:v>
      </x:c>
      <x:c r="B308" t="str">
        <x:v>Jordan Wilson</x:v>
      </x:c>
      <x:c r="C308" t="str">
        <x:v>https://api.dicebear.com/9.x/adventurer/png?seed=DHR-00307-Jordan%20Wilson&amp;size=256&amp;radius=50&amp;backgroundColor=b6e3f4,c0aede,d1d4f9,ffd5dc,ffdfbf</x:v>
      </x:c>
      <x:c r="D308" t="str">
        <x:v>jordan.wilson.307@example.com</x:v>
      </x:c>
      <x:c r="E308" t="str">
        <x:v>+1 (312) 555-0106</x:v>
      </x:c>
      <x:c r="F308" t="str">
        <x:v>Chicago, IL</x:v>
      </x:c>
      <x:c r="G308" t="str">
        <x:v>Chicago</x:v>
      </x:c>
      <x:c r="H308" t="str">
        <x:v>IL</x:v>
      </x:c>
      <x:c r="I308" s="18" t="str">
        <x:v>60601</x:v>
      </x:c>
      <x:c r="J308" s="15" t="n">
        <x:v>26749.39914449074</x:v>
      </x:c>
      <x:c r="K308" t="n">
        <x:f>INT((DATE(2025,12,31)-J308)/365.25)</x:f>
        <x:v>52</x:v>
      </x:c>
      <x:c r="L308" t="str">
        <x:f>IF(K308&lt;25,"18-24",IF(K308&lt;35,"25-34",IF(K308&lt;45,"35-44",IF(K308&lt;55,"45-54","55+"))))</x:f>
        <x:v>45-54</x:v>
      </x:c>
      <x:c r="M308" s="15" t="n">
        <x:v>44533.51336739583</x:v>
      </x:c>
      <x:c r="N308" t="n">
        <x:f>(YEAR(DATE(2025,12,31))-YEAR(M308))*12+MONTH(DATE(2025,12,31))-MONTH(M308)</x:f>
        <x:v>48</x:v>
      </x:c>
      <x:c r="O308" t="str">
        <x:v>ACTIVE</x:v>
      </x:c>
      <x:c r="P308" t="str">
        <x:v>INDEPENDENT_CONTRACTOR</x:v>
      </x:c>
      <x:c r="Q308" t="str">
        <x:v>BICYCLE</x:v>
      </x:c>
      <x:c r="R308" t="str">
        <x:v>LUNCH</x:v>
      </x:c>
      <x:c r="S308" t="n">
        <x:v>47</x:v>
      </x:c>
      <x:c r="T308" t="str">
        <x:v>CLEARED</x:v>
      </x:c>
      <x:c r="U308" t="str">
        <x:v>NOT_REQUIRED</x:v>
      </x:c>
      <x:c r="V308" s="16" t="n">
        <x:v>0.8009</x:v>
      </x:c>
      <x:c r="W308" t="str">
        <x:v>English</x:v>
      </x:c>
      <x:c r="X308"/>
      <x:c r="Y308" t="n">
        <x:v>7507</x:v>
      </x:c>
      <x:c r="Z308" s="17" t="n">
        <x:v>4.77</x:v>
      </x:c>
      <x:c r="AA308" s="16" t="n">
        <x:v>0.8996</x:v>
      </x:c>
      <x:c r="AB308" s="16" t="n">
        <x:v>0.9903</x:v>
      </x:c>
      <x:c r="AC308" s="16" t="n">
        <x:v>0.8786</x:v>
      </x:c>
      <x:c r="AD308" t="n">
        <x:v>0</x:v>
      </x:c>
      <x:c r="AE308" t="str">
        <x:f>IF(O308&lt;&gt;"ACTIVE","NOT_RATED",IF(AND(Z308&gt;=4.8,AB308&gt;=0.97,AC308&gt;=0.93,AD308=0),"ELITE",IF(AND(Z308&gt;=4.6,AB308&gt;=0.94,AC308&gt;=0.88),"HIGH_PERFORMER",IF(OR(Z308&lt;4.2,AB308&lt;0.85,AD308&gt;=2),"AT_RISK","STANDARD"))))</x:f>
        <x:v>STANDARD</x:v>
      </x:c>
      <x:c r="AF308" s="15" t="n">
        <x:v>46022</x:v>
      </x:c>
      <x:c r="AG308" t="str">
        <x:v>VERIFIED</x:v>
      </x:c>
      <x:c r="AH308" t="str">
        <x:v>COMPLETE</x:v>
      </x:c>
      <x:c r="AI308" t="str">
        <x:v>Drew Lee</x:v>
      </x:c>
      <x:c r="AJ308" t="str">
        <x:v>SPOUSE_PARTNER</x:v>
      </x:c>
      <x:c r="AK308" t="str">
        <x:v>+1 (312) 555-0165</x:v>
      </x:c>
    </x:row>
    <x:row r="309" ht="18" customHeight="1">
      <x:c r="A309" t="str">
        <x:v>DHR-00308</x:v>
      </x:c>
      <x:c r="B309" t="str">
        <x:v>Jordan Young</x:v>
      </x:c>
      <x:c r="C309" t="str">
        <x:v>https://api.dicebear.com/9.x/adventurer/png?seed=DHR-00308-Jordan%20Young&amp;size=256&amp;radius=50&amp;backgroundColor=b6e3f4,c0aede,d1d4f9,ffd5dc,ffdfbf</x:v>
      </x:c>
      <x:c r="D309" t="str">
        <x:v>jordan.young.308@example.com</x:v>
      </x:c>
      <x:c r="E309" t="str">
        <x:v>+1 (713) 555-0107</x:v>
      </x:c>
      <x:c r="F309" t="str">
        <x:v>Houston, TX</x:v>
      </x:c>
      <x:c r="G309" t="str">
        <x:v>Houston</x:v>
      </x:c>
      <x:c r="H309" t="str">
        <x:v>TX</x:v>
      </x:c>
      <x:c r="I309" s="18" t="str">
        <x:v>77002</x:v>
      </x:c>
      <x:c r="J309" s="15" t="n">
        <x:v>29611.698281527777</x:v>
      </x:c>
      <x:c r="K309" t="n">
        <x:f>INT((DATE(2025,12,31)-J309)/365.25)</x:f>
        <x:v>44</x:v>
      </x:c>
      <x:c r="L309" t="str">
        <x:f>IF(K309&lt;25,"18-24",IF(K309&lt;35,"25-34",IF(K309&lt;45,"35-44",IF(K309&lt;55,"45-54","55+"))))</x:f>
        <x:v>35-44</x:v>
      </x:c>
      <x:c r="M309" s="15" t="n">
        <x:v>43592.871010219904</x:v>
      </x:c>
      <x:c r="N309" t="n">
        <x:f>(YEAR(DATE(2025,12,31))-YEAR(M309))*12+MONTH(DATE(2025,12,31))-MONTH(M309)</x:f>
        <x:v>79</x:v>
      </x:c>
      <x:c r="O309" t="str">
        <x:v>ACTIVE</x:v>
      </x:c>
      <x:c r="P309" t="str">
        <x:v>INDEPENDENT_CONTRACTOR</x:v>
      </x:c>
      <x:c r="Q309" t="str">
        <x:v>CAR</x:v>
      </x:c>
      <x:c r="R309" t="str">
        <x:v>FLEXIBLE</x:v>
      </x:c>
      <x:c r="S309" t="n">
        <x:v>45</x:v>
      </x:c>
      <x:c r="T309" t="str">
        <x:v>CLEARED</x:v>
      </x:c>
      <x:c r="U309" t="str">
        <x:v>EXPIRING_SOON</x:v>
      </x:c>
      <x:c r="V309" s="16" t="n">
        <x:v>0.7957</x:v>
      </x:c>
      <x:c r="W309" t="str">
        <x:v>English</x:v>
      </x:c>
      <x:c r="X309"/>
      <x:c r="Y309" t="n">
        <x:v>11117</x:v>
      </x:c>
      <x:c r="Z309" s="17" t="n">
        <x:v>4.4</x:v>
      </x:c>
      <x:c r="AA309" s="16" t="n">
        <x:v>0.99</x:v>
      </x:c>
      <x:c r="AB309" s="16" t="n">
        <x:v>0.95</x:v>
      </x:c>
      <x:c r="AC309" s="16" t="n">
        <x:v>0.9492</x:v>
      </x:c>
      <x:c r="AD309" t="n">
        <x:v>0</x:v>
      </x:c>
      <x:c r="AE309" t="str">
        <x:f>IF(O309&lt;&gt;"ACTIVE","NOT_RATED",IF(AND(Z309&gt;=4.8,AB309&gt;=0.97,AC309&gt;=0.93,AD309=0),"ELITE",IF(AND(Z309&gt;=4.6,AB309&gt;=0.94,AC309&gt;=0.88),"HIGH_PERFORMER",IF(OR(Z309&lt;4.2,AB309&lt;0.85,AD309&gt;=2),"AT_RISK","STANDARD"))))</x:f>
        <x:v>STANDARD</x:v>
      </x:c>
      <x:c r="AF309" s="15" t="n">
        <x:v>46009</x:v>
      </x:c>
      <x:c r="AG309" t="str">
        <x:v>VERIFIED</x:v>
      </x:c>
      <x:c r="AH309" t="str">
        <x:v>COMPLETE</x:v>
      </x:c>
      <x:c r="AI309" t="str">
        <x:v>Ethan Brown</x:v>
      </x:c>
      <x:c r="AJ309" t="str">
        <x:v>SPOUSE_PARTNER</x:v>
      </x:c>
      <x:c r="AK309" t="str">
        <x:v>+1 (713) 555-0172</x:v>
      </x:c>
    </x:row>
    <x:row r="310" ht="18" customHeight="1">
      <x:c r="A310" t="str">
        <x:v>DHR-00309</x:v>
      </x:c>
      <x:c r="B310" t="str">
        <x:v>Liam Anderson</x:v>
      </x:c>
      <x:c r="C310" t="str">
        <x:v>https://api.dicebear.com/9.x/adventurer/png?seed=DHR-00309-Liam%20Anderson&amp;size=256&amp;radius=50&amp;backgroundColor=b6e3f4,c0aede,d1d4f9,ffd5dc,ffdfbf</x:v>
      </x:c>
      <x:c r="D310" t="str">
        <x:v>liam.anderson.309@example.com</x:v>
      </x:c>
      <x:c r="E310" t="str">
        <x:v>+1 (206) 555-0108</x:v>
      </x:c>
      <x:c r="F310" t="str">
        <x:v>Seattle, WA</x:v>
      </x:c>
      <x:c r="G310" t="str">
        <x:v>Seattle</x:v>
      </x:c>
      <x:c r="H310" t="str">
        <x:v>WA</x:v>
      </x:c>
      <x:c r="I310" s="18" t="str">
        <x:v>98101</x:v>
      </x:c>
      <x:c r="J310" s="15" t="n">
        <x:v>27846.19699861111</x:v>
      </x:c>
      <x:c r="K310" t="n">
        <x:f>INT((DATE(2025,12,31)-J310)/365.25)</x:f>
        <x:v>49</x:v>
      </x:c>
      <x:c r="L310" t="str">
        <x:f>IF(K310&lt;25,"18-24",IF(K310&lt;35,"25-34",IF(K310&lt;45,"35-44",IF(K310&lt;55,"45-54","55+"))))</x:f>
        <x:v>45-54</x:v>
      </x:c>
      <x:c r="M310" s="15" t="n">
        <x:v>44342.263936689815</x:v>
      </x:c>
      <x:c r="N310" t="n">
        <x:f>(YEAR(DATE(2025,12,31))-YEAR(M310))*12+MONTH(DATE(2025,12,31))-MONTH(M310)</x:f>
        <x:v>55</x:v>
      </x:c>
      <x:c r="O310" t="str">
        <x:v>ACTIVE</x:v>
      </x:c>
      <x:c r="P310" t="str">
        <x:v>INDEPENDENT_CONTRACTOR</x:v>
      </x:c>
      <x:c r="Q310" t="str">
        <x:v>CAR</x:v>
      </x:c>
      <x:c r="R310" t="str">
        <x:v>WEEKENDS</x:v>
      </x:c>
      <x:c r="S310" t="n">
        <x:v>39</x:v>
      </x:c>
      <x:c r="T310" t="str">
        <x:v>CLEARED</x:v>
      </x:c>
      <x:c r="U310" t="str">
        <x:v>VALID</x:v>
      </x:c>
      <x:c r="V310" s="16" t="n">
        <x:v>0.9598</x:v>
      </x:c>
      <x:c r="W310" t="str">
        <x:v>Spanish</x:v>
      </x:c>
      <x:c r="X310" t="str">
        <x:v>English</x:v>
      </x:c>
      <x:c r="Y310" t="n">
        <x:v>6565</x:v>
      </x:c>
      <x:c r="Z310" s="17" t="n">
        <x:v>4.23</x:v>
      </x:c>
      <x:c r="AA310" s="16" t="n">
        <x:v>0.9575</x:v>
      </x:c>
      <x:c r="AB310" s="16" t="n">
        <x:v>0.9933</x:v>
      </x:c>
      <x:c r="AC310" s="16" t="n">
        <x:v>0.9257</x:v>
      </x:c>
      <x:c r="AD310" t="n">
        <x:v>0</x:v>
      </x:c>
      <x:c r="AE310" t="str">
        <x:f>IF(O310&lt;&gt;"ACTIVE","NOT_RATED",IF(AND(Z310&gt;=4.8,AB310&gt;=0.97,AC310&gt;=0.93,AD310=0),"ELITE",IF(AND(Z310&gt;=4.6,AB310&gt;=0.94,AC310&gt;=0.88),"HIGH_PERFORMER",IF(OR(Z310&lt;4.2,AB310&lt;0.85,AD310&gt;=2),"AT_RISK","STANDARD"))))</x:f>
        <x:v>STANDARD</x:v>
      </x:c>
      <x:c r="AF310" s="15" t="n">
        <x:v>46015</x:v>
      </x:c>
      <x:c r="AG310" t="str">
        <x:v>VERIFIED</x:v>
      </x:c>
      <x:c r="AH310" t="str">
        <x:v>COMPLETE</x:v>
      </x:c>
      <x:c r="AI310" t="str">
        <x:v>Noah Perez</x:v>
      </x:c>
      <x:c r="AJ310" t="str">
        <x:v>SIBLING</x:v>
      </x:c>
      <x:c r="AK310" t="str">
        <x:v>+1 (206) 555-0179</x:v>
      </x:c>
    </x:row>
    <x:row r="311" ht="18" customHeight="1">
      <x:c r="A311" t="str">
        <x:v>DHR-00310</x:v>
      </x:c>
      <x:c r="B311" t="str">
        <x:v>Liam Brown</x:v>
      </x:c>
      <x:c r="C311" t="str">
        <x:v>https://api.dicebear.com/9.x/adventurer/png?seed=DHR-00310-Liam%20Brown&amp;size=256&amp;radius=50&amp;backgroundColor=b6e3f4,c0aede,d1d4f9,ffd5dc,ffdfbf</x:v>
      </x:c>
      <x:c r="D311" t="str">
        <x:v>liam.brown.310@example.com</x:v>
      </x:c>
      <x:c r="E311" t="str">
        <x:v>+1 (305) 555-0109</x:v>
      </x:c>
      <x:c r="F311" t="str">
        <x:v>Miami, FL</x:v>
      </x:c>
      <x:c r="G311" t="str">
        <x:v>Miami</x:v>
      </x:c>
      <x:c r="H311" t="str">
        <x:v>FL</x:v>
      </x:c>
      <x:c r="I311" s="18" t="str">
        <x:v>33130</x:v>
      </x:c>
      <x:c r="J311" s="15" t="n">
        <x:v>24757.646885972223</x:v>
      </x:c>
      <x:c r="K311" t="n">
        <x:f>INT((DATE(2025,12,31)-J311)/365.25)</x:f>
        <x:v>58</x:v>
      </x:c>
      <x:c r="L311" t="str">
        <x:f>IF(K311&lt;25,"18-24",IF(K311&lt;35,"25-34",IF(K311&lt;45,"35-44",IF(K311&lt;55,"45-54","55+"))))</x:f>
        <x:v>55+</x:v>
      </x:c>
      <x:c r="M311" s="15" t="n">
        <x:v>45766.21288002315</x:v>
      </x:c>
      <x:c r="N311" t="n">
        <x:f>(YEAR(DATE(2025,12,31))-YEAR(M311))*12+MONTH(DATE(2025,12,31))-MONTH(M311)</x:f>
        <x:v>8</x:v>
      </x:c>
      <x:c r="O311" t="str">
        <x:v>OFFBOARDED</x:v>
      </x:c>
      <x:c r="P311" t="str">
        <x:v>INDEPENDENT_CONTRACTOR</x:v>
      </x:c>
      <x:c r="Q311" t="str">
        <x:v>CAR</x:v>
      </x:c>
      <x:c r="R311" t="str">
        <x:v>DINNER</x:v>
      </x:c>
      <x:c r="S311" t="n">
        <x:v>25</x:v>
      </x:c>
      <x:c r="T311" t="str">
        <x:v>CLEARED</x:v>
      </x:c>
      <x:c r="U311" t="str">
        <x:v>VALID</x:v>
      </x:c>
      <x:c r="V311" s="16" t="n">
        <x:v>0.7436</x:v>
      </x:c>
      <x:c r="W311" t="str">
        <x:v>English</x:v>
      </x:c>
      <x:c r="X311"/>
      <x:c r="Y311" t="n">
        <x:v>474</x:v>
      </x:c>
      <x:c r="Z311" s="17" t="n">
        <x:v>4.46</x:v>
      </x:c>
      <x:c r="AA311" s="16" t="n">
        <x:v>0.9454</x:v>
      </x:c>
      <x:c r="AB311" s="16" t="n">
        <x:v>0.8804</x:v>
      </x:c>
      <x:c r="AC311" s="16" t="n">
        <x:v>0.8063</x:v>
      </x:c>
      <x:c r="AD311" t="n">
        <x:v>0</x:v>
      </x:c>
      <x:c r="AE311" t="str">
        <x:f>IF(O311&lt;&gt;"ACTIVE","NOT_RATED",IF(AND(Z311&gt;=4.8,AB311&gt;=0.97,AC311&gt;=0.93,AD311=0),"ELITE",IF(AND(Z311&gt;=4.6,AB311&gt;=0.94,AC311&gt;=0.88),"HIGH_PERFORMER",IF(OR(Z311&lt;4.2,AB311&lt;0.85,AD311&gt;=2),"AT_RISK","STANDARD"))))</x:f>
        <x:v>NOT_RATED</x:v>
      </x:c>
      <x:c r="AF311" s="15" t="n">
        <x:v>45842</x:v>
      </x:c>
      <x:c r="AG311" t="str">
        <x:v>VERIFIED</x:v>
      </x:c>
      <x:c r="AH311" t="str">
        <x:v>COMPLETE</x:v>
      </x:c>
      <x:c r="AI311" t="str">
        <x:v>Jordan Jones</x:v>
      </x:c>
      <x:c r="AJ311" t="str">
        <x:v>OTHER</x:v>
      </x:c>
      <x:c r="AK311" t="str">
        <x:v>+1 (305) 555-0186</x:v>
      </x:c>
    </x:row>
    <x:row r="312" ht="18" customHeight="1">
      <x:c r="A312" t="str">
        <x:v>DHR-00311</x:v>
      </x:c>
      <x:c r="B312" t="str">
        <x:v>Liam Davis</x:v>
      </x:c>
      <x:c r="C312" t="str">
        <x:v>https://api.dicebear.com/9.x/adventurer/png?seed=DHR-00311-Liam%20Davis&amp;size=256&amp;radius=50&amp;backgroundColor=b6e3f4,c0aede,d1d4f9,ffd5dc,ffdfbf</x:v>
      </x:c>
      <x:c r="D312" t="str">
        <x:v>liam.davis.311@example.com</x:v>
      </x:c>
      <x:c r="E312" t="str">
        <x:v>+1 (305) 555-0110</x:v>
      </x:c>
      <x:c r="F312" t="str">
        <x:v>Miami, FL</x:v>
      </x:c>
      <x:c r="G312" t="str">
        <x:v>Miami</x:v>
      </x:c>
      <x:c r="H312" t="str">
        <x:v>FL</x:v>
      </x:c>
      <x:c r="I312" s="18" t="str">
        <x:v>33130</x:v>
      </x:c>
      <x:c r="J312" s="15" t="n">
        <x:v>37194.34846696759</x:v>
      </x:c>
      <x:c r="K312" t="n">
        <x:f>INT((DATE(2025,12,31)-J312)/365.25)</x:f>
        <x:v>24</x:v>
      </x:c>
      <x:c r="L312" t="str">
        <x:f>IF(K312&lt;25,"18-24",IF(K312&lt;35,"25-34",IF(K312&lt;45,"35-44",IF(K312&lt;55,"45-54","55+"))))</x:f>
        <x:v>18-24</x:v>
      </x:c>
      <x:c r="M312" s="15" t="n">
        <x:v>45192.02086372685</x:v>
      </x:c>
      <x:c r="N312" t="n">
        <x:f>(YEAR(DATE(2025,12,31))-YEAR(M312))*12+MONTH(DATE(2025,12,31))-MONTH(M312)</x:f>
        <x:v>27</x:v>
      </x:c>
      <x:c r="O312" t="str">
        <x:v>ACTIVE</x:v>
      </x:c>
      <x:c r="P312" t="str">
        <x:v>INDEPENDENT_CONTRACTOR</x:v>
      </x:c>
      <x:c r="Q312" t="str">
        <x:v>CAR</x:v>
      </x:c>
      <x:c r="R312" t="str">
        <x:v>LUNCH</x:v>
      </x:c>
      <x:c r="S312" t="n">
        <x:v>15</x:v>
      </x:c>
      <x:c r="T312" t="str">
        <x:v>CLEARED</x:v>
      </x:c>
      <x:c r="U312" t="str">
        <x:v>VALID</x:v>
      </x:c>
      <x:c r="V312" s="16" t="n">
        <x:v>0.9287</x:v>
      </x:c>
      <x:c r="W312" t="str">
        <x:v>English</x:v>
      </x:c>
      <x:c r="X312" t="str">
        <x:v>Portuguese</x:v>
      </x:c>
      <x:c r="Y312" t="n">
        <x:v>1223</x:v>
      </x:c>
      <x:c r="Z312" s="17" t="n">
        <x:v>4.51</x:v>
      </x:c>
      <x:c r="AA312" s="16" t="n">
        <x:v>0.6754</x:v>
      </x:c>
      <x:c r="AB312" s="16" t="n">
        <x:v>0.9652</x:v>
      </x:c>
      <x:c r="AC312" s="16" t="n">
        <x:v>0.8876</x:v>
      </x:c>
      <x:c r="AD312" t="n">
        <x:v>0</x:v>
      </x:c>
      <x:c r="AE312" t="str">
        <x:f>IF(O312&lt;&gt;"ACTIVE","NOT_RATED",IF(AND(Z312&gt;=4.8,AB312&gt;=0.97,AC312&gt;=0.93,AD312=0),"ELITE",IF(AND(Z312&gt;=4.6,AB312&gt;=0.94,AC312&gt;=0.88),"HIGH_PERFORMER",IF(OR(Z312&lt;4.2,AB312&lt;0.85,AD312&gt;=2),"AT_RISK","STANDARD"))))</x:f>
        <x:v>STANDARD</x:v>
      </x:c>
      <x:c r="AF312" s="15" t="n">
        <x:v>46011</x:v>
      </x:c>
      <x:c r="AG312" t="str">
        <x:v>VERIFIED</x:v>
      </x:c>
      <x:c r="AH312" t="str">
        <x:v>COMPLETE</x:v>
      </x:c>
      <x:c r="AI312" t="str">
        <x:v>Mateo Johnson</x:v>
      </x:c>
      <x:c r="AJ312" t="str">
        <x:v>PARENT</x:v>
      </x:c>
      <x:c r="AK312" t="str">
        <x:v>+1 (305) 555-0193</x:v>
      </x:c>
    </x:row>
    <x:row r="313" ht="18" customHeight="1">
      <x:c r="A313" t="str">
        <x:v>DHR-00312</x:v>
      </x:c>
      <x:c r="B313" t="str">
        <x:v>Liam Garcia</x:v>
      </x:c>
      <x:c r="C313" t="str">
        <x:v>https://api.dicebear.com/9.x/adventurer/png?seed=DHR-00312-Liam%20Garcia&amp;size=256&amp;radius=50&amp;backgroundColor=b6e3f4,c0aede,d1d4f9,ffd5dc,ffdfbf</x:v>
      </x:c>
      <x:c r="D313" t="str">
        <x:v>liam.garcia.312@example.com</x:v>
      </x:c>
      <x:c r="E313" t="str">
        <x:v>+1 (312) 555-0111</x:v>
      </x:c>
      <x:c r="F313" t="str">
        <x:v>Chicago, IL</x:v>
      </x:c>
      <x:c r="G313" t="str">
        <x:v>Chicago</x:v>
      </x:c>
      <x:c r="H313" t="str">
        <x:v>IL</x:v>
      </x:c>
      <x:c r="I313" s="18" t="str">
        <x:v>60601</x:v>
      </x:c>
      <x:c r="J313" s="15" t="n">
        <x:v>34476.34960136574</x:v>
      </x:c>
      <x:c r="K313" t="n">
        <x:f>INT((DATE(2025,12,31)-J313)/365.25)</x:f>
        <x:v>31</x:v>
      </x:c>
      <x:c r="L313" t="str">
        <x:f>IF(K313&lt;25,"18-24",IF(K313&lt;35,"25-34",IF(K313&lt;45,"35-44",IF(K313&lt;55,"45-54","55+"))))</x:f>
        <x:v>25-34</x:v>
      </x:c>
      <x:c r="M313" s="15" t="n">
        <x:v>44390.19770296296</x:v>
      </x:c>
      <x:c r="N313" t="n">
        <x:f>(YEAR(DATE(2025,12,31))-YEAR(M313))*12+MONTH(DATE(2025,12,31))-MONTH(M313)</x:f>
        <x:v>53</x:v>
      </x:c>
      <x:c r="O313" t="str">
        <x:v>OFFBOARDED</x:v>
      </x:c>
      <x:c r="P313" t="str">
        <x:v>INDEPENDENT_CONTRACTOR</x:v>
      </x:c>
      <x:c r="Q313" t="str">
        <x:v>BICYCLE</x:v>
      </x:c>
      <x:c r="R313" t="str">
        <x:v>DINNER</x:v>
      </x:c>
      <x:c r="S313" t="n">
        <x:v>36</x:v>
      </x:c>
      <x:c r="T313" t="str">
        <x:v>CLEARED</x:v>
      </x:c>
      <x:c r="U313" t="str">
        <x:v>NOT_REQUIRED</x:v>
      </x:c>
      <x:c r="V313" s="16" t="n">
        <x:v>0.8547</x:v>
      </x:c>
      <x:c r="W313" t="str">
        <x:v>Spanish</x:v>
      </x:c>
      <x:c r="X313"/>
      <x:c r="Y313" t="n">
        <x:v>3845</x:v>
      </x:c>
      <x:c r="Z313" s="17" t="n">
        <x:v>4.88</x:v>
      </x:c>
      <x:c r="AA313" s="16" t="n">
        <x:v>0.7331</x:v>
      </x:c>
      <x:c r="AB313" s="16" t="n">
        <x:v>0.9246</x:v>
      </x:c>
      <x:c r="AC313" s="16" t="n">
        <x:v>0.8856</x:v>
      </x:c>
      <x:c r="AD313" t="n">
        <x:v>0</x:v>
      </x:c>
      <x:c r="AE313" t="str">
        <x:f>IF(O313&lt;&gt;"ACTIVE","NOT_RATED",IF(AND(Z313&gt;=4.8,AB313&gt;=0.97,AC313&gt;=0.93,AD313=0),"ELITE",IF(AND(Z313&gt;=4.6,AB313&gt;=0.94,AC313&gt;=0.88),"HIGH_PERFORMER",IF(OR(Z313&lt;4.2,AB313&lt;0.85,AD313&gt;=2),"AT_RISK","STANDARD"))))</x:f>
        <x:v>NOT_RATED</x:v>
      </x:c>
      <x:c r="AF313" s="15" t="n">
        <x:v>45391</x:v>
      </x:c>
      <x:c r="AG313" t="str">
        <x:v>VERIFIED</x:v>
      </x:c>
      <x:c r="AH313" t="str">
        <x:v>COMPLETE</x:v>
      </x:c>
      <x:c r="AI313" t="str">
        <x:v>Hayden Thompson</x:v>
      </x:c>
      <x:c r="AJ313" t="str">
        <x:v>FRIEND</x:v>
      </x:c>
      <x:c r="AK313" t="str">
        <x:v>+1 (312) 555-0100</x:v>
      </x:c>
    </x:row>
    <x:row r="314" ht="18" customHeight="1">
      <x:c r="A314" t="str">
        <x:v>DHR-00313</x:v>
      </x:c>
      <x:c r="B314" t="str">
        <x:v>Liam Harris</x:v>
      </x:c>
      <x:c r="C314" t="str">
        <x:v>https://api.dicebear.com/9.x/adventurer/png?seed=DHR-00313-Liam%20Harris&amp;size=256&amp;radius=50&amp;backgroundColor=b6e3f4,c0aede,d1d4f9,ffd5dc,ffdfbf</x:v>
      </x:c>
      <x:c r="D314" t="str">
        <x:v>liam.harris.313@example.com</x:v>
      </x:c>
      <x:c r="E314" t="str">
        <x:v>+1 (713) 555-0112</x:v>
      </x:c>
      <x:c r="F314" t="str">
        <x:v>Houston, TX</x:v>
      </x:c>
      <x:c r="G314" t="str">
        <x:v>Houston</x:v>
      </x:c>
      <x:c r="H314" t="str">
        <x:v>TX</x:v>
      </x:c>
      <x:c r="I314" s="18" t="str">
        <x:v>77002</x:v>
      </x:c>
      <x:c r="J314" s="15" t="n">
        <x:v>32388.364964907407</x:v>
      </x:c>
      <x:c r="K314" t="n">
        <x:f>INT((DATE(2025,12,31)-J314)/365.25)</x:f>
        <x:v>37</x:v>
      </x:c>
      <x:c r="L314" t="str">
        <x:f>IF(K314&lt;25,"18-24",IF(K314&lt;35,"25-34",IF(K314&lt;45,"35-44",IF(K314&lt;55,"45-54","55+"))))</x:f>
        <x:v>35-44</x:v>
      </x:c>
      <x:c r="M314" s="15" t="n">
        <x:v>44095.86974217593</x:v>
      </x:c>
      <x:c r="N314" t="n">
        <x:f>(YEAR(DATE(2025,12,31))-YEAR(M314))*12+MONTH(DATE(2025,12,31))-MONTH(M314)</x:f>
        <x:v>63</x:v>
      </x:c>
      <x:c r="O314" t="str">
        <x:v>ACTIVE</x:v>
      </x:c>
      <x:c r="P314" t="str">
        <x:v>INDEPENDENT_CONTRACTOR</x:v>
      </x:c>
      <x:c r="Q314" t="str">
        <x:v>CAR</x:v>
      </x:c>
      <x:c r="R314" t="str">
        <x:v>DINNER</x:v>
      </x:c>
      <x:c r="S314" t="n">
        <x:v>27</x:v>
      </x:c>
      <x:c r="T314" t="str">
        <x:v>CLEARED</x:v>
      </x:c>
      <x:c r="U314" t="str">
        <x:v>VALID</x:v>
      </x:c>
      <x:c r="V314" s="16" t="n">
        <x:v>0.9653</x:v>
      </x:c>
      <x:c r="W314" t="str">
        <x:v>Spanish</x:v>
      </x:c>
      <x:c r="X314"/>
      <x:c r="Y314" t="n">
        <x:v>5518</x:v>
      </x:c>
      <x:c r="Z314" s="17" t="n">
        <x:v>4.58</x:v>
      </x:c>
      <x:c r="AA314" s="16" t="n">
        <x:v>0.8916</x:v>
      </x:c>
      <x:c r="AB314" s="16" t="n">
        <x:v>0.9029</x:v>
      </x:c>
      <x:c r="AC314" s="16" t="n">
        <x:v>0.879</x:v>
      </x:c>
      <x:c r="AD314" t="n">
        <x:v>0</x:v>
      </x:c>
      <x:c r="AE314" t="str">
        <x:f>IF(O314&lt;&gt;"ACTIVE","NOT_RATED",IF(AND(Z314&gt;=4.8,AB314&gt;=0.97,AC314&gt;=0.93,AD314=0),"ELITE",IF(AND(Z314&gt;=4.6,AB314&gt;=0.94,AC314&gt;=0.88),"HIGH_PERFORMER",IF(OR(Z314&lt;4.2,AB314&lt;0.85,AD314&gt;=2),"AT_RISK","STANDARD"))))</x:f>
        <x:v>STANDARD</x:v>
      </x:c>
      <x:c r="AF314" s="15" t="n">
        <x:v>46014</x:v>
      </x:c>
      <x:c r="AG314" t="str">
        <x:v>VERIFIED</x:v>
      </x:c>
      <x:c r="AH314" t="str">
        <x:v>COMPLETE</x:v>
      </x:c>
      <x:c r="AI314" t="str">
        <x:v>Sofia Taylor</x:v>
      </x:c>
      <x:c r="AJ314" t="str">
        <x:v>SIBLING</x:v>
      </x:c>
      <x:c r="AK314" t="str">
        <x:v>+1 (713) 555-0107</x:v>
      </x:c>
    </x:row>
    <x:row r="315" ht="18" customHeight="1">
      <x:c r="A315" t="str">
        <x:v>DHR-00314</x:v>
      </x:c>
      <x:c r="B315" t="str">
        <x:v>Liam Jackson</x:v>
      </x:c>
      <x:c r="C315" t="str">
        <x:v>https://api.dicebear.com/9.x/adventurer/png?seed=DHR-00314-Liam%20Jackson&amp;size=256&amp;radius=50&amp;backgroundColor=b6e3f4,c0aede,d1d4f9,ffd5dc,ffdfbf</x:v>
      </x:c>
      <x:c r="D315" t="str">
        <x:v>liam.jackson.314@example.com</x:v>
      </x:c>
      <x:c r="E315" t="str">
        <x:v>+1 (404) 555-0113</x:v>
      </x:c>
      <x:c r="F315" t="str">
        <x:v>Atlanta, GA</x:v>
      </x:c>
      <x:c r="G315" t="str">
        <x:v>Atlanta</x:v>
      </x:c>
      <x:c r="H315" t="str">
        <x:v>GA</x:v>
      </x:c>
      <x:c r="I315" s="18" t="str">
        <x:v>30303</x:v>
      </x:c>
      <x:c r="J315" s="15" t="n">
        <x:v>27882.434761886576</x:v>
      </x:c>
      <x:c r="K315" t="n">
        <x:f>INT((DATE(2025,12,31)-J315)/365.25)</x:f>
        <x:v>49</x:v>
      </x:c>
      <x:c r="L315" t="str">
        <x:f>IF(K315&lt;25,"18-24",IF(K315&lt;35,"25-34",IF(K315&lt;45,"35-44",IF(K315&lt;55,"45-54","55+"))))</x:f>
        <x:v>45-54</x:v>
      </x:c>
      <x:c r="M315" s="15" t="n">
        <x:v>44242.03857604167</x:v>
      </x:c>
      <x:c r="N315" t="n">
        <x:f>(YEAR(DATE(2025,12,31))-YEAR(M315))*12+MONTH(DATE(2025,12,31))-MONTH(M315)</x:f>
        <x:v>58</x:v>
      </x:c>
      <x:c r="O315" t="str">
        <x:v>ACTIVE</x:v>
      </x:c>
      <x:c r="P315" t="str">
        <x:v>INDEPENDENT_CONTRACTOR</x:v>
      </x:c>
      <x:c r="Q315" t="str">
        <x:v>CAR</x:v>
      </x:c>
      <x:c r="R315" t="str">
        <x:v>FLEXIBLE</x:v>
      </x:c>
      <x:c r="S315" t="n">
        <x:v>30</x:v>
      </x:c>
      <x:c r="T315" t="str">
        <x:v>CLEARED</x:v>
      </x:c>
      <x:c r="U315" t="str">
        <x:v>VALID</x:v>
      </x:c>
      <x:c r="V315" s="16" t="n">
        <x:v>0.9462</x:v>
      </x:c>
      <x:c r="W315" t="str">
        <x:v>Vietnamese</x:v>
      </x:c>
      <x:c r="X315" t="str">
        <x:v>Spanish</x:v>
      </x:c>
      <x:c r="Y315" t="n">
        <x:v>4259</x:v>
      </x:c>
      <x:c r="Z315" s="17" t="n">
        <x:v>4.71</x:v>
      </x:c>
      <x:c r="AA315" s="16" t="n">
        <x:v>0.9141</x:v>
      </x:c>
      <x:c r="AB315" s="16" t="n">
        <x:v>0.9208</x:v>
      </x:c>
      <x:c r="AC315" s="16" t="n">
        <x:v>0.8643</x:v>
      </x:c>
      <x:c r="AD315" t="n">
        <x:v>0</x:v>
      </x:c>
      <x:c r="AE315" t="str">
        <x:f>IF(O315&lt;&gt;"ACTIVE","NOT_RATED",IF(AND(Z315&gt;=4.8,AB315&gt;=0.97,AC315&gt;=0.93,AD315=0),"ELITE",IF(AND(Z315&gt;=4.6,AB315&gt;=0.94,AC315&gt;=0.88),"HIGH_PERFORMER",IF(OR(Z315&lt;4.2,AB315&lt;0.85,AD315&gt;=2),"AT_RISK","STANDARD"))))</x:f>
        <x:v>STANDARD</x:v>
      </x:c>
      <x:c r="AF315" s="15" t="n">
        <x:v>46018</x:v>
      </x:c>
      <x:c r="AG315" t="str">
        <x:v>VERIFIED</x:v>
      </x:c>
      <x:c r="AH315" t="str">
        <x:v>COMPLETE</x:v>
      </x:c>
      <x:c r="AI315" t="str">
        <x:v>Mia Moore</x:v>
      </x:c>
      <x:c r="AJ315" t="str">
        <x:v>SIBLING</x:v>
      </x:c>
      <x:c r="AK315" t="str">
        <x:v>+1 (404) 555-0114</x:v>
      </x:c>
    </x:row>
    <x:row r="316" ht="18" customHeight="1">
      <x:c r="A316" t="str">
        <x:v>DHR-00315</x:v>
      </x:c>
      <x:c r="B316" t="str">
        <x:v>Liam Jones</x:v>
      </x:c>
      <x:c r="C316" t="str">
        <x:v>https://api.dicebear.com/9.x/adventurer/png?seed=DHR-00315-Liam%20Jones&amp;size=256&amp;radius=50&amp;backgroundColor=b6e3f4,c0aede,d1d4f9,ffd5dc,ffdfbf</x:v>
      </x:c>
      <x:c r="D316" t="str">
        <x:v>liam.jones.315@example.com</x:v>
      </x:c>
      <x:c r="E316" t="str">
        <x:v>+1 (617) 555-0114</x:v>
      </x:c>
      <x:c r="F316" t="str">
        <x:v>Boston, MA</x:v>
      </x:c>
      <x:c r="G316" t="str">
        <x:v>Boston</x:v>
      </x:c>
      <x:c r="H316" t="str">
        <x:v>MA</x:v>
      </x:c>
      <x:c r="I316" s="18" t="str">
        <x:v>02108</x:v>
      </x:c>
      <x:c r="J316" s="15" t="n">
        <x:v>31550.456461817128</x:v>
      </x:c>
      <x:c r="K316" t="n">
        <x:f>INT((DATE(2025,12,31)-J316)/365.25)</x:f>
        <x:v>39</x:v>
      </x:c>
      <x:c r="L316" t="str">
        <x:f>IF(K316&lt;25,"18-24",IF(K316&lt;35,"25-34",IF(K316&lt;45,"35-44",IF(K316&lt;55,"45-54","55+"))))</x:f>
        <x:v>35-44</x:v>
      </x:c>
      <x:c r="M316" s="15" t="n">
        <x:v>45845.71099452546</x:v>
      </x:c>
      <x:c r="N316" t="n">
        <x:f>(YEAR(DATE(2025,12,31))-YEAR(M316))*12+MONTH(DATE(2025,12,31))-MONTH(M316)</x:f>
        <x:v>5</x:v>
      </x:c>
      <x:c r="O316" t="str">
        <x:v>ACTIVE</x:v>
      </x:c>
      <x:c r="P316" t="str">
        <x:v>INDEPENDENT_CONTRACTOR</x:v>
      </x:c>
      <x:c r="Q316" t="str">
        <x:v>SCOOTER</x:v>
      </x:c>
      <x:c r="R316" t="str">
        <x:v>FLEXIBLE</x:v>
      </x:c>
      <x:c r="S316" t="n">
        <x:v>12</x:v>
      </x:c>
      <x:c r="T316" t="str">
        <x:v>CLEARED</x:v>
      </x:c>
      <x:c r="U316" t="str">
        <x:v>VALID</x:v>
      </x:c>
      <x:c r="V316" s="16" t="n">
        <x:v>0.9503</x:v>
      </x:c>
      <x:c r="W316" t="str">
        <x:v>English</x:v>
      </x:c>
      <x:c r="X316"/>
      <x:c r="Y316" t="n">
        <x:v>176</x:v>
      </x:c>
      <x:c r="Z316" s="17" t="n">
        <x:v>4.42</x:v>
      </x:c>
      <x:c r="AA316" s="16" t="n">
        <x:v>0.6983</x:v>
      </x:c>
      <x:c r="AB316" s="16" t="n">
        <x:v>0.8661</x:v>
      </x:c>
      <x:c r="AC316" s="16" t="n">
        <x:v>0.8297</x:v>
      </x:c>
      <x:c r="AD316" t="n">
        <x:v>0</x:v>
      </x:c>
      <x:c r="AE316" t="str">
        <x:f>IF(O316&lt;&gt;"ACTIVE","NOT_RATED",IF(AND(Z316&gt;=4.8,AB316&gt;=0.97,AC316&gt;=0.93,AD316=0),"ELITE",IF(AND(Z316&gt;=4.6,AB316&gt;=0.94,AC316&gt;=0.88),"HIGH_PERFORMER",IF(OR(Z316&lt;4.2,AB316&lt;0.85,AD316&gt;=2),"AT_RISK","STANDARD"))))</x:f>
        <x:v>STANDARD</x:v>
      </x:c>
      <x:c r="AF316" s="15" t="n">
        <x:v>46015</x:v>
      </x:c>
      <x:c r="AG316" t="str">
        <x:v>VERIFIED</x:v>
      </x:c>
      <x:c r="AH316" t="str">
        <x:v>COMPLETE</x:v>
      </x:c>
      <x:c r="AI316" t="str">
        <x:v>Parker Johnson</x:v>
      </x:c>
      <x:c r="AJ316" t="str">
        <x:v>FRIEND</x:v>
      </x:c>
      <x:c r="AK316" t="str">
        <x:v>+1 (617) 555-0121</x:v>
      </x:c>
    </x:row>
    <x:row r="317" ht="18" customHeight="1">
      <x:c r="A317" t="str">
        <x:v>DHR-00316</x:v>
      </x:c>
      <x:c r="B317" t="str">
        <x:v>Liam Lee</x:v>
      </x:c>
      <x:c r="C317" t="str">
        <x:v>https://api.dicebear.com/9.x/adventurer/png?seed=DHR-00316-Liam%20Lee&amp;size=256&amp;radius=50&amp;backgroundColor=b6e3f4,c0aede,d1d4f9,ffd5dc,ffdfbf</x:v>
      </x:c>
      <x:c r="D317" t="str">
        <x:v>liam.lee.316@example.com</x:v>
      </x:c>
      <x:c r="E317" t="str">
        <x:v>+1 (612) 555-0115</x:v>
      </x:c>
      <x:c r="F317" t="str">
        <x:v>Minneapolis, MN</x:v>
      </x:c>
      <x:c r="G317" t="str">
        <x:v>Minneapolis</x:v>
      </x:c>
      <x:c r="H317" t="str">
        <x:v>MN</x:v>
      </x:c>
      <x:c r="I317" s="18" t="str">
        <x:v>55401</x:v>
      </x:c>
      <x:c r="J317" s="15" t="n">
        <x:v>36206.942200150464</x:v>
      </x:c>
      <x:c r="K317" t="n">
        <x:f>INT((DATE(2025,12,31)-J317)/365.25)</x:f>
        <x:v>26</x:v>
      </x:c>
      <x:c r="L317" t="str">
        <x:f>IF(K317&lt;25,"18-24",IF(K317&lt;35,"25-34",IF(K317&lt;45,"35-44",IF(K317&lt;55,"45-54","55+"))))</x:f>
        <x:v>25-34</x:v>
      </x:c>
      <x:c r="M317" s="15" t="n">
        <x:v>44597.365627962965</x:v>
      </x:c>
      <x:c r="N317" t="n">
        <x:f>(YEAR(DATE(2025,12,31))-YEAR(M317))*12+MONTH(DATE(2025,12,31))-MONTH(M317)</x:f>
        <x:v>46</x:v>
      </x:c>
      <x:c r="O317" t="str">
        <x:v>PAUSED</x:v>
      </x:c>
      <x:c r="P317" t="str">
        <x:v>INDEPENDENT_CONTRACTOR</x:v>
      </x:c>
      <x:c r="Q317" t="str">
        <x:v>CAR</x:v>
      </x:c>
      <x:c r="R317" t="str">
        <x:v>DINNER</x:v>
      </x:c>
      <x:c r="S317" t="n">
        <x:v>40</x:v>
      </x:c>
      <x:c r="T317" t="str">
        <x:v>REVIEW_REQUIRED</x:v>
      </x:c>
      <x:c r="U317" t="str">
        <x:v>VALID</x:v>
      </x:c>
      <x:c r="V317" s="16" t="n">
        <x:v>0.95</x:v>
      </x:c>
      <x:c r="W317" t="str">
        <x:v>English</x:v>
      </x:c>
      <x:c r="X317"/>
      <x:c r="Y317" t="n">
        <x:v>7412</x:v>
      </x:c>
      <x:c r="Z317" s="17" t="n">
        <x:v>4.46</x:v>
      </x:c>
      <x:c r="AA317" s="16" t="n">
        <x:v>0.8029</x:v>
      </x:c>
      <x:c r="AB317" s="16" t="n">
        <x:v>0.996</x:v>
      </x:c>
      <x:c r="AC317" s="16" t="n">
        <x:v>0.8452</x:v>
      </x:c>
      <x:c r="AD317" t="n">
        <x:v>0</x:v>
      </x:c>
      <x:c r="AE317" t="str">
        <x:f>IF(O317&lt;&gt;"ACTIVE","NOT_RATED",IF(AND(Z317&gt;=4.8,AB317&gt;=0.97,AC317&gt;=0.93,AD317=0),"ELITE",IF(AND(Z317&gt;=4.6,AB317&gt;=0.94,AC317&gt;=0.88),"HIGH_PERFORMER",IF(OR(Z317&lt;4.2,AB317&lt;0.85,AD317&gt;=2),"AT_RISK","STANDARD"))))</x:f>
        <x:v>NOT_RATED</x:v>
      </x:c>
      <x:c r="AF317" s="15" t="n">
        <x:v>45944</x:v>
      </x:c>
      <x:c r="AG317" t="str">
        <x:v>VERIFIED</x:v>
      </x:c>
      <x:c r="AH317" t="str">
        <x:v>COMPLETE</x:v>
      </x:c>
      <x:c r="AI317" t="str">
        <x:v>Drew Brown</x:v>
      </x:c>
      <x:c r="AJ317" t="str">
        <x:v>FRIEND</x:v>
      </x:c>
      <x:c r="AK317" t="str">
        <x:v>+1 (612) 555-0128</x:v>
      </x:c>
    </x:row>
    <x:row r="318" ht="18" customHeight="1">
      <x:c r="A318" t="str">
        <x:v>DHR-00317</x:v>
      </x:c>
      <x:c r="B318" t="str">
        <x:v>Liam Lewis</x:v>
      </x:c>
      <x:c r="C318" t="str">
        <x:v>https://api.dicebear.com/9.x/adventurer/png?seed=DHR-00317-Liam%20Lewis&amp;size=256&amp;radius=50&amp;backgroundColor=b6e3f4,c0aede,d1d4f9,ffd5dc,ffdfbf</x:v>
      </x:c>
      <x:c r="D318" t="str">
        <x:v>liam.lewis.317@example.com</x:v>
      </x:c>
      <x:c r="E318" t="str">
        <x:v>+1 (303) 555-0116</x:v>
      </x:c>
      <x:c r="F318" t="str">
        <x:v>Denver, CO</x:v>
      </x:c>
      <x:c r="G318" t="str">
        <x:v>Denver</x:v>
      </x:c>
      <x:c r="H318" t="str">
        <x:v>CO</x:v>
      </x:c>
      <x:c r="I318" s="18" t="str">
        <x:v>80202</x:v>
      </x:c>
      <x:c r="J318" s="15" t="n">
        <x:v>34611.89540207176</x:v>
      </x:c>
      <x:c r="K318" t="n">
        <x:f>INT((DATE(2025,12,31)-J318)/365.25)</x:f>
        <x:v>31</x:v>
      </x:c>
      <x:c r="L318" t="str">
        <x:f>IF(K318&lt;25,"18-24",IF(K318&lt;35,"25-34",IF(K318&lt;45,"35-44",IF(K318&lt;55,"45-54","55+"))))</x:f>
        <x:v>25-34</x:v>
      </x:c>
      <x:c r="M318" s="15" t="n">
        <x:v>44014.91932303241</x:v>
      </x:c>
      <x:c r="N318" t="n">
        <x:f>(YEAR(DATE(2025,12,31))-YEAR(M318))*12+MONTH(DATE(2025,12,31))-MONTH(M318)</x:f>
        <x:v>65</x:v>
      </x:c>
      <x:c r="O318" t="str">
        <x:v>ACTIVE</x:v>
      </x:c>
      <x:c r="P318" t="str">
        <x:v>INDEPENDENT_CONTRACTOR</x:v>
      </x:c>
      <x:c r="Q318" t="str">
        <x:v>CAR</x:v>
      </x:c>
      <x:c r="R318" t="str">
        <x:v>LUNCH</x:v>
      </x:c>
      <x:c r="S318" t="n">
        <x:v>38</x:v>
      </x:c>
      <x:c r="T318" t="str">
        <x:v>CLEARED</x:v>
      </x:c>
      <x:c r="U318" t="str">
        <x:v>VALID</x:v>
      </x:c>
      <x:c r="V318" s="16" t="n">
        <x:v>0.8314</x:v>
      </x:c>
      <x:c r="W318" t="str">
        <x:v>English</x:v>
      </x:c>
      <x:c r="X318"/>
      <x:c r="Y318" t="n">
        <x:v>7571</x:v>
      </x:c>
      <x:c r="Z318" s="17" t="n">
        <x:v>4.41</x:v>
      </x:c>
      <x:c r="AA318" s="16" t="n">
        <x:v>0.8295</x:v>
      </x:c>
      <x:c r="AB318" s="16" t="n">
        <x:v>0.993</x:v>
      </x:c>
      <x:c r="AC318" s="16" t="n">
        <x:v>0.8832</x:v>
      </x:c>
      <x:c r="AD318" t="n">
        <x:v>0</x:v>
      </x:c>
      <x:c r="AE318" t="str">
        <x:f>IF(O318&lt;&gt;"ACTIVE","NOT_RATED",IF(AND(Z318&gt;=4.8,AB318&gt;=0.97,AC318&gt;=0.93,AD318=0),"ELITE",IF(AND(Z318&gt;=4.6,AB318&gt;=0.94,AC318&gt;=0.88),"HIGH_PERFORMER",IF(OR(Z318&lt;4.2,AB318&lt;0.85,AD318&gt;=2),"AT_RISK","STANDARD"))))</x:f>
        <x:v>STANDARD</x:v>
      </x:c>
      <x:c r="AF318" s="15" t="n">
        <x:v>46019</x:v>
      </x:c>
      <x:c r="AG318" t="str">
        <x:v>VERIFIED</x:v>
      </x:c>
      <x:c r="AH318" t="str">
        <x:v>COMPLETE</x:v>
      </x:c>
      <x:c r="AI318" t="str">
        <x:v>Jordan Thomas</x:v>
      </x:c>
      <x:c r="AJ318" t="str">
        <x:v>SPOUSE_PARTNER</x:v>
      </x:c>
      <x:c r="AK318" t="str">
        <x:v>+1 (303) 555-0135</x:v>
      </x:c>
    </x:row>
    <x:row r="319" ht="18" customHeight="1">
      <x:c r="A319" t="str">
        <x:v>DHR-00318</x:v>
      </x:c>
      <x:c r="B319" t="str">
        <x:v>Liam Martinez</x:v>
      </x:c>
      <x:c r="C319" t="str">
        <x:v>https://api.dicebear.com/9.x/adventurer/png?seed=DHR-00318-Liam%20Martinez&amp;size=256&amp;radius=50&amp;backgroundColor=b6e3f4,c0aede,d1d4f9,ffd5dc,ffdfbf</x:v>
      </x:c>
      <x:c r="D319" t="str">
        <x:v>liam.martinez.318@example.com</x:v>
      </x:c>
      <x:c r="E319" t="str">
        <x:v>+1 (303) 555-0117</x:v>
      </x:c>
      <x:c r="F319" t="str">
        <x:v>Denver, CO</x:v>
      </x:c>
      <x:c r="G319" t="str">
        <x:v>Denver</x:v>
      </x:c>
      <x:c r="H319" t="str">
        <x:v>CO</x:v>
      </x:c>
      <x:c r="I319" s="18" t="str">
        <x:v>80202</x:v>
      </x:c>
      <x:c r="J319" s="15" t="n">
        <x:v>24109.166867118056</x:v>
      </x:c>
      <x:c r="K319" t="n">
        <x:f>INT((DATE(2025,12,31)-J319)/365.25)</x:f>
        <x:v>59</x:v>
      </x:c>
      <x:c r="L319" t="str">
        <x:f>IF(K319&lt;25,"18-24",IF(K319&lt;35,"25-34",IF(K319&lt;45,"35-44",IF(K319&lt;55,"45-54","55+"))))</x:f>
        <x:v>55+</x:v>
      </x:c>
      <x:c r="M319" s="15" t="n">
        <x:v>45510.794176840274</x:v>
      </x:c>
      <x:c r="N319" t="n">
        <x:f>(YEAR(DATE(2025,12,31))-YEAR(M319))*12+MONTH(DATE(2025,12,31))-MONTH(M319)</x:f>
        <x:v>16</x:v>
      </x:c>
      <x:c r="O319" t="str">
        <x:v>PAUSED</x:v>
      </x:c>
      <x:c r="P319" t="str">
        <x:v>INDEPENDENT_CONTRACTOR</x:v>
      </x:c>
      <x:c r="Q319" t="str">
        <x:v>CAR</x:v>
      </x:c>
      <x:c r="R319" t="str">
        <x:v>FLEXIBLE</x:v>
      </x:c>
      <x:c r="S319" t="n">
        <x:v>36</x:v>
      </x:c>
      <x:c r="T319" t="str">
        <x:v>CLEARED</x:v>
      </x:c>
      <x:c r="U319" t="str">
        <x:v>VALID</x:v>
      </x:c>
      <x:c r="V319" s="16" t="n">
        <x:v>0.8238</x:v>
      </x:c>
      <x:c r="W319" t="str">
        <x:v>English</x:v>
      </x:c>
      <x:c r="X319"/>
      <x:c r="Y319" t="n">
        <x:v>2460</x:v>
      </x:c>
      <x:c r="Z319" s="17" t="n">
        <x:v>4.61</x:v>
      </x:c>
      <x:c r="AA319" s="16" t="n">
        <x:v>0.8194</x:v>
      </x:c>
      <x:c r="AB319" s="16" t="n">
        <x:v>0.8751</x:v>
      </x:c>
      <x:c r="AC319" s="16" t="n">
        <x:v>0.932</x:v>
      </x:c>
      <x:c r="AD319" t="n">
        <x:v>0</x:v>
      </x:c>
      <x:c r="AE319" t="str">
        <x:f>IF(O319&lt;&gt;"ACTIVE","NOT_RATED",IF(AND(Z319&gt;=4.8,AB319&gt;=0.97,AC319&gt;=0.93,AD319=0),"ELITE",IF(AND(Z319&gt;=4.6,AB319&gt;=0.94,AC319&gt;=0.88),"HIGH_PERFORMER",IF(OR(Z319&lt;4.2,AB319&lt;0.85,AD319&gt;=2),"AT_RISK","STANDARD"))))</x:f>
        <x:v>NOT_RATED</x:v>
      </x:c>
      <x:c r="AF319" s="15" t="n">
        <x:v>45948</x:v>
      </x:c>
      <x:c r="AG319" t="str">
        <x:v>VERIFIED</x:v>
      </x:c>
      <x:c r="AH319" t="str">
        <x:v>COMPLETE</x:v>
      </x:c>
      <x:c r="AI319" t="str">
        <x:v>Lucas Garcia</x:v>
      </x:c>
      <x:c r="AJ319" t="str">
        <x:v>FRIEND</x:v>
      </x:c>
      <x:c r="AK319" t="str">
        <x:v>+1 (303) 555-0142</x:v>
      </x:c>
    </x:row>
    <x:row r="320" ht="18" customHeight="1">
      <x:c r="A320" t="str">
        <x:v>DHR-00319</x:v>
      </x:c>
      <x:c r="B320" t="str">
        <x:v>Liam Miller</x:v>
      </x:c>
      <x:c r="C320" t="str">
        <x:v>https://api.dicebear.com/9.x/adventurer/png?seed=DHR-00319-Liam%20Miller&amp;size=256&amp;radius=50&amp;backgroundColor=b6e3f4,c0aede,d1d4f9,ffd5dc,ffdfbf</x:v>
      </x:c>
      <x:c r="D320" t="str">
        <x:v>liam.miller.319@example.com</x:v>
      </x:c>
      <x:c r="E320" t="str">
        <x:v>+1 (617) 555-0118</x:v>
      </x:c>
      <x:c r="F320" t="str">
        <x:v>Boston, MA</x:v>
      </x:c>
      <x:c r="G320" t="str">
        <x:v>Boston</x:v>
      </x:c>
      <x:c r="H320" t="str">
        <x:v>MA</x:v>
      </x:c>
      <x:c r="I320" s="18" t="str">
        <x:v>02108</x:v>
      </x:c>
      <x:c r="J320" s="15" t="n">
        <x:v>25343.798863761574</x:v>
      </x:c>
      <x:c r="K320" t="n">
        <x:f>INT((DATE(2025,12,31)-J320)/365.25)</x:f>
        <x:v>56</x:v>
      </x:c>
      <x:c r="L320" t="str">
        <x:f>IF(K320&lt;25,"18-24",IF(K320&lt;35,"25-34",IF(K320&lt;45,"35-44",IF(K320&lt;55,"45-54","55+"))))</x:f>
        <x:v>55+</x:v>
      </x:c>
      <x:c r="M320" s="15" t="n">
        <x:v>44036.90993123843</x:v>
      </x:c>
      <x:c r="N320" t="n">
        <x:f>(YEAR(DATE(2025,12,31))-YEAR(M320))*12+MONTH(DATE(2025,12,31))-MONTH(M320)</x:f>
        <x:v>65</x:v>
      </x:c>
      <x:c r="O320" t="str">
        <x:v>OFFBOARDED</x:v>
      </x:c>
      <x:c r="P320" t="str">
        <x:v>INDEPENDENT_CONTRACTOR</x:v>
      </x:c>
      <x:c r="Q320" t="str">
        <x:v>SCOOTER</x:v>
      </x:c>
      <x:c r="R320" t="str">
        <x:v>WEEKENDS</x:v>
      </x:c>
      <x:c r="S320" t="n">
        <x:v>29</x:v>
      </x:c>
      <x:c r="T320" t="str">
        <x:v>EXPIRED</x:v>
      </x:c>
      <x:c r="U320" t="str">
        <x:v>VALID</x:v>
      </x:c>
      <x:c r="V320" s="16" t="n">
        <x:v>0.8468</x:v>
      </x:c>
      <x:c r="W320" t="str">
        <x:v>English</x:v>
      </x:c>
      <x:c r="X320"/>
      <x:c r="Y320" t="n">
        <x:v>7008</x:v>
      </x:c>
      <x:c r="Z320" s="17" t="n">
        <x:v>4.99</x:v>
      </x:c>
      <x:c r="AA320" s="16" t="n">
        <x:v>0.7433</x:v>
      </x:c>
      <x:c r="AB320" s="16" t="n">
        <x:v>0.9616</x:v>
      </x:c>
      <x:c r="AC320" s="16" t="n">
        <x:v>0.8942</x:v>
      </x:c>
      <x:c r="AD320" t="n">
        <x:v>0</x:v>
      </x:c>
      <x:c r="AE320" t="str">
        <x:f>IF(O320&lt;&gt;"ACTIVE","NOT_RATED",IF(AND(Z320&gt;=4.8,AB320&gt;=0.97,AC320&gt;=0.93,AD320=0),"ELITE",IF(AND(Z320&gt;=4.6,AB320&gt;=0.94,AC320&gt;=0.88),"HIGH_PERFORMER",IF(OR(Z320&lt;4.2,AB320&lt;0.85,AD320&gt;=2),"AT_RISK","STANDARD"))))</x:f>
        <x:v>NOT_RATED</x:v>
      </x:c>
      <x:c r="AF320" s="15" t="n">
        <x:v>45482</x:v>
      </x:c>
      <x:c r="AG320" t="str">
        <x:v>VERIFIED</x:v>
      </x:c>
      <x:c r="AH320" t="str">
        <x:v>COMPLETE</x:v>
      </x:c>
      <x:c r="AI320" t="str">
        <x:v>Alex Young</x:v>
      </x:c>
      <x:c r="AJ320" t="str">
        <x:v>SIBLING</x:v>
      </x:c>
      <x:c r="AK320" t="str">
        <x:v>+1 (617) 555-0149</x:v>
      </x:c>
    </x:row>
    <x:row r="321" ht="18" customHeight="1">
      <x:c r="A321" t="str">
        <x:v>DHR-00320</x:v>
      </x:c>
      <x:c r="B321" t="str">
        <x:v>Liam Moore</x:v>
      </x:c>
      <x:c r="C321" t="str">
        <x:v>https://api.dicebear.com/9.x/adventurer/png?seed=DHR-00320-Liam%20Moore&amp;size=256&amp;radius=50&amp;backgroundColor=b6e3f4,c0aede,d1d4f9,ffd5dc,ffdfbf</x:v>
      </x:c>
      <x:c r="D321" t="str">
        <x:v>liam.moore.320@example.com</x:v>
      </x:c>
      <x:c r="E321" t="str">
        <x:v>+1 (602) 555-0119</x:v>
      </x:c>
      <x:c r="F321" t="str">
        <x:v>Phoenix, AZ</x:v>
      </x:c>
      <x:c r="G321" t="str">
        <x:v>Phoenix</x:v>
      </x:c>
      <x:c r="H321" t="str">
        <x:v>AZ</x:v>
      </x:c>
      <x:c r="I321" s="18" t="str">
        <x:v>85004</x:v>
      </x:c>
      <x:c r="J321" s="15" t="n">
        <x:v>32978.358450810185</x:v>
      </x:c>
      <x:c r="K321" t="n">
        <x:f>INT((DATE(2025,12,31)-J321)/365.25)</x:f>
        <x:v>35</x:v>
      </x:c>
      <x:c r="L321" t="str">
        <x:f>IF(K321&lt;25,"18-24",IF(K321&lt;35,"25-34",IF(K321&lt;45,"35-44",IF(K321&lt;55,"45-54","55+"))))</x:f>
        <x:v>35-44</x:v>
      </x:c>
      <x:c r="M321" s="15" t="n">
        <x:v>45966.899354629626</x:v>
      </x:c>
      <x:c r="N321" t="n">
        <x:f>(YEAR(DATE(2025,12,31))-YEAR(M321))*12+MONTH(DATE(2025,12,31))-MONTH(M321)</x:f>
        <x:v>1</x:v>
      </x:c>
      <x:c r="O321" t="str">
        <x:v>ACTIVE</x:v>
      </x:c>
      <x:c r="P321" t="str">
        <x:v>INDEPENDENT_CONTRACTOR</x:v>
      </x:c>
      <x:c r="Q321" t="str">
        <x:v>CAR</x:v>
      </x:c>
      <x:c r="R321" t="str">
        <x:v>DINNER</x:v>
      </x:c>
      <x:c r="S321" t="n">
        <x:v>11</x:v>
      </x:c>
      <x:c r="T321" t="str">
        <x:v>CLEARED</x:v>
      </x:c>
      <x:c r="U321" t="str">
        <x:v>VALID</x:v>
      </x:c>
      <x:c r="V321" s="16" t="n">
        <x:v>0.9338</x:v>
      </x:c>
      <x:c r="W321" t="str">
        <x:v>Spanish</x:v>
      </x:c>
      <x:c r="X321"/>
      <x:c r="Y321" t="n">
        <x:v>81</x:v>
      </x:c>
      <x:c r="Z321" s="17" t="n">
        <x:v>4.91</x:v>
      </x:c>
      <x:c r="AA321" s="16" t="n">
        <x:v>0.6947</x:v>
      </x:c>
      <x:c r="AB321" s="16" t="n">
        <x:v>0.9441</x:v>
      </x:c>
      <x:c r="AC321" s="16" t="n">
        <x:v>0.9411</x:v>
      </x:c>
      <x:c r="AD321" t="n">
        <x:v>0</x:v>
      </x:c>
      <x:c r="AE321" t="str">
        <x:f>IF(O321&lt;&gt;"ACTIVE","NOT_RATED",IF(AND(Z321&gt;=4.8,AB321&gt;=0.97,AC321&gt;=0.93,AD321=0),"ELITE",IF(AND(Z321&gt;=4.6,AB321&gt;=0.94,AC321&gt;=0.88),"HIGH_PERFORMER",IF(OR(Z321&lt;4.2,AB321&lt;0.85,AD321&gt;=2),"AT_RISK","STANDARD"))))</x:f>
        <x:v>HIGH_PERFORMER</x:v>
      </x:c>
      <x:c r="AF321" s="15" t="n">
        <x:v>46010</x:v>
      </x:c>
      <x:c r="AG321" t="str">
        <x:v>VERIFIED</x:v>
      </x:c>
      <x:c r="AH321" t="str">
        <x:v>COMPLETE</x:v>
      </x:c>
      <x:c r="AI321" t="str">
        <x:v>Skyler Perez</x:v>
      </x:c>
      <x:c r="AJ321" t="str">
        <x:v>SIBLING</x:v>
      </x:c>
      <x:c r="AK321" t="str">
        <x:v>+1 (602) 555-0156</x:v>
      </x:c>
    </x:row>
    <x:row r="322" ht="18" customHeight="1">
      <x:c r="A322" t="str">
        <x:v>DHR-00321</x:v>
      </x:c>
      <x:c r="B322" t="str">
        <x:v>Liam Perez</x:v>
      </x:c>
      <x:c r="C322" t="str">
        <x:v>https://api.dicebear.com/9.x/adventurer/png?seed=DHR-00321-Liam%20Perez&amp;size=256&amp;radius=50&amp;backgroundColor=b6e3f4,c0aede,d1d4f9,ffd5dc,ffdfbf</x:v>
      </x:c>
      <x:c r="D322" t="str">
        <x:v>liam.perez.321@example.com</x:v>
      </x:c>
      <x:c r="E322" t="str">
        <x:v>+1 (404) 555-0120</x:v>
      </x:c>
      <x:c r="F322" t="str">
        <x:v>Atlanta, GA</x:v>
      </x:c>
      <x:c r="G322" t="str">
        <x:v>Atlanta</x:v>
      </x:c>
      <x:c r="H322" t="str">
        <x:v>GA</x:v>
      </x:c>
      <x:c r="I322" s="18" t="str">
        <x:v>30303</x:v>
      </x:c>
      <x:c r="J322" s="15" t="n">
        <x:v>23897.125864930556</x:v>
      </x:c>
      <x:c r="K322" t="n">
        <x:f>INT((DATE(2025,12,31)-J322)/365.25)</x:f>
        <x:v>60</x:v>
      </x:c>
      <x:c r="L322" t="str">
        <x:f>IF(K322&lt;25,"18-24",IF(K322&lt;35,"25-34",IF(K322&lt;45,"35-44",IF(K322&lt;55,"45-54","55+"))))</x:f>
        <x:v>55+</x:v>
      </x:c>
      <x:c r="M322" s="15" t="n">
        <x:v>45893.032971863424</x:v>
      </x:c>
      <x:c r="N322" t="n">
        <x:f>(YEAR(DATE(2025,12,31))-YEAR(M322))*12+MONTH(DATE(2025,12,31))-MONTH(M322)</x:f>
        <x:v>4</x:v>
      </x:c>
      <x:c r="O322" t="str">
        <x:v>ACTIVE</x:v>
      </x:c>
      <x:c r="P322" t="str">
        <x:v>INDEPENDENT_CONTRACTOR</x:v>
      </x:c>
      <x:c r="Q322" t="str">
        <x:v>CAR</x:v>
      </x:c>
      <x:c r="R322" t="str">
        <x:v>FLEXIBLE</x:v>
      </x:c>
      <x:c r="S322" t="n">
        <x:v>39</x:v>
      </x:c>
      <x:c r="T322" t="str">
        <x:v>CLEARED</x:v>
      </x:c>
      <x:c r="U322" t="str">
        <x:v>VALID</x:v>
      </x:c>
      <x:c r="V322" s="16" t="n">
        <x:v>0.9597</x:v>
      </x:c>
      <x:c r="W322" t="str">
        <x:v>English</x:v>
      </x:c>
      <x:c r="X322"/>
      <x:c r="Y322" t="n">
        <x:v>302</x:v>
      </x:c>
      <x:c r="Z322" s="17" t="n">
        <x:v>4.84</x:v>
      </x:c>
      <x:c r="AA322" s="16" t="n">
        <x:v>0.8816</x:v>
      </x:c>
      <x:c r="AB322" s="16" t="n">
        <x:v>0.972</x:v>
      </x:c>
      <x:c r="AC322" s="16" t="n">
        <x:v>0.8364</x:v>
      </x:c>
      <x:c r="AD322" t="n">
        <x:v>0</x:v>
      </x:c>
      <x:c r="AE322" t="str">
        <x:f>IF(O322&lt;&gt;"ACTIVE","NOT_RATED",IF(AND(Z322&gt;=4.8,AB322&gt;=0.97,AC322&gt;=0.93,AD322=0),"ELITE",IF(AND(Z322&gt;=4.6,AB322&gt;=0.94,AC322&gt;=0.88),"HIGH_PERFORMER",IF(OR(Z322&lt;4.2,AB322&lt;0.85,AD322&gt;=2),"AT_RISK","STANDARD"))))</x:f>
        <x:v>STANDARD</x:v>
      </x:c>
      <x:c r="AF322" s="15" t="n">
        <x:v>46018</x:v>
      </x:c>
      <x:c r="AG322" t="str">
        <x:v>VERIFIED</x:v>
      </x:c>
      <x:c r="AH322" t="str">
        <x:v>COMPLETE</x:v>
      </x:c>
      <x:c r="AI322" t="str">
        <x:v>Devin Johnson</x:v>
      </x:c>
      <x:c r="AJ322" t="str">
        <x:v>FRIEND</x:v>
      </x:c>
      <x:c r="AK322" t="str">
        <x:v>+1 (404) 555-0163</x:v>
      </x:c>
    </x:row>
    <x:row r="323" ht="18" customHeight="1">
      <x:c r="A323" t="str">
        <x:v>DHR-00322</x:v>
      </x:c>
      <x:c r="B323" t="str">
        <x:v>Liam Taylor</x:v>
      </x:c>
      <x:c r="C323" t="str">
        <x:v>https://api.dicebear.com/9.x/adventurer/png?seed=DHR-00322-Liam%20Taylor&amp;size=256&amp;radius=50&amp;backgroundColor=b6e3f4,c0aede,d1d4f9,ffd5dc,ffdfbf</x:v>
      </x:c>
      <x:c r="D323" t="str">
        <x:v>liam.taylor.322@example.com</x:v>
      </x:c>
      <x:c r="E323" t="str">
        <x:v>+1 (713) 555-0121</x:v>
      </x:c>
      <x:c r="F323" t="str">
        <x:v>Houston, TX</x:v>
      </x:c>
      <x:c r="G323" t="str">
        <x:v>Houston</x:v>
      </x:c>
      <x:c r="H323" t="str">
        <x:v>TX</x:v>
      </x:c>
      <x:c r="I323" s="18" t="str">
        <x:v>77002</x:v>
      </x:c>
      <x:c r="J323" s="15" t="n">
        <x:v>37369.23617769676</x:v>
      </x:c>
      <x:c r="K323" t="n">
        <x:f>INT((DATE(2025,12,31)-J323)/365.25)</x:f>
        <x:v>23</x:v>
      </x:c>
      <x:c r="L323" t="str">
        <x:f>IF(K323&lt;25,"18-24",IF(K323&lt;35,"25-34",IF(K323&lt;45,"35-44",IF(K323&lt;55,"45-54","55+"))))</x:f>
        <x:v>18-24</x:v>
      </x:c>
      <x:c r="M323" s="15" t="n">
        <x:v>44904.97490165509</x:v>
      </x:c>
      <x:c r="N323" t="n">
        <x:f>(YEAR(DATE(2025,12,31))-YEAR(M323))*12+MONTH(DATE(2025,12,31))-MONTH(M323)</x:f>
        <x:v>36</x:v>
      </x:c>
      <x:c r="O323" t="str">
        <x:v>ACTIVE</x:v>
      </x:c>
      <x:c r="P323" t="str">
        <x:v>INDEPENDENT_CONTRACTOR</x:v>
      </x:c>
      <x:c r="Q323" t="str">
        <x:v>BICYCLE</x:v>
      </x:c>
      <x:c r="R323" t="str">
        <x:v>LUNCH</x:v>
      </x:c>
      <x:c r="S323" t="n">
        <x:v>14</x:v>
      </x:c>
      <x:c r="T323" t="str">
        <x:v>CLEARED</x:v>
      </x:c>
      <x:c r="U323" t="str">
        <x:v>NOT_REQUIRED</x:v>
      </x:c>
      <x:c r="V323" s="16" t="n">
        <x:v>0.8466</x:v>
      </x:c>
      <x:c r="W323" t="str">
        <x:v>English</x:v>
      </x:c>
      <x:c r="X323"/>
      <x:c r="Y323" t="n">
        <x:v>1705</x:v>
      </x:c>
      <x:c r="Z323" s="17" t="n">
        <x:v>4.4</x:v>
      </x:c>
      <x:c r="AA323" s="16" t="n">
        <x:v>0.8613</x:v>
      </x:c>
      <x:c r="AB323" s="16" t="n">
        <x:v>0.9384</x:v>
      </x:c>
      <x:c r="AC323" s="16" t="n">
        <x:v>0.847</x:v>
      </x:c>
      <x:c r="AD323" t="n">
        <x:v>0</x:v>
      </x:c>
      <x:c r="AE323" t="str">
        <x:f>IF(O323&lt;&gt;"ACTIVE","NOT_RATED",IF(AND(Z323&gt;=4.8,AB323&gt;=0.97,AC323&gt;=0.93,AD323=0),"ELITE",IF(AND(Z323&gt;=4.6,AB323&gt;=0.94,AC323&gt;=0.88),"HIGH_PERFORMER",IF(OR(Z323&lt;4.2,AB323&lt;0.85,AD323&gt;=2),"AT_RISK","STANDARD"))))</x:f>
        <x:v>STANDARD</x:v>
      </x:c>
      <x:c r="AF323" s="15" t="n">
        <x:v>46018</x:v>
      </x:c>
      <x:c r="AG323" t="str">
        <x:v>VERIFIED</x:v>
      </x:c>
      <x:c r="AH323" t="str">
        <x:v>COMPLETE</x:v>
      </x:c>
      <x:c r="AI323" t="str">
        <x:v>Reese Thompson</x:v>
      </x:c>
      <x:c r="AJ323" t="str">
        <x:v>SPOUSE_PARTNER</x:v>
      </x:c>
      <x:c r="AK323" t="str">
        <x:v>+1 (713) 555-0170</x:v>
      </x:c>
    </x:row>
    <x:row r="324" ht="18" customHeight="1">
      <x:c r="A324" t="str">
        <x:v>DHR-00323</x:v>
      </x:c>
      <x:c r="B324" t="str">
        <x:v>Liam Thomas</x:v>
      </x:c>
      <x:c r="C324" t="str">
        <x:v>https://api.dicebear.com/9.x/adventurer/png?seed=DHR-00323-Liam%20Thomas&amp;size=256&amp;radius=50&amp;backgroundColor=b6e3f4,c0aede,d1d4f9,ffd5dc,ffdfbf</x:v>
      </x:c>
      <x:c r="D324" t="str">
        <x:v>liam.thomas.323@example.com</x:v>
      </x:c>
      <x:c r="E324" t="str">
        <x:v>+1 (408) 555-0122</x:v>
      </x:c>
      <x:c r="F324" t="str">
        <x:v>San Jose, CA</x:v>
      </x:c>
      <x:c r="G324" t="str">
        <x:v>San Jose</x:v>
      </x:c>
      <x:c r="H324" t="str">
        <x:v>CA</x:v>
      </x:c>
      <x:c r="I324" s="18" t="str">
        <x:v>95113</x:v>
      </x:c>
      <x:c r="J324" s="15" t="n">
        <x:v>34372.578618576386</x:v>
      </x:c>
      <x:c r="K324" t="n">
        <x:f>INT((DATE(2025,12,31)-J324)/365.25)</x:f>
        <x:v>31</x:v>
      </x:c>
      <x:c r="L324" t="str">
        <x:f>IF(K324&lt;25,"18-24",IF(K324&lt;35,"25-34",IF(K324&lt;45,"35-44",IF(K324&lt;55,"45-54","55+"))))</x:f>
        <x:v>25-34</x:v>
      </x:c>
      <x:c r="M324" s="15" t="n">
        <x:v>44018.718321747685</x:v>
      </x:c>
      <x:c r="N324" t="n">
        <x:f>(YEAR(DATE(2025,12,31))-YEAR(M324))*12+MONTH(DATE(2025,12,31))-MONTH(M324)</x:f>
        <x:v>65</x:v>
      </x:c>
      <x:c r="O324" t="str">
        <x:v>PAUSED</x:v>
      </x:c>
      <x:c r="P324" t="str">
        <x:v>INDEPENDENT_CONTRACTOR</x:v>
      </x:c>
      <x:c r="Q324" t="str">
        <x:v>CAR</x:v>
      </x:c>
      <x:c r="R324" t="str">
        <x:v>FLEXIBLE</x:v>
      </x:c>
      <x:c r="S324" t="n">
        <x:v>46</x:v>
      </x:c>
      <x:c r="T324" t="str">
        <x:v>CLEARED</x:v>
      </x:c>
      <x:c r="U324" t="str">
        <x:v>VALID</x:v>
      </x:c>
      <x:c r="V324" s="16" t="n">
        <x:v>0.8202</x:v>
      </x:c>
      <x:c r="W324" t="str">
        <x:v>English</x:v>
      </x:c>
      <x:c r="X324"/>
      <x:c r="Y324" t="n">
        <x:v>12612</x:v>
      </x:c>
      <x:c r="Z324" s="17" t="n">
        <x:v>4.26</x:v>
      </x:c>
      <x:c r="AA324" s="16" t="n">
        <x:v>0.724</x:v>
      </x:c>
      <x:c r="AB324" s="16" t="n">
        <x:v>0.9138</x:v>
      </x:c>
      <x:c r="AC324" s="16" t="n">
        <x:v>0.9718</x:v>
      </x:c>
      <x:c r="AD324" t="n">
        <x:v>0</x:v>
      </x:c>
      <x:c r="AE324" t="str">
        <x:f>IF(O324&lt;&gt;"ACTIVE","NOT_RATED",IF(AND(Z324&gt;=4.8,AB324&gt;=0.97,AC324&gt;=0.93,AD324=0),"ELITE",IF(AND(Z324&gt;=4.6,AB324&gt;=0.94,AC324&gt;=0.88),"HIGH_PERFORMER",IF(OR(Z324&lt;4.2,AB324&lt;0.85,AD324&gt;=2),"AT_RISK","STANDARD"))))</x:f>
        <x:v>NOT_RATED</x:v>
      </x:c>
      <x:c r="AF324" s="15" t="n">
        <x:v>45989</x:v>
      </x:c>
      <x:c r="AG324" t="str">
        <x:v>VERIFIED</x:v>
      </x:c>
      <x:c r="AH324" t="str">
        <x:v>PENDING</x:v>
      </x:c>
      <x:c r="AI324" t="str">
        <x:v>Chris Taylor</x:v>
      </x:c>
      <x:c r="AJ324" t="str">
        <x:v>SPOUSE_PARTNER</x:v>
      </x:c>
      <x:c r="AK324" t="str">
        <x:v>+1 (408) 555-0177</x:v>
      </x:c>
    </x:row>
    <x:row r="325" ht="18" customHeight="1">
      <x:c r="A325" t="str">
        <x:v>DHR-00324</x:v>
      </x:c>
      <x:c r="B325" t="str">
        <x:v>Liam Thompson</x:v>
      </x:c>
      <x:c r="C325" t="str">
        <x:v>https://api.dicebear.com/9.x/adventurer/png?seed=DHR-00324-Liam%20Thompson&amp;size=256&amp;radius=50&amp;backgroundColor=b6e3f4,c0aede,d1d4f9,ffd5dc,ffdfbf</x:v>
      </x:c>
      <x:c r="D325" t="str">
        <x:v>liam.thompson.324@example.com</x:v>
      </x:c>
      <x:c r="E325" t="str">
        <x:v>+1 (213) 555-0123</x:v>
      </x:c>
      <x:c r="F325" t="str">
        <x:v>Los Angeles, CA</x:v>
      </x:c>
      <x:c r="G325" t="str">
        <x:v>Los Angeles</x:v>
      </x:c>
      <x:c r="H325" t="str">
        <x:v>CA</x:v>
      </x:c>
      <x:c r="I325" s="18" t="str">
        <x:v>90012</x:v>
      </x:c>
      <x:c r="J325" s="15" t="n">
        <x:v>35356.75724623843</x:v>
      </x:c>
      <x:c r="K325" t="n">
        <x:f>INT((DATE(2025,12,31)-J325)/365.25)</x:f>
        <x:v>29</x:v>
      </x:c>
      <x:c r="L325" t="str">
        <x:f>IF(K325&lt;25,"18-24",IF(K325&lt;35,"25-34",IF(K325&lt;45,"35-44",IF(K325&lt;55,"45-54","55+"))))</x:f>
        <x:v>25-34</x:v>
      </x:c>
      <x:c r="M325" s="15" t="n">
        <x:v>45960.76793303241</x:v>
      </x:c>
      <x:c r="N325" t="n">
        <x:f>(YEAR(DATE(2025,12,31))-YEAR(M325))*12+MONTH(DATE(2025,12,31))-MONTH(M325)</x:f>
        <x:v>2</x:v>
      </x:c>
      <x:c r="O325" t="str">
        <x:v>ACTIVE</x:v>
      </x:c>
      <x:c r="P325" t="str">
        <x:v>INDEPENDENT_CONTRACTOR</x:v>
      </x:c>
      <x:c r="Q325" t="str">
        <x:v>BICYCLE</x:v>
      </x:c>
      <x:c r="R325" t="str">
        <x:v>FLEXIBLE</x:v>
      </x:c>
      <x:c r="S325" t="n">
        <x:v>20</x:v>
      </x:c>
      <x:c r="T325" t="str">
        <x:v>CLEARED</x:v>
      </x:c>
      <x:c r="U325" t="str">
        <x:v>NOT_REQUIRED</x:v>
      </x:c>
      <x:c r="V325" s="16" t="n">
        <x:v>0.8786</x:v>
      </x:c>
      <x:c r="W325" t="str">
        <x:v>English</x:v>
      </x:c>
      <x:c r="X325"/>
      <x:c r="Y325" t="n">
        <x:v>138</x:v>
      </x:c>
      <x:c r="Z325" s="17" t="n">
        <x:v>4.71</x:v>
      </x:c>
      <x:c r="AA325" s="16" t="n">
        <x:v>0.802</x:v>
      </x:c>
      <x:c r="AB325" s="16" t="n">
        <x:v>0.9622</x:v>
      </x:c>
      <x:c r="AC325" s="16" t="n">
        <x:v>0.8584</x:v>
      </x:c>
      <x:c r="AD325" t="n">
        <x:v>0</x:v>
      </x:c>
      <x:c r="AE325" t="str">
        <x:f>IF(O325&lt;&gt;"ACTIVE","NOT_RATED",IF(AND(Z325&gt;=4.8,AB325&gt;=0.97,AC325&gt;=0.93,AD325=0),"ELITE",IF(AND(Z325&gt;=4.6,AB325&gt;=0.94,AC325&gt;=0.88),"HIGH_PERFORMER",IF(OR(Z325&lt;4.2,AB325&lt;0.85,AD325&gt;=2),"AT_RISK","STANDARD"))))</x:f>
        <x:v>STANDARD</x:v>
      </x:c>
      <x:c r="AF325" s="15" t="n">
        <x:v>46011</x:v>
      </x:c>
      <x:c r="AG325" t="str">
        <x:v>VERIFIED</x:v>
      </x:c>
      <x:c r="AH325" t="str">
        <x:v>PENDING</x:v>
      </x:c>
      <x:c r="AI325" t="str">
        <x:v>Taylor Martinez</x:v>
      </x:c>
      <x:c r="AJ325" t="str">
        <x:v>PARENT</x:v>
      </x:c>
      <x:c r="AK325" t="str">
        <x:v>+1 (213) 555-0184</x:v>
      </x:c>
    </x:row>
    <x:row r="326" ht="18" customHeight="1">
      <x:c r="A326" t="str">
        <x:v>DHR-00325</x:v>
      </x:c>
      <x:c r="B326" t="str">
        <x:v>Liam Walker</x:v>
      </x:c>
      <x:c r="C326" t="str">
        <x:v>https://api.dicebear.com/9.x/adventurer/png?seed=DHR-00325-Liam%20Walker&amp;size=256&amp;radius=50&amp;backgroundColor=b6e3f4,c0aede,d1d4f9,ffd5dc,ffdfbf</x:v>
      </x:c>
      <x:c r="D326" t="str">
        <x:v>liam.walker.325@example.com</x:v>
      </x:c>
      <x:c r="E326" t="str">
        <x:v>+1 (206) 555-0124</x:v>
      </x:c>
      <x:c r="F326" t="str">
        <x:v>Seattle, WA</x:v>
      </x:c>
      <x:c r="G326" t="str">
        <x:v>Seattle</x:v>
      </x:c>
      <x:c r="H326" t="str">
        <x:v>WA</x:v>
      </x:c>
      <x:c r="I326" s="18" t="str">
        <x:v>98101</x:v>
      </x:c>
      <x:c r="J326" s="15" t="n">
        <x:v>29295.414228125</x:v>
      </x:c>
      <x:c r="K326" t="n">
        <x:f>INT((DATE(2025,12,31)-J326)/365.25)</x:f>
        <x:v>45</x:v>
      </x:c>
      <x:c r="L326" t="str">
        <x:f>IF(K326&lt;25,"18-24",IF(K326&lt;35,"25-34",IF(K326&lt;45,"35-44",IF(K326&lt;55,"45-54","55+"))))</x:f>
        <x:v>45-54</x:v>
      </x:c>
      <x:c r="M326" s="15" t="n">
        <x:v>44882.25698695602</x:v>
      </x:c>
      <x:c r="N326" t="n">
        <x:f>(YEAR(DATE(2025,12,31))-YEAR(M326))*12+MONTH(DATE(2025,12,31))-MONTH(M326)</x:f>
        <x:v>37</x:v>
      </x:c>
      <x:c r="O326" t="str">
        <x:v>ACTIVE</x:v>
      </x:c>
      <x:c r="P326" t="str">
        <x:v>INDEPENDENT_CONTRACTOR</x:v>
      </x:c>
      <x:c r="Q326" t="str">
        <x:v>CAR</x:v>
      </x:c>
      <x:c r="R326" t="str">
        <x:v>DINNER</x:v>
      </x:c>
      <x:c r="S326" t="n">
        <x:v>39</x:v>
      </x:c>
      <x:c r="T326" t="str">
        <x:v>CLEARED</x:v>
      </x:c>
      <x:c r="U326" t="str">
        <x:v>VALID</x:v>
      </x:c>
      <x:c r="V326" s="16" t="n">
        <x:v>0.8512</x:v>
      </x:c>
      <x:c r="W326" t="str">
        <x:v>English</x:v>
      </x:c>
      <x:c r="X326"/>
      <x:c r="Y326" t="n">
        <x:v>6212</x:v>
      </x:c>
      <x:c r="Z326" s="17" t="n">
        <x:v>4.39</x:v>
      </x:c>
      <x:c r="AA326" s="16" t="n">
        <x:v>0.815</x:v>
      </x:c>
      <x:c r="AB326" s="16" t="n">
        <x:v>0.8809</x:v>
      </x:c>
      <x:c r="AC326" s="16" t="n">
        <x:v>0.9041</x:v>
      </x:c>
      <x:c r="AD326" t="n">
        <x:v>0</x:v>
      </x:c>
      <x:c r="AE326" t="str">
        <x:f>IF(O326&lt;&gt;"ACTIVE","NOT_RATED",IF(AND(Z326&gt;=4.8,AB326&gt;=0.97,AC326&gt;=0.93,AD326=0),"ELITE",IF(AND(Z326&gt;=4.6,AB326&gt;=0.94,AC326&gt;=0.88),"HIGH_PERFORMER",IF(OR(Z326&lt;4.2,AB326&lt;0.85,AD326&gt;=2),"AT_RISK","STANDARD"))))</x:f>
        <x:v>STANDARD</x:v>
      </x:c>
      <x:c r="AF326" s="15" t="n">
        <x:v>46021</x:v>
      </x:c>
      <x:c r="AG326" t="str">
        <x:v>VERIFIED</x:v>
      </x:c>
      <x:c r="AH326" t="str">
        <x:v>COMPLETE</x:v>
      </x:c>
      <x:c r="AI326" t="str">
        <x:v>Ethan Jackson</x:v>
      </x:c>
      <x:c r="AJ326" t="str">
        <x:v>SPOUSE_PARTNER</x:v>
      </x:c>
      <x:c r="AK326" t="str">
        <x:v>+1 (206) 555-0191</x:v>
      </x:c>
    </x:row>
    <x:row r="327" ht="18" customHeight="1">
      <x:c r="A327" t="str">
        <x:v>DHR-00326</x:v>
      </x:c>
      <x:c r="B327" t="str">
        <x:v>Liam White</x:v>
      </x:c>
      <x:c r="C327" t="str">
        <x:v>https://api.dicebear.com/9.x/adventurer/png?seed=DHR-00326-Liam%20White&amp;size=256&amp;radius=50&amp;backgroundColor=b6e3f4,c0aede,d1d4f9,ffd5dc,ffdfbf</x:v>
      </x:c>
      <x:c r="D327" t="str">
        <x:v>liam.white.326@example.com</x:v>
      </x:c>
      <x:c r="E327" t="str">
        <x:v>+1 (215) 555-0125</x:v>
      </x:c>
      <x:c r="F327" t="str">
        <x:v>Philadelphia, PA</x:v>
      </x:c>
      <x:c r="G327" t="str">
        <x:v>Philadelphia</x:v>
      </x:c>
      <x:c r="H327" t="str">
        <x:v>PA</x:v>
      </x:c>
      <x:c r="I327" s="18" t="str">
        <x:v>19103</x:v>
      </x:c>
      <x:c r="J327" s="15" t="n">
        <x:v>28823.554035266203</x:v>
      </x:c>
      <x:c r="K327" t="n">
        <x:f>INT((DATE(2025,12,31)-J327)/365.25)</x:f>
        <x:v>47</x:v>
      </x:c>
      <x:c r="L327" t="str">
        <x:f>IF(K327&lt;25,"18-24",IF(K327&lt;35,"25-34",IF(K327&lt;45,"35-44",IF(K327&lt;55,"45-54","55+"))))</x:f>
        <x:v>45-54</x:v>
      </x:c>
      <x:c r="M327" s="15" t="n">
        <x:v>45366.301193831016</x:v>
      </x:c>
      <x:c r="N327" t="n">
        <x:f>(YEAR(DATE(2025,12,31))-YEAR(M327))*12+MONTH(DATE(2025,12,31))-MONTH(M327)</x:f>
        <x:v>21</x:v>
      </x:c>
      <x:c r="O327" t="str">
        <x:v>ACTIVE</x:v>
      </x:c>
      <x:c r="P327" t="str">
        <x:v>INDEPENDENT_CONTRACTOR</x:v>
      </x:c>
      <x:c r="Q327" t="str">
        <x:v>CAR</x:v>
      </x:c>
      <x:c r="R327" t="str">
        <x:v>FLEXIBLE</x:v>
      </x:c>
      <x:c r="S327" t="n">
        <x:v>30</x:v>
      </x:c>
      <x:c r="T327" t="str">
        <x:v>CLEARED</x:v>
      </x:c>
      <x:c r="U327" t="str">
        <x:v>VALID</x:v>
      </x:c>
      <x:c r="V327" s="16" t="n">
        <x:v>0.9172</x:v>
      </x:c>
      <x:c r="W327" t="str">
        <x:v>English</x:v>
      </x:c>
      <x:c r="X327" t="str">
        <x:v>Spanish</x:v>
      </x:c>
      <x:c r="Y327" t="n">
        <x:v>1451</x:v>
      </x:c>
      <x:c r="Z327" s="17" t="n">
        <x:v>4.5</x:v>
      </x:c>
      <x:c r="AA327" s="16" t="n">
        <x:v>0.6136</x:v>
      </x:c>
      <x:c r="AB327" s="16" t="n">
        <x:v>0.9758</x:v>
      </x:c>
      <x:c r="AC327" s="16" t="n">
        <x:v>0.8127</x:v>
      </x:c>
      <x:c r="AD327" t="n">
        <x:v>0</x:v>
      </x:c>
      <x:c r="AE327" t="str">
        <x:f>IF(O327&lt;&gt;"ACTIVE","NOT_RATED",IF(AND(Z327&gt;=4.8,AB327&gt;=0.97,AC327&gt;=0.93,AD327=0),"ELITE",IF(AND(Z327&gt;=4.6,AB327&gt;=0.94,AC327&gt;=0.88),"HIGH_PERFORMER",IF(OR(Z327&lt;4.2,AB327&lt;0.85,AD327&gt;=2),"AT_RISK","STANDARD"))))</x:f>
        <x:v>STANDARD</x:v>
      </x:c>
      <x:c r="AF327" s="15" t="n">
        <x:v>46021</x:v>
      </x:c>
      <x:c r="AG327" t="str">
        <x:v>VERIFIED</x:v>
      </x:c>
      <x:c r="AH327" t="str">
        <x:v>COMPLETE</x:v>
      </x:c>
      <x:c r="AI327" t="str">
        <x:v>Olivia Martinez</x:v>
      </x:c>
      <x:c r="AJ327" t="str">
        <x:v>FRIEND</x:v>
      </x:c>
      <x:c r="AK327" t="str">
        <x:v>+1 (215) 555-0198</x:v>
      </x:c>
    </x:row>
    <x:row r="328" ht="18" customHeight="1">
      <x:c r="A328" t="str">
        <x:v>DHR-00327</x:v>
      </x:c>
      <x:c r="B328" t="str">
        <x:v>Liam Williams</x:v>
      </x:c>
      <x:c r="C328" t="str">
        <x:v>https://api.dicebear.com/9.x/adventurer/png?seed=DHR-00327-Liam%20Williams&amp;size=256&amp;radius=50&amp;backgroundColor=b6e3f4,c0aede,d1d4f9,ffd5dc,ffdfbf</x:v>
      </x:c>
      <x:c r="D328" t="str">
        <x:v>liam.williams.327@example.com</x:v>
      </x:c>
      <x:c r="E328" t="str">
        <x:v>+1 (512) 555-0126</x:v>
      </x:c>
      <x:c r="F328" t="str">
        <x:v>Austin, TX</x:v>
      </x:c>
      <x:c r="G328" t="str">
        <x:v>Austin</x:v>
      </x:c>
      <x:c r="H328" t="str">
        <x:v>TX</x:v>
      </x:c>
      <x:c r="I328" s="18" t="str">
        <x:v>78701</x:v>
      </x:c>
      <x:c r="J328" s="15" t="n">
        <x:v>30359.70511752315</x:v>
      </x:c>
      <x:c r="K328" t="n">
        <x:f>INT((DATE(2025,12,31)-J328)/365.25)</x:f>
        <x:v>42</x:v>
      </x:c>
      <x:c r="L328" t="str">
        <x:f>IF(K328&lt;25,"18-24",IF(K328&lt;35,"25-34",IF(K328&lt;45,"35-44",IF(K328&lt;55,"45-54","55+"))))</x:f>
        <x:v>35-44</x:v>
      </x:c>
      <x:c r="M328" s="15" t="n">
        <x:v>45300.02032744213</x:v>
      </x:c>
      <x:c r="N328" t="n">
        <x:f>(YEAR(DATE(2025,12,31))-YEAR(M328))*12+MONTH(DATE(2025,12,31))-MONTH(M328)</x:f>
        <x:v>23</x:v>
      </x:c>
      <x:c r="O328" t="str">
        <x:v>ACTIVE</x:v>
      </x:c>
      <x:c r="P328" t="str">
        <x:v>INDEPENDENT_CONTRACTOR</x:v>
      </x:c>
      <x:c r="Q328" t="str">
        <x:v>BICYCLE</x:v>
      </x:c>
      <x:c r="R328" t="str">
        <x:v>FLEXIBLE</x:v>
      </x:c>
      <x:c r="S328" t="n">
        <x:v>45</x:v>
      </x:c>
      <x:c r="T328" t="str">
        <x:v>CLEARED</x:v>
      </x:c>
      <x:c r="U328" t="str">
        <x:v>NOT_REQUIRED</x:v>
      </x:c>
      <x:c r="V328" s="16" t="n">
        <x:v>0.8456</x:v>
      </x:c>
      <x:c r="W328" t="str">
        <x:v>Vietnamese</x:v>
      </x:c>
      <x:c r="X328"/>
      <x:c r="Y328" t="n">
        <x:v>2419</x:v>
      </x:c>
      <x:c r="Z328" s="17" t="n">
        <x:v>4.55</x:v>
      </x:c>
      <x:c r="AA328" s="16" t="n">
        <x:v>0.588</x:v>
      </x:c>
      <x:c r="AB328" s="16" t="n">
        <x:v>0.8766</x:v>
      </x:c>
      <x:c r="AC328" s="16" t="n">
        <x:v>0.8707</x:v>
      </x:c>
      <x:c r="AD328" t="n">
        <x:v>3</x:v>
      </x:c>
      <x:c r="AE328" t="str">
        <x:f>IF(O328&lt;&gt;"ACTIVE","NOT_RATED",IF(AND(Z328&gt;=4.8,AB328&gt;=0.97,AC328&gt;=0.93,AD328=0),"ELITE",IF(AND(Z328&gt;=4.6,AB328&gt;=0.94,AC328&gt;=0.88),"HIGH_PERFORMER",IF(OR(Z328&lt;4.2,AB328&lt;0.85,AD328&gt;=2),"AT_RISK","STANDARD"))))</x:f>
        <x:v>AT_RISK</x:v>
      </x:c>
      <x:c r="AF328" s="15" t="n">
        <x:v>46019</x:v>
      </x:c>
      <x:c r="AG328" t="str">
        <x:v>VERIFIED</x:v>
      </x:c>
      <x:c r="AH328" t="str">
        <x:v>COMPLETE</x:v>
      </x:c>
      <x:c r="AI328" t="str">
        <x:v>Mateo Rodriguez</x:v>
      </x:c>
      <x:c r="AJ328" t="str">
        <x:v>FRIEND</x:v>
      </x:c>
      <x:c r="AK328" t="str">
        <x:v>+1 (512) 555-0105</x:v>
      </x:c>
    </x:row>
    <x:row r="329" ht="18" customHeight="1">
      <x:c r="A329" t="str">
        <x:v>DHR-00328</x:v>
      </x:c>
      <x:c r="B329" t="str">
        <x:v>Liam Wilson</x:v>
      </x:c>
      <x:c r="C329" t="str">
        <x:v>https://api.dicebear.com/9.x/adventurer/png?seed=DHR-00328-Liam%20Wilson&amp;size=256&amp;radius=50&amp;backgroundColor=b6e3f4,c0aede,d1d4f9,ffd5dc,ffdfbf</x:v>
      </x:c>
      <x:c r="D329" t="str">
        <x:v>liam.wilson.328@example.com</x:v>
      </x:c>
      <x:c r="E329" t="str">
        <x:v>+1 (212) 555-0127</x:v>
      </x:c>
      <x:c r="F329" t="str">
        <x:v>New York, NY</x:v>
      </x:c>
      <x:c r="G329" t="str">
        <x:v>New York</x:v>
      </x:c>
      <x:c r="H329" t="str">
        <x:v>NY</x:v>
      </x:c>
      <x:c r="I329" s="18" t="str">
        <x:v>10001</x:v>
      </x:c>
      <x:c r="J329" s="15" t="n">
        <x:v>29850.050323460648</x:v>
      </x:c>
      <x:c r="K329" t="n">
        <x:f>INT((DATE(2025,12,31)-J329)/365.25)</x:f>
        <x:v>44</x:v>
      </x:c>
      <x:c r="L329" t="str">
        <x:f>IF(K329&lt;25,"18-24",IF(K329&lt;35,"25-34",IF(K329&lt;45,"35-44",IF(K329&lt;55,"45-54","55+"))))</x:f>
        <x:v>35-44</x:v>
      </x:c>
      <x:c r="M329" s="15" t="n">
        <x:v>43566.7748918287</x:v>
      </x:c>
      <x:c r="N329" t="n">
        <x:f>(YEAR(DATE(2025,12,31))-YEAR(M329))*12+MONTH(DATE(2025,12,31))-MONTH(M329)</x:f>
        <x:v>80</x:v>
      </x:c>
      <x:c r="O329" t="str">
        <x:v>ACTIVE</x:v>
      </x:c>
      <x:c r="P329" t="str">
        <x:v>INDEPENDENT_CONTRACTOR</x:v>
      </x:c>
      <x:c r="Q329" t="str">
        <x:v>CAR</x:v>
      </x:c>
      <x:c r="R329" t="str">
        <x:v>WEEKENDS</x:v>
      </x:c>
      <x:c r="S329" t="n">
        <x:v>18</x:v>
      </x:c>
      <x:c r="T329" t="str">
        <x:v>CLEARED</x:v>
      </x:c>
      <x:c r="U329" t="str">
        <x:v>VALID</x:v>
      </x:c>
      <x:c r="V329" s="16" t="n">
        <x:v>0.9683</x:v>
      </x:c>
      <x:c r="W329" t="str">
        <x:v>English</x:v>
      </x:c>
      <x:c r="X329"/>
      <x:c r="Y329" t="n">
        <x:v>3079</x:v>
      </x:c>
      <x:c r="Z329" s="17" t="n">
        <x:v>4.48</x:v>
      </x:c>
      <x:c r="AA329" s="16" t="n">
        <x:v>0.8629</x:v>
      </x:c>
      <x:c r="AB329" s="16" t="n">
        <x:v>0.9918</x:v>
      </x:c>
      <x:c r="AC329" s="16" t="n">
        <x:v>0.9901</x:v>
      </x:c>
      <x:c r="AD329" t="n">
        <x:v>0</x:v>
      </x:c>
      <x:c r="AE329" t="str">
        <x:f>IF(O329&lt;&gt;"ACTIVE","NOT_RATED",IF(AND(Z329&gt;=4.8,AB329&gt;=0.97,AC329&gt;=0.93,AD329=0),"ELITE",IF(AND(Z329&gt;=4.6,AB329&gt;=0.94,AC329&gt;=0.88),"HIGH_PERFORMER",IF(OR(Z329&lt;4.2,AB329&lt;0.85,AD329&gt;=2),"AT_RISK","STANDARD"))))</x:f>
        <x:v>STANDARD</x:v>
      </x:c>
      <x:c r="AF329" s="15" t="n">
        <x:v>46016</x:v>
      </x:c>
      <x:c r="AG329" t="str">
        <x:v>VERIFIED</x:v>
      </x:c>
      <x:c r="AH329" t="str">
        <x:v>COMPLETE</x:v>
      </x:c>
      <x:c r="AI329" t="str">
        <x:v>Sam Moore</x:v>
      </x:c>
      <x:c r="AJ329" t="str">
        <x:v>PARENT</x:v>
      </x:c>
      <x:c r="AK329" t="str">
        <x:v>+1 (212) 555-0112</x:v>
      </x:c>
    </x:row>
    <x:row r="330" ht="18" customHeight="1">
      <x:c r="A330" t="str">
        <x:v>DHR-00329</x:v>
      </x:c>
      <x:c r="B330" t="str">
        <x:v>Liam Young</x:v>
      </x:c>
      <x:c r="C330" t="str">
        <x:v>https://api.dicebear.com/9.x/adventurer/png?seed=DHR-00329-Liam%20Young&amp;size=256&amp;radius=50&amp;backgroundColor=b6e3f4,c0aede,d1d4f9,ffd5dc,ffdfbf</x:v>
      </x:c>
      <x:c r="D330" t="str">
        <x:v>liam.young.329@example.com</x:v>
      </x:c>
      <x:c r="E330" t="str">
        <x:v>+1 (404) 555-0128</x:v>
      </x:c>
      <x:c r="F330" t="str">
        <x:v>Atlanta, GA</x:v>
      </x:c>
      <x:c r="G330" t="str">
        <x:v>Atlanta</x:v>
      </x:c>
      <x:c r="H330" t="str">
        <x:v>GA</x:v>
      </x:c>
      <x:c r="I330" s="18" t="str">
        <x:v>30303</x:v>
      </x:c>
      <x:c r="J330" s="15" t="n">
        <x:v>30289.52751902778</x:v>
      </x:c>
      <x:c r="K330" t="n">
        <x:f>INT((DATE(2025,12,31)-J330)/365.25)</x:f>
        <x:v>43</x:v>
      </x:c>
      <x:c r="L330" t="str">
        <x:f>IF(K330&lt;25,"18-24",IF(K330&lt;35,"25-34",IF(K330&lt;45,"35-44",IF(K330&lt;55,"45-54","55+"))))</x:f>
        <x:v>35-44</x:v>
      </x:c>
      <x:c r="M330" s="15" t="n">
        <x:v>45584.37580269676</x:v>
      </x:c>
      <x:c r="N330" t="n">
        <x:f>(YEAR(DATE(2025,12,31))-YEAR(M330))*12+MONTH(DATE(2025,12,31))-MONTH(M330)</x:f>
        <x:v>14</x:v>
      </x:c>
      <x:c r="O330" t="str">
        <x:v>ACTIVE</x:v>
      </x:c>
      <x:c r="P330" t="str">
        <x:v>INDEPENDENT_CONTRACTOR</x:v>
      </x:c>
      <x:c r="Q330" t="str">
        <x:v>BICYCLE</x:v>
      </x:c>
      <x:c r="R330" t="str">
        <x:v>FLEXIBLE</x:v>
      </x:c>
      <x:c r="S330" t="n">
        <x:v>29</x:v>
      </x:c>
      <x:c r="T330" t="str">
        <x:v>CLEARED</x:v>
      </x:c>
      <x:c r="U330" t="str">
        <x:v>NOT_REQUIRED</x:v>
      </x:c>
      <x:c r="V330" s="16" t="n">
        <x:v>0.8627</x:v>
      </x:c>
      <x:c r="W330" t="str">
        <x:v>Mandarin</x:v>
      </x:c>
      <x:c r="X330"/>
      <x:c r="Y330" t="n">
        <x:v>930</x:v>
      </x:c>
      <x:c r="Z330" s="17" t="n">
        <x:v>4.3</x:v>
      </x:c>
      <x:c r="AA330" s="16" t="n">
        <x:v>0.8672</x:v>
      </x:c>
      <x:c r="AB330" s="16" t="n">
        <x:v>0.9137</x:v>
      </x:c>
      <x:c r="AC330" s="16" t="n">
        <x:v>0.8363</x:v>
      </x:c>
      <x:c r="AD330" t="n">
        <x:v>0</x:v>
      </x:c>
      <x:c r="AE330" t="str">
        <x:f>IF(O330&lt;&gt;"ACTIVE","NOT_RATED",IF(AND(Z330&gt;=4.8,AB330&gt;=0.97,AC330&gt;=0.93,AD330=0),"ELITE",IF(AND(Z330&gt;=4.6,AB330&gt;=0.94,AC330&gt;=0.88),"HIGH_PERFORMER",IF(OR(Z330&lt;4.2,AB330&lt;0.85,AD330&gt;=2),"AT_RISK","STANDARD"))))</x:f>
        <x:v>STANDARD</x:v>
      </x:c>
      <x:c r="AF330" s="15" t="n">
        <x:v>46013</x:v>
      </x:c>
      <x:c r="AG330" t="str">
        <x:v>VERIFIED</x:v>
      </x:c>
      <x:c r="AH330" t="str">
        <x:v>COMPLETE</x:v>
      </x:c>
      <x:c r="AI330" t="str">
        <x:v>Reese Garcia</x:v>
      </x:c>
      <x:c r="AJ330" t="str">
        <x:v>PARENT</x:v>
      </x:c>
      <x:c r="AK330" t="str">
        <x:v>+1 (404) 555-0119</x:v>
      </x:c>
    </x:row>
    <x:row r="331" ht="18" customHeight="1">
      <x:c r="A331" t="str">
        <x:v>DHR-00330</x:v>
      </x:c>
      <x:c r="B331" t="str">
        <x:v>Lucas Brown</x:v>
      </x:c>
      <x:c r="C331" t="str">
        <x:v>https://api.dicebear.com/9.x/adventurer/png?seed=DHR-00330-Lucas%20Brown&amp;size=256&amp;radius=50&amp;backgroundColor=b6e3f4,c0aede,d1d4f9,ffd5dc,ffdfbf</x:v>
      </x:c>
      <x:c r="D331" t="str">
        <x:v>lucas.brown.330@example.com</x:v>
      </x:c>
      <x:c r="E331" t="str">
        <x:v>+1 (215) 555-0129</x:v>
      </x:c>
      <x:c r="F331" t="str">
        <x:v>Philadelphia, PA</x:v>
      </x:c>
      <x:c r="G331" t="str">
        <x:v>Philadelphia</x:v>
      </x:c>
      <x:c r="H331" t="str">
        <x:v>PA</x:v>
      </x:c>
      <x:c r="I331" s="18" t="str">
        <x:v>19103</x:v>
      </x:c>
      <x:c r="J331" s="15" t="n">
        <x:v>27439.296935844908</x:v>
      </x:c>
      <x:c r="K331" t="n">
        <x:f>INT((DATE(2025,12,31)-J331)/365.25)</x:f>
        <x:v>50</x:v>
      </x:c>
      <x:c r="L331" t="str">
        <x:f>IF(K331&lt;25,"18-24",IF(K331&lt;35,"25-34",IF(K331&lt;45,"35-44",IF(K331&lt;55,"45-54","55+"))))</x:f>
        <x:v>45-54</x:v>
      </x:c>
      <x:c r="M331" s="15" t="n">
        <x:v>44307.420309837966</x:v>
      </x:c>
      <x:c r="N331" t="n">
        <x:f>(YEAR(DATE(2025,12,31))-YEAR(M331))*12+MONTH(DATE(2025,12,31))-MONTH(M331)</x:f>
        <x:v>56</x:v>
      </x:c>
      <x:c r="O331" t="str">
        <x:v>ACTIVE</x:v>
      </x:c>
      <x:c r="P331" t="str">
        <x:v>INDEPENDENT_CONTRACTOR</x:v>
      </x:c>
      <x:c r="Q331" t="str">
        <x:v>SCOOTER</x:v>
      </x:c>
      <x:c r="R331" t="str">
        <x:v>FLEXIBLE</x:v>
      </x:c>
      <x:c r="S331" t="n">
        <x:v>39</x:v>
      </x:c>
      <x:c r="T331" t="str">
        <x:v>CLEARED</x:v>
      </x:c>
      <x:c r="U331" t="str">
        <x:v>VALID</x:v>
      </x:c>
      <x:c r="V331" s="16" t="n">
        <x:v>0.9759</x:v>
      </x:c>
      <x:c r="W331" t="str">
        <x:v>English</x:v>
      </x:c>
      <x:c r="X331"/>
      <x:c r="Y331" t="n">
        <x:v>5374</x:v>
      </x:c>
      <x:c r="Z331" s="17" t="n">
        <x:v>4.43</x:v>
      </x:c>
      <x:c r="AA331" s="16" t="n">
        <x:v>0.805</x:v>
      </x:c>
      <x:c r="AB331" s="16" t="n">
        <x:v>0.9708</x:v>
      </x:c>
      <x:c r="AC331" s="16" t="n">
        <x:v>0.8818</x:v>
      </x:c>
      <x:c r="AD331" t="n">
        <x:v>0</x:v>
      </x:c>
      <x:c r="AE331" t="str">
        <x:f>IF(O331&lt;&gt;"ACTIVE","NOT_RATED",IF(AND(Z331&gt;=4.8,AB331&gt;=0.97,AC331&gt;=0.93,AD331=0),"ELITE",IF(AND(Z331&gt;=4.6,AB331&gt;=0.94,AC331&gt;=0.88),"HIGH_PERFORMER",IF(OR(Z331&lt;4.2,AB331&lt;0.85,AD331&gt;=2),"AT_RISK","STANDARD"))))</x:f>
        <x:v>STANDARD</x:v>
      </x:c>
      <x:c r="AF331" s="15" t="n">
        <x:v>46012</x:v>
      </x:c>
      <x:c r="AG331" t="str">
        <x:v>VERIFIED</x:v>
      </x:c>
      <x:c r="AH331" t="str">
        <x:v>COMPLETE</x:v>
      </x:c>
      <x:c r="AI331" t="str">
        <x:v>Cameron Martinez</x:v>
      </x:c>
      <x:c r="AJ331" t="str">
        <x:v>SPOUSE_PARTNER</x:v>
      </x:c>
      <x:c r="AK331" t="str">
        <x:v>+1 (215) 555-0126</x:v>
      </x:c>
    </x:row>
    <x:row r="332" ht="18" customHeight="1">
      <x:c r="A332" t="str">
        <x:v>DHR-00331</x:v>
      </x:c>
      <x:c r="B332" t="str">
        <x:v>Lucas Clark</x:v>
      </x:c>
      <x:c r="C332" t="str">
        <x:v>https://api.dicebear.com/9.x/adventurer/png?seed=DHR-00331-Lucas%20Clark&amp;size=256&amp;radius=50&amp;backgroundColor=b6e3f4,c0aede,d1d4f9,ffd5dc,ffdfbf</x:v>
      </x:c>
      <x:c r="D332" t="str">
        <x:v>lucas.clark.331@example.com</x:v>
      </x:c>
      <x:c r="E332" t="str">
        <x:v>+1 (210) 555-0130</x:v>
      </x:c>
      <x:c r="F332" t="str">
        <x:v>San Antonio, TX</x:v>
      </x:c>
      <x:c r="G332" t="str">
        <x:v>San Antonio</x:v>
      </x:c>
      <x:c r="H332" t="str">
        <x:v>TX</x:v>
      </x:c>
      <x:c r="I332" s="18" t="str">
        <x:v>78205</x:v>
      </x:c>
      <x:c r="J332" s="15" t="n">
        <x:v>32270.90660128472</x:v>
      </x:c>
      <x:c r="K332" t="n">
        <x:f>INT((DATE(2025,12,31)-J332)/365.25)</x:f>
        <x:v>37</x:v>
      </x:c>
      <x:c r="L332" t="str">
        <x:f>IF(K332&lt;25,"18-24",IF(K332&lt;35,"25-34",IF(K332&lt;45,"35-44",IF(K332&lt;55,"45-54","55+"))))</x:f>
        <x:v>35-44</x:v>
      </x:c>
      <x:c r="M332" s="15" t="n">
        <x:v>43904.96673998843</x:v>
      </x:c>
      <x:c r="N332" t="n">
        <x:f>(YEAR(DATE(2025,12,31))-YEAR(M332))*12+MONTH(DATE(2025,12,31))-MONTH(M332)</x:f>
        <x:v>69</x:v>
      </x:c>
      <x:c r="O332" t="str">
        <x:v>ACTIVE</x:v>
      </x:c>
      <x:c r="P332" t="str">
        <x:v>INDEPENDENT_CONTRACTOR</x:v>
      </x:c>
      <x:c r="Q332" t="str">
        <x:v>BICYCLE</x:v>
      </x:c>
      <x:c r="R332" t="str">
        <x:v>FLEXIBLE</x:v>
      </x:c>
      <x:c r="S332" t="n">
        <x:v>13</x:v>
      </x:c>
      <x:c r="T332" t="str">
        <x:v>CLEARED</x:v>
      </x:c>
      <x:c r="U332" t="str">
        <x:v>NOT_REQUIRED</x:v>
      </x:c>
      <x:c r="V332" s="16" t="n">
        <x:v>0.8366</x:v>
      </x:c>
      <x:c r="W332" t="str">
        <x:v>English</x:v>
      </x:c>
      <x:c r="X332"/>
      <x:c r="Y332" t="n">
        <x:v>2239</x:v>
      </x:c>
      <x:c r="Z332" s="17" t="n">
        <x:v>4.75</x:v>
      </x:c>
      <x:c r="AA332" s="16" t="n">
        <x:v>0.8125</x:v>
      </x:c>
      <x:c r="AB332" s="16" t="n">
        <x:v>0.9012</x:v>
      </x:c>
      <x:c r="AC332" s="16" t="n">
        <x:v>0.9374</x:v>
      </x:c>
      <x:c r="AD332" t="n">
        <x:v>0</x:v>
      </x:c>
      <x:c r="AE332" t="str">
        <x:f>IF(O332&lt;&gt;"ACTIVE","NOT_RATED",IF(AND(Z332&gt;=4.8,AB332&gt;=0.97,AC332&gt;=0.93,AD332=0),"ELITE",IF(AND(Z332&gt;=4.6,AB332&gt;=0.94,AC332&gt;=0.88),"HIGH_PERFORMER",IF(OR(Z332&lt;4.2,AB332&lt;0.85,AD332&gt;=2),"AT_RISK","STANDARD"))))</x:f>
        <x:v>STANDARD</x:v>
      </x:c>
      <x:c r="AF332" s="15" t="n">
        <x:v>46015</x:v>
      </x:c>
      <x:c r="AG332" t="str">
        <x:v>VERIFIED</x:v>
      </x:c>
      <x:c r="AH332" t="str">
        <x:v>COMPLETE</x:v>
      </x:c>
      <x:c r="AI332" t="str">
        <x:v>Quinn Moore</x:v>
      </x:c>
      <x:c r="AJ332" t="str">
        <x:v>SIBLING</x:v>
      </x:c>
      <x:c r="AK332" t="str">
        <x:v>+1 (210) 555-0133</x:v>
      </x:c>
    </x:row>
    <x:row r="333" ht="18" customHeight="1">
      <x:c r="A333" t="str">
        <x:v>DHR-00332</x:v>
      </x:c>
      <x:c r="B333" t="str">
        <x:v>Lucas Davis</x:v>
      </x:c>
      <x:c r="C333" t="str">
        <x:v>https://api.dicebear.com/9.x/adventurer/png?seed=DHR-00332-Lucas%20Davis&amp;size=256&amp;radius=50&amp;backgroundColor=b6e3f4,c0aede,d1d4f9,ffd5dc,ffdfbf</x:v>
      </x:c>
      <x:c r="D333" t="str">
        <x:v>lucas.davis.332@example.com</x:v>
      </x:c>
      <x:c r="E333" t="str">
        <x:v>+1 (713) 555-0131</x:v>
      </x:c>
      <x:c r="F333" t="str">
        <x:v>Houston, TX</x:v>
      </x:c>
      <x:c r="G333" t="str">
        <x:v>Houston</x:v>
      </x:c>
      <x:c r="H333" t="str">
        <x:v>TX</x:v>
      </x:c>
      <x:c r="I333" s="18" t="str">
        <x:v>77002</x:v>
      </x:c>
      <x:c r="J333" s="15" t="n">
        <x:v>38677.97067833333</x:v>
      </x:c>
      <x:c r="K333" t="n">
        <x:f>INT((DATE(2025,12,31)-J333)/365.25)</x:f>
        <x:v>20</x:v>
      </x:c>
      <x:c r="L333" t="str">
        <x:f>IF(K333&lt;25,"18-24",IF(K333&lt;35,"25-34",IF(K333&lt;45,"35-44",IF(K333&lt;55,"45-54","55+"))))</x:f>
        <x:v>18-24</x:v>
      </x:c>
      <x:c r="M333" s="15" t="n">
        <x:v>45771.31702065972</x:v>
      </x:c>
      <x:c r="N333" t="n">
        <x:f>(YEAR(DATE(2025,12,31))-YEAR(M333))*12+MONTH(DATE(2025,12,31))-MONTH(M333)</x:f>
        <x:v>8</x:v>
      </x:c>
      <x:c r="O333" t="str">
        <x:v>ACTIVE</x:v>
      </x:c>
      <x:c r="P333" t="str">
        <x:v>INDEPENDENT_CONTRACTOR</x:v>
      </x:c>
      <x:c r="Q333" t="str">
        <x:v>SCOOTER</x:v>
      </x:c>
      <x:c r="R333" t="str">
        <x:v>LUNCH</x:v>
      </x:c>
      <x:c r="S333" t="n">
        <x:v>42</x:v>
      </x:c>
      <x:c r="T333" t="str">
        <x:v>PENDING</x:v>
      </x:c>
      <x:c r="U333" t="str">
        <x:v>VALID</x:v>
      </x:c>
      <x:c r="V333" s="16" t="n">
        <x:v>0.7981</x:v>
      </x:c>
      <x:c r="W333" t="str">
        <x:v>Spanish</x:v>
      </x:c>
      <x:c r="X333"/>
      <x:c r="Y333" t="n">
        <x:v>814</x:v>
      </x:c>
      <x:c r="Z333" s="17" t="n">
        <x:v>4.83</x:v>
      </x:c>
      <x:c r="AA333" s="16" t="n">
        <x:v>0.9126</x:v>
      </x:c>
      <x:c r="AB333" s="16" t="n">
        <x:v>0.9004</x:v>
      </x:c>
      <x:c r="AC333" s="16" t="n">
        <x:v>0.8183</x:v>
      </x:c>
      <x:c r="AD333" t="n">
        <x:v>0</x:v>
      </x:c>
      <x:c r="AE333" t="str">
        <x:f>IF(O333&lt;&gt;"ACTIVE","NOT_RATED",IF(AND(Z333&gt;=4.8,AB333&gt;=0.97,AC333&gt;=0.93,AD333=0),"ELITE",IF(AND(Z333&gt;=4.6,AB333&gt;=0.94,AC333&gt;=0.88),"HIGH_PERFORMER",IF(OR(Z333&lt;4.2,AB333&lt;0.85,AD333&gt;=2),"AT_RISK","STANDARD"))))</x:f>
        <x:v>STANDARD</x:v>
      </x:c>
      <x:c r="AF333" s="15" t="n">
        <x:v>46021</x:v>
      </x:c>
      <x:c r="AG333" t="str">
        <x:v>VERIFIED</x:v>
      </x:c>
      <x:c r="AH333" t="str">
        <x:v>COMPLETE</x:v>
      </x:c>
      <x:c r="AI333" t="str">
        <x:v>Ethan Lewis</x:v>
      </x:c>
      <x:c r="AJ333" t="str">
        <x:v>PARENT</x:v>
      </x:c>
      <x:c r="AK333" t="str">
        <x:v>+1 (713) 555-0140</x:v>
      </x:c>
    </x:row>
    <x:row r="334" ht="18" customHeight="1">
      <x:c r="A334" t="str">
        <x:v>DHR-00333</x:v>
      </x:c>
      <x:c r="B334" t="str">
        <x:v>Lucas Garcia</x:v>
      </x:c>
      <x:c r="C334" t="str">
        <x:v>https://api.dicebear.com/9.x/adventurer/png?seed=DHR-00333-Lucas%20Garcia&amp;size=256&amp;radius=50&amp;backgroundColor=b6e3f4,c0aede,d1d4f9,ffd5dc,ffdfbf</x:v>
      </x:c>
      <x:c r="D334" t="str">
        <x:v>lucas.garcia.333@example.com</x:v>
      </x:c>
      <x:c r="E334" t="str">
        <x:v>+1 (602) 555-0132</x:v>
      </x:c>
      <x:c r="F334" t="str">
        <x:v>Phoenix, AZ</x:v>
      </x:c>
      <x:c r="G334" t="str">
        <x:v>Phoenix</x:v>
      </x:c>
      <x:c r="H334" t="str">
        <x:v>AZ</x:v>
      </x:c>
      <x:c r="I334" s="18" t="str">
        <x:v>85004</x:v>
      </x:c>
      <x:c r="J334" s="15" t="n">
        <x:v>29282.65720127315</x:v>
      </x:c>
      <x:c r="K334" t="n">
        <x:f>INT((DATE(2025,12,31)-J334)/365.25)</x:f>
        <x:v>45</x:v>
      </x:c>
      <x:c r="L334" t="str">
        <x:f>IF(K334&lt;25,"18-24",IF(K334&lt;35,"25-34",IF(K334&lt;45,"35-44",IF(K334&lt;55,"45-54","55+"))))</x:f>
        <x:v>45-54</x:v>
      </x:c>
      <x:c r="M334" s="15" t="n">
        <x:v>45254.18442533565</x:v>
      </x:c>
      <x:c r="N334" t="n">
        <x:f>(YEAR(DATE(2025,12,31))-YEAR(M334))*12+MONTH(DATE(2025,12,31))-MONTH(M334)</x:f>
        <x:v>25</x:v>
      </x:c>
      <x:c r="O334" t="str">
        <x:v>ACTIVE</x:v>
      </x:c>
      <x:c r="P334" t="str">
        <x:v>INDEPENDENT_CONTRACTOR</x:v>
      </x:c>
      <x:c r="Q334" t="str">
        <x:v>CAR</x:v>
      </x:c>
      <x:c r="R334" t="str">
        <x:v>WEEKENDS</x:v>
      </x:c>
      <x:c r="S334" t="n">
        <x:v>47</x:v>
      </x:c>
      <x:c r="T334" t="str">
        <x:v>CLEARED</x:v>
      </x:c>
      <x:c r="U334" t="str">
        <x:v>VALID</x:v>
      </x:c>
      <x:c r="V334" s="16" t="n">
        <x:v>0.9701</x:v>
      </x:c>
      <x:c r="W334" t="str">
        <x:v>English</x:v>
      </x:c>
      <x:c r="X334"/>
      <x:c r="Y334" t="n">
        <x:v>4173</x:v>
      </x:c>
      <x:c r="Z334" s="17" t="n">
        <x:v>4.7</x:v>
      </x:c>
      <x:c r="AA334" s="16" t="n">
        <x:v>0.8293</x:v>
      </x:c>
      <x:c r="AB334" s="16" t="n">
        <x:v>0.9333</x:v>
      </x:c>
      <x:c r="AC334" s="16" t="n">
        <x:v>0.8706</x:v>
      </x:c>
      <x:c r="AD334" t="n">
        <x:v>0</x:v>
      </x:c>
      <x:c r="AE334" t="str">
        <x:f>IF(O334&lt;&gt;"ACTIVE","NOT_RATED",IF(AND(Z334&gt;=4.8,AB334&gt;=0.97,AC334&gt;=0.93,AD334=0),"ELITE",IF(AND(Z334&gt;=4.6,AB334&gt;=0.94,AC334&gt;=0.88),"HIGH_PERFORMER",IF(OR(Z334&lt;4.2,AB334&lt;0.85,AD334&gt;=2),"AT_RISK","STANDARD"))))</x:f>
        <x:v>STANDARD</x:v>
      </x:c>
      <x:c r="AF334" s="15" t="n">
        <x:v>46008</x:v>
      </x:c>
      <x:c r="AG334" t="str">
        <x:v>VERIFIED</x:v>
      </x:c>
      <x:c r="AH334" t="str">
        <x:v>COMPLETE</x:v>
      </x:c>
      <x:c r="AI334" t="str">
        <x:v>Jordan Clark</x:v>
      </x:c>
      <x:c r="AJ334" t="str">
        <x:v>SPOUSE_PARTNER</x:v>
      </x:c>
      <x:c r="AK334" t="str">
        <x:v>+1 (602) 555-0147</x:v>
      </x:c>
    </x:row>
    <x:row r="335" ht="18" customHeight="1">
      <x:c r="A335" t="str">
        <x:v>DHR-00334</x:v>
      </x:c>
      <x:c r="B335" t="str">
        <x:v>Lucas Jackson</x:v>
      </x:c>
      <x:c r="C335" t="str">
        <x:v>https://api.dicebear.com/9.x/adventurer/png?seed=DHR-00334-Lucas%20Jackson&amp;size=256&amp;radius=50&amp;backgroundColor=b6e3f4,c0aede,d1d4f9,ffd5dc,ffdfbf</x:v>
      </x:c>
      <x:c r="D335" t="str">
        <x:v>lucas.jackson.334@example.com</x:v>
      </x:c>
      <x:c r="E335" t="str">
        <x:v>+1 (415) 555-0133</x:v>
      </x:c>
      <x:c r="F335" t="str">
        <x:v>San Francisco, CA</x:v>
      </x:c>
      <x:c r="G335" t="str">
        <x:v>San Francisco</x:v>
      </x:c>
      <x:c r="H335" t="str">
        <x:v>CA</x:v>
      </x:c>
      <x:c r="I335" s="18" t="str">
        <x:v>94103</x:v>
      </x:c>
      <x:c r="J335" s="15" t="n">
        <x:v>29685.95344378472</x:v>
      </x:c>
      <x:c r="K335" t="n">
        <x:f>INT((DATE(2025,12,31)-J335)/365.25)</x:f>
        <x:v>44</x:v>
      </x:c>
      <x:c r="L335" t="str">
        <x:f>IF(K335&lt;25,"18-24",IF(K335&lt;35,"25-34",IF(K335&lt;45,"35-44",IF(K335&lt;55,"45-54","55+"))))</x:f>
        <x:v>35-44</x:v>
      </x:c>
      <x:c r="M335" s="15" t="n">
        <x:v>44952.7617537037</x:v>
      </x:c>
      <x:c r="N335" t="n">
        <x:f>(YEAR(DATE(2025,12,31))-YEAR(M335))*12+MONTH(DATE(2025,12,31))-MONTH(M335)</x:f>
        <x:v>35</x:v>
      </x:c>
      <x:c r="O335" t="str">
        <x:v>ACTIVE</x:v>
      </x:c>
      <x:c r="P335" t="str">
        <x:v>INDEPENDENT_CONTRACTOR</x:v>
      </x:c>
      <x:c r="Q335" t="str">
        <x:v>CAR</x:v>
      </x:c>
      <x:c r="R335" t="str">
        <x:v>LUNCH</x:v>
      </x:c>
      <x:c r="S335" t="n">
        <x:v>37</x:v>
      </x:c>
      <x:c r="T335" t="str">
        <x:v>CLEARED</x:v>
      </x:c>
      <x:c r="U335" t="str">
        <x:v>VALID</x:v>
      </x:c>
      <x:c r="V335" s="16" t="n">
        <x:v>0.9761</x:v>
      </x:c>
      <x:c r="W335" t="str">
        <x:v>English</x:v>
      </x:c>
      <x:c r="X335" t="str">
        <x:v>Arabic</x:v>
      </x:c>
      <x:c r="Y335" t="n">
        <x:v>2812</x:v>
      </x:c>
      <x:c r="Z335" s="17" t="n">
        <x:v>4.74</x:v>
      </x:c>
      <x:c r="AA335" s="16" t="n">
        <x:v>0.8093</x:v>
      </x:c>
      <x:c r="AB335" s="16" t="n">
        <x:v>0.9936</x:v>
      </x:c>
      <x:c r="AC335" s="16" t="n">
        <x:v>0.8862</x:v>
      </x:c>
      <x:c r="AD335" t="n">
        <x:v>0</x:v>
      </x:c>
      <x:c r="AE335" t="str">
        <x:f>IF(O335&lt;&gt;"ACTIVE","NOT_RATED",IF(AND(Z335&gt;=4.8,AB335&gt;=0.97,AC335&gt;=0.93,AD335=0),"ELITE",IF(AND(Z335&gt;=4.6,AB335&gt;=0.94,AC335&gt;=0.88),"HIGH_PERFORMER",IF(OR(Z335&lt;4.2,AB335&lt;0.85,AD335&gt;=2),"AT_RISK","STANDARD"))))</x:f>
        <x:v>HIGH_PERFORMER</x:v>
      </x:c>
      <x:c r="AF335" s="15" t="n">
        <x:v>46013</x:v>
      </x:c>
      <x:c r="AG335" t="str">
        <x:v>VERIFIED</x:v>
      </x:c>
      <x:c r="AH335" t="str">
        <x:v>COMPLETE</x:v>
      </x:c>
      <x:c r="AI335" t="str">
        <x:v>Parker Johnson</x:v>
      </x:c>
      <x:c r="AJ335" t="str">
        <x:v>SPOUSE_PARTNER</x:v>
      </x:c>
      <x:c r="AK335" t="str">
        <x:v>+1 (415) 555-0154</x:v>
      </x:c>
    </x:row>
    <x:row r="336" ht="18" customHeight="1">
      <x:c r="A336" t="str">
        <x:v>DHR-00335</x:v>
      </x:c>
      <x:c r="B336" t="str">
        <x:v>Lucas Jones</x:v>
      </x:c>
      <x:c r="C336" t="str">
        <x:v>https://api.dicebear.com/9.x/adventurer/png?seed=DHR-00335-Lucas%20Jones&amp;size=256&amp;radius=50&amp;backgroundColor=b6e3f4,c0aede,d1d4f9,ffd5dc,ffdfbf</x:v>
      </x:c>
      <x:c r="D336" t="str">
        <x:v>lucas.jones.335@example.com</x:v>
      </x:c>
      <x:c r="E336" t="str">
        <x:v>+1 (408) 555-0134</x:v>
      </x:c>
      <x:c r="F336" t="str">
        <x:v>San Jose, CA</x:v>
      </x:c>
      <x:c r="G336" t="str">
        <x:v>San Jose</x:v>
      </x:c>
      <x:c r="H336" t="str">
        <x:v>CA</x:v>
      </x:c>
      <x:c r="I336" s="18" t="str">
        <x:v>95113</x:v>
      </x:c>
      <x:c r="J336" s="15" t="n">
        <x:v>24614.723360567128</x:v>
      </x:c>
      <x:c r="K336" t="n">
        <x:f>INT((DATE(2025,12,31)-J336)/365.25)</x:f>
        <x:v>58</x:v>
      </x:c>
      <x:c r="L336" t="str">
        <x:f>IF(K336&lt;25,"18-24",IF(K336&lt;35,"25-34",IF(K336&lt;45,"35-44",IF(K336&lt;55,"45-54","55+"))))</x:f>
        <x:v>55+</x:v>
      </x:c>
      <x:c r="M336" s="15" t="n">
        <x:v>44592.90435109954</x:v>
      </x:c>
      <x:c r="N336" t="n">
        <x:f>(YEAR(DATE(2025,12,31))-YEAR(M336))*12+MONTH(DATE(2025,12,31))-MONTH(M336)</x:f>
        <x:v>47</x:v>
      </x:c>
      <x:c r="O336" t="str">
        <x:v>ACTIVE</x:v>
      </x:c>
      <x:c r="P336" t="str">
        <x:v>INDEPENDENT_CONTRACTOR</x:v>
      </x:c>
      <x:c r="Q336" t="str">
        <x:v>CAR</x:v>
      </x:c>
      <x:c r="R336" t="str">
        <x:v>LUNCH</x:v>
      </x:c>
      <x:c r="S336" t="n">
        <x:v>19</x:v>
      </x:c>
      <x:c r="T336" t="str">
        <x:v>CLEARED</x:v>
      </x:c>
      <x:c r="U336" t="str">
        <x:v>VALID</x:v>
      </x:c>
      <x:c r="V336" s="16" t="n">
        <x:v>0.859</x:v>
      </x:c>
      <x:c r="W336" t="str">
        <x:v>English</x:v>
      </x:c>
      <x:c r="X336" t="str">
        <x:v>Spanish</x:v>
      </x:c>
      <x:c r="Y336" t="n">
        <x:v>3205</x:v>
      </x:c>
      <x:c r="Z336" s="17" t="n">
        <x:v>4.16</x:v>
      </x:c>
      <x:c r="AA336" s="16" t="n">
        <x:v>0.6759</x:v>
      </x:c>
      <x:c r="AB336" s="16" t="n">
        <x:v>0.9382</x:v>
      </x:c>
      <x:c r="AC336" s="16" t="n">
        <x:v>0.8502</x:v>
      </x:c>
      <x:c r="AD336" t="n">
        <x:v>1</x:v>
      </x:c>
      <x:c r="AE336" t="str">
        <x:f>IF(O336&lt;&gt;"ACTIVE","NOT_RATED",IF(AND(Z336&gt;=4.8,AB336&gt;=0.97,AC336&gt;=0.93,AD336=0),"ELITE",IF(AND(Z336&gt;=4.6,AB336&gt;=0.94,AC336&gt;=0.88),"HIGH_PERFORMER",IF(OR(Z336&lt;4.2,AB336&lt;0.85,AD336&gt;=2),"AT_RISK","STANDARD"))))</x:f>
        <x:v>AT_RISK</x:v>
      </x:c>
      <x:c r="AF336" s="15" t="n">
        <x:v>46008</x:v>
      </x:c>
      <x:c r="AG336" t="str">
        <x:v>VERIFIED</x:v>
      </x:c>
      <x:c r="AH336" t="str">
        <x:v>COMPLETE</x:v>
      </x:c>
      <x:c r="AI336" t="str">
        <x:v>Noah Rodriguez</x:v>
      </x:c>
      <x:c r="AJ336" t="str">
        <x:v>PARENT</x:v>
      </x:c>
      <x:c r="AK336" t="str">
        <x:v>+1 (408) 555-0161</x:v>
      </x:c>
    </x:row>
    <x:row r="337" ht="18" customHeight="1">
      <x:c r="A337" t="str">
        <x:v>DHR-00336</x:v>
      </x:c>
      <x:c r="B337" t="str">
        <x:v>Lucas Lee</x:v>
      </x:c>
      <x:c r="C337" t="str">
        <x:v>https://api.dicebear.com/9.x/adventurer/png?seed=DHR-00336-Lucas%20Lee&amp;size=256&amp;radius=50&amp;backgroundColor=b6e3f4,c0aede,d1d4f9,ffd5dc,ffdfbf</x:v>
      </x:c>
      <x:c r="D337" t="str">
        <x:v>lucas.lee.336@example.com</x:v>
      </x:c>
      <x:c r="E337" t="str">
        <x:v>+1 (213) 555-0135</x:v>
      </x:c>
      <x:c r="F337" t="str">
        <x:v>Los Angeles, CA</x:v>
      </x:c>
      <x:c r="G337" t="str">
        <x:v>Los Angeles</x:v>
      </x:c>
      <x:c r="H337" t="str">
        <x:v>CA</x:v>
      </x:c>
      <x:c r="I337" s="18" t="str">
        <x:v>90012</x:v>
      </x:c>
      <x:c r="J337" s="15" t="n">
        <x:v>25694.043003449075</x:v>
      </x:c>
      <x:c r="K337" t="n">
        <x:f>INT((DATE(2025,12,31)-J337)/365.25)</x:f>
        <x:v>55</x:v>
      </x:c>
      <x:c r="L337" t="str">
        <x:f>IF(K337&lt;25,"18-24",IF(K337&lt;35,"25-34",IF(K337&lt;45,"35-44",IF(K337&lt;55,"45-54","55+"))))</x:f>
        <x:v>55+</x:v>
      </x:c>
      <x:c r="M337" s="15" t="n">
        <x:v>44643.617379282405</x:v>
      </x:c>
      <x:c r="N337" t="n">
        <x:f>(YEAR(DATE(2025,12,31))-YEAR(M337))*12+MONTH(DATE(2025,12,31))-MONTH(M337)</x:f>
        <x:v>45</x:v>
      </x:c>
      <x:c r="O337" t="str">
        <x:v>PAUSED</x:v>
      </x:c>
      <x:c r="P337" t="str">
        <x:v>INDEPENDENT_CONTRACTOR</x:v>
      </x:c>
      <x:c r="Q337" t="str">
        <x:v>CAR</x:v>
      </x:c>
      <x:c r="R337" t="str">
        <x:v>FLEXIBLE</x:v>
      </x:c>
      <x:c r="S337" t="n">
        <x:v>45</x:v>
      </x:c>
      <x:c r="T337" t="str">
        <x:v>CLEARED</x:v>
      </x:c>
      <x:c r="U337" t="str">
        <x:v>VALID</x:v>
      </x:c>
      <x:c r="V337" s="16" t="n">
        <x:v>0.8905</x:v>
      </x:c>
      <x:c r="W337" t="str">
        <x:v>Portuguese</x:v>
      </x:c>
      <x:c r="X337" t="str">
        <x:v>English</x:v>
      </x:c>
      <x:c r="Y337" t="n">
        <x:v>3245</x:v>
      </x:c>
      <x:c r="Z337" s="17" t="n">
        <x:v>4.78</x:v>
      </x:c>
      <x:c r="AA337" s="16" t="n">
        <x:v>0.6707</x:v>
      </x:c>
      <x:c r="AB337" s="16" t="n">
        <x:v>0.9021</x:v>
      </x:c>
      <x:c r="AC337" s="16" t="n">
        <x:v>0.8272</x:v>
      </x:c>
      <x:c r="AD337" t="n">
        <x:v>0</x:v>
      </x:c>
      <x:c r="AE337" t="str">
        <x:f>IF(O337&lt;&gt;"ACTIVE","NOT_RATED",IF(AND(Z337&gt;=4.8,AB337&gt;=0.97,AC337&gt;=0.93,AD337=0),"ELITE",IF(AND(Z337&gt;=4.6,AB337&gt;=0.94,AC337&gt;=0.88),"HIGH_PERFORMER",IF(OR(Z337&lt;4.2,AB337&lt;0.85,AD337&gt;=2),"AT_RISK","STANDARD"))))</x:f>
        <x:v>NOT_RATED</x:v>
      </x:c>
      <x:c r="AF337" s="15" t="n">
        <x:v>45980</x:v>
      </x:c>
      <x:c r="AG337" t="str">
        <x:v>VERIFIED</x:v>
      </x:c>
      <x:c r="AH337" t="str">
        <x:v>COMPLETE</x:v>
      </x:c>
      <x:c r="AI337" t="str">
        <x:v>Hayden Williams</x:v>
      </x:c>
      <x:c r="AJ337" t="str">
        <x:v>FRIEND</x:v>
      </x:c>
      <x:c r="AK337" t="str">
        <x:v>+1 (213) 555-0168</x:v>
      </x:c>
    </x:row>
    <x:row r="338" ht="18" customHeight="1">
      <x:c r="A338" t="str">
        <x:v>DHR-00337</x:v>
      </x:c>
      <x:c r="B338" t="str">
        <x:v>Lucas Lewis</x:v>
      </x:c>
      <x:c r="C338" t="str">
        <x:v>https://api.dicebear.com/9.x/adventurer/png?seed=DHR-00337-Lucas%20Lewis&amp;size=256&amp;radius=50&amp;backgroundColor=b6e3f4,c0aede,d1d4f9,ffd5dc,ffdfbf</x:v>
      </x:c>
      <x:c r="D338" t="str">
        <x:v>lucas.lewis.337@example.com</x:v>
      </x:c>
      <x:c r="E338" t="str">
        <x:v>+1 (619) 555-0136</x:v>
      </x:c>
      <x:c r="F338" t="str">
        <x:v>San Diego, CA</x:v>
      </x:c>
      <x:c r="G338" t="str">
        <x:v>San Diego</x:v>
      </x:c>
      <x:c r="H338" t="str">
        <x:v>CA</x:v>
      </x:c>
      <x:c r="I338" s="18" t="str">
        <x:v>92101</x:v>
      </x:c>
      <x:c r="J338" s="15" t="n">
        <x:v>30062.238355034722</x:v>
      </x:c>
      <x:c r="K338" t="n">
        <x:f>INT((DATE(2025,12,31)-J338)/365.25)</x:f>
        <x:v>43</x:v>
      </x:c>
      <x:c r="L338" t="str">
        <x:f>IF(K338&lt;25,"18-24",IF(K338&lt;35,"25-34",IF(K338&lt;45,"35-44",IF(K338&lt;55,"45-54","55+"))))</x:f>
        <x:v>35-44</x:v>
      </x:c>
      <x:c r="M338" s="15" t="n">
        <x:v>45477.60176734954</x:v>
      </x:c>
      <x:c r="N338" t="n">
        <x:f>(YEAR(DATE(2025,12,31))-YEAR(M338))*12+MONTH(DATE(2025,12,31))-MONTH(M338)</x:f>
        <x:v>17</x:v>
      </x:c>
      <x:c r="O338" t="str">
        <x:v>ACTIVE</x:v>
      </x:c>
      <x:c r="P338" t="str">
        <x:v>INDEPENDENT_CONTRACTOR</x:v>
      </x:c>
      <x:c r="Q338" t="str">
        <x:v>CAR</x:v>
      </x:c>
      <x:c r="R338" t="str">
        <x:v>FLEXIBLE</x:v>
      </x:c>
      <x:c r="S338" t="n">
        <x:v>22</x:v>
      </x:c>
      <x:c r="T338" t="str">
        <x:v>CLEARED</x:v>
      </x:c>
      <x:c r="U338" t="str">
        <x:v>VALID</x:v>
      </x:c>
      <x:c r="V338" s="16" t="n">
        <x:v>0.7988</x:v>
      </x:c>
      <x:c r="W338" t="str">
        <x:v>Arabic</x:v>
      </x:c>
      <x:c r="X338"/>
      <x:c r="Y338" t="n">
        <x:v>870</x:v>
      </x:c>
      <x:c r="Z338" s="17" t="n">
        <x:v>3.95</x:v>
      </x:c>
      <x:c r="AA338" s="16" t="n">
        <x:v>0.6119</x:v>
      </x:c>
      <x:c r="AB338" s="16" t="n">
        <x:v>0.912</x:v>
      </x:c>
      <x:c r="AC338" s="16" t="n">
        <x:v>0.8915</x:v>
      </x:c>
      <x:c r="AD338" t="n">
        <x:v>3</x:v>
      </x:c>
      <x:c r="AE338" t="str">
        <x:f>IF(O338&lt;&gt;"ACTIVE","NOT_RATED",IF(AND(Z338&gt;=4.8,AB338&gt;=0.97,AC338&gt;=0.93,AD338=0),"ELITE",IF(AND(Z338&gt;=4.6,AB338&gt;=0.94,AC338&gt;=0.88),"HIGH_PERFORMER",IF(OR(Z338&lt;4.2,AB338&lt;0.85,AD338&gt;=2),"AT_RISK","STANDARD"))))</x:f>
        <x:v>AT_RISK</x:v>
      </x:c>
      <x:c r="AF338" s="15" t="n">
        <x:v>46016</x:v>
      </x:c>
      <x:c r="AG338" t="str">
        <x:v>PENDING</x:v>
      </x:c>
      <x:c r="AH338" t="str">
        <x:v>COMPLETE</x:v>
      </x:c>
      <x:c r="AI338" t="str">
        <x:v>Parker Lewis</x:v>
      </x:c>
      <x:c r="AJ338" t="str">
        <x:v>FRIEND</x:v>
      </x:c>
      <x:c r="AK338" t="str">
        <x:v>+1 (619) 555-0175</x:v>
      </x:c>
    </x:row>
    <x:row r="339" ht="18" customHeight="1">
      <x:c r="A339" t="str">
        <x:v>DHR-00338</x:v>
      </x:c>
      <x:c r="B339" t="str">
        <x:v>Lucas Martin</x:v>
      </x:c>
      <x:c r="C339" t="str">
        <x:v>https://api.dicebear.com/9.x/adventurer/png?seed=DHR-00338-Lucas%20Martin&amp;size=256&amp;radius=50&amp;backgroundColor=b6e3f4,c0aede,d1d4f9,ffd5dc,ffdfbf</x:v>
      </x:c>
      <x:c r="D339" t="str">
        <x:v>lucas.martin.338@example.com</x:v>
      </x:c>
      <x:c r="E339" t="str">
        <x:v>+1 (415) 555-0137</x:v>
      </x:c>
      <x:c r="F339" t="str">
        <x:v>San Francisco, CA</x:v>
      </x:c>
      <x:c r="G339" t="str">
        <x:v>San Francisco</x:v>
      </x:c>
      <x:c r="H339" t="str">
        <x:v>CA</x:v>
      </x:c>
      <x:c r="I339" s="18" t="str">
        <x:v>94103</x:v>
      </x:c>
      <x:c r="J339" s="15" t="n">
        <x:v>31386.156221122685</x:v>
      </x:c>
      <x:c r="K339" t="n">
        <x:f>INT((DATE(2025,12,31)-J339)/365.25)</x:f>
        <x:v>40</x:v>
      </x:c>
      <x:c r="L339" t="str">
        <x:f>IF(K339&lt;25,"18-24",IF(K339&lt;35,"25-34",IF(K339&lt;45,"35-44",IF(K339&lt;55,"45-54","55+"))))</x:f>
        <x:v>35-44</x:v>
      </x:c>
      <x:c r="M339" s="15" t="n">
        <x:v>43896.45279256944</x:v>
      </x:c>
      <x:c r="N339" t="n">
        <x:f>(YEAR(DATE(2025,12,31))-YEAR(M339))*12+MONTH(DATE(2025,12,31))-MONTH(M339)</x:f>
        <x:v>69</x:v>
      </x:c>
      <x:c r="O339" t="str">
        <x:v>ACTIVE</x:v>
      </x:c>
      <x:c r="P339" t="str">
        <x:v>INDEPENDENT_CONTRACTOR</x:v>
      </x:c>
      <x:c r="Q339" t="str">
        <x:v>BICYCLE</x:v>
      </x:c>
      <x:c r="R339" t="str">
        <x:v>WEEKENDS</x:v>
      </x:c>
      <x:c r="S339" t="n">
        <x:v>42</x:v>
      </x:c>
      <x:c r="T339" t="str">
        <x:v>CLEARED</x:v>
      </x:c>
      <x:c r="U339" t="str">
        <x:v>NOT_REQUIRED</x:v>
      </x:c>
      <x:c r="V339" s="16" t="n">
        <x:v>0.8187</x:v>
      </x:c>
      <x:c r="W339" t="str">
        <x:v>Spanish</x:v>
      </x:c>
      <x:c r="X339"/>
      <x:c r="Y339" t="n">
        <x:v>9221</x:v>
      </x:c>
      <x:c r="Z339" s="17" t="n">
        <x:v>4.59</x:v>
      </x:c>
      <x:c r="AA339" s="16" t="n">
        <x:v>0.7264</x:v>
      </x:c>
      <x:c r="AB339" s="16" t="n">
        <x:v>0.998</x:v>
      </x:c>
      <x:c r="AC339" s="16" t="n">
        <x:v>0.9088</x:v>
      </x:c>
      <x:c r="AD339" t="n">
        <x:v>0</x:v>
      </x:c>
      <x:c r="AE339" t="str">
        <x:f>IF(O339&lt;&gt;"ACTIVE","NOT_RATED",IF(AND(Z339&gt;=4.8,AB339&gt;=0.97,AC339&gt;=0.93,AD339=0),"ELITE",IF(AND(Z339&gt;=4.6,AB339&gt;=0.94,AC339&gt;=0.88),"HIGH_PERFORMER",IF(OR(Z339&lt;4.2,AB339&lt;0.85,AD339&gt;=2),"AT_RISK","STANDARD"))))</x:f>
        <x:v>STANDARD</x:v>
      </x:c>
      <x:c r="AF339" s="15" t="n">
        <x:v>46008</x:v>
      </x:c>
      <x:c r="AG339" t="str">
        <x:v>VERIFIED</x:v>
      </x:c>
      <x:c r="AH339" t="str">
        <x:v>COMPLETE</x:v>
      </x:c>
      <x:c r="AI339" t="str">
        <x:v>Jamie Harris</x:v>
      </x:c>
      <x:c r="AJ339" t="str">
        <x:v>SIBLING</x:v>
      </x:c>
      <x:c r="AK339" t="str">
        <x:v>+1 (415) 555-0182</x:v>
      </x:c>
    </x:row>
    <x:row r="340" ht="18" customHeight="1">
      <x:c r="A340" t="str">
        <x:v>DHR-00339</x:v>
      </x:c>
      <x:c r="B340" t="str">
        <x:v>Lucas Martinez</x:v>
      </x:c>
      <x:c r="C340" t="str">
        <x:v>https://api.dicebear.com/9.x/adventurer/png?seed=DHR-00339-Lucas%20Martinez&amp;size=256&amp;radius=50&amp;backgroundColor=b6e3f4,c0aede,d1d4f9,ffd5dc,ffdfbf</x:v>
      </x:c>
      <x:c r="D340" t="str">
        <x:v>lucas.martinez.339@example.com</x:v>
      </x:c>
      <x:c r="E340" t="str">
        <x:v>+1 (619) 555-0138</x:v>
      </x:c>
      <x:c r="F340" t="str">
        <x:v>San Diego, CA</x:v>
      </x:c>
      <x:c r="G340" t="str">
        <x:v>San Diego</x:v>
      </x:c>
      <x:c r="H340" t="str">
        <x:v>CA</x:v>
      </x:c>
      <x:c r="I340" s="18" t="str">
        <x:v>92101</x:v>
      </x:c>
      <x:c r="J340" s="15" t="n">
        <x:v>35365.37939908565</x:v>
      </x:c>
      <x:c r="K340" t="n">
        <x:f>INT((DATE(2025,12,31)-J340)/365.25)</x:f>
        <x:v>29</x:v>
      </x:c>
      <x:c r="L340" t="str">
        <x:f>IF(K340&lt;25,"18-24",IF(K340&lt;35,"25-34",IF(K340&lt;45,"35-44",IF(K340&lt;55,"45-54","55+"))))</x:f>
        <x:v>25-34</x:v>
      </x:c>
      <x:c r="M340" s="15" t="n">
        <x:v>44506.01469048611</x:v>
      </x:c>
      <x:c r="N340" t="n">
        <x:f>(YEAR(DATE(2025,12,31))-YEAR(M340))*12+MONTH(DATE(2025,12,31))-MONTH(M340)</x:f>
        <x:v>49</x:v>
      </x:c>
      <x:c r="O340" t="str">
        <x:v>ACTIVE</x:v>
      </x:c>
      <x:c r="P340" t="str">
        <x:v>INDEPENDENT_CONTRACTOR</x:v>
      </x:c>
      <x:c r="Q340" t="str">
        <x:v>E_BIKE</x:v>
      </x:c>
      <x:c r="R340" t="str">
        <x:v>DINNER</x:v>
      </x:c>
      <x:c r="S340" t="n">
        <x:v>25</x:v>
      </x:c>
      <x:c r="T340" t="str">
        <x:v>CLEARED</x:v>
      </x:c>
      <x:c r="U340" t="str">
        <x:v>NOT_REQUIRED</x:v>
      </x:c>
      <x:c r="V340" s="16" t="n">
        <x:v>0.994</x:v>
      </x:c>
      <x:c r="W340" t="str">
        <x:v>Spanish</x:v>
      </x:c>
      <x:c r="X340"/>
      <x:c r="Y340" t="n">
        <x:v>3703</x:v>
      </x:c>
      <x:c r="Z340" s="17" t="n">
        <x:v>4.96</x:v>
      </x:c>
      <x:c r="AA340" s="16" t="n">
        <x:v>0.9494</x:v>
      </x:c>
      <x:c r="AB340" s="16" t="n">
        <x:v>0.8899</x:v>
      </x:c>
      <x:c r="AC340" s="16" t="n">
        <x:v>0.8526</x:v>
      </x:c>
      <x:c r="AD340" t="n">
        <x:v>0</x:v>
      </x:c>
      <x:c r="AE340" t="str">
        <x:f>IF(O340&lt;&gt;"ACTIVE","NOT_RATED",IF(AND(Z340&gt;=4.8,AB340&gt;=0.97,AC340&gt;=0.93,AD340=0),"ELITE",IF(AND(Z340&gt;=4.6,AB340&gt;=0.94,AC340&gt;=0.88),"HIGH_PERFORMER",IF(OR(Z340&lt;4.2,AB340&lt;0.85,AD340&gt;=2),"AT_RISK","STANDARD"))))</x:f>
        <x:v>STANDARD</x:v>
      </x:c>
      <x:c r="AF340" s="15" t="n">
        <x:v>46010</x:v>
      </x:c>
      <x:c r="AG340" t="str">
        <x:v>VERIFIED</x:v>
      </x:c>
      <x:c r="AH340" t="str">
        <x:v>COMPLETE</x:v>
      </x:c>
      <x:c r="AI340" t="str">
        <x:v>Emma Martin</x:v>
      </x:c>
      <x:c r="AJ340" t="str">
        <x:v>SPOUSE_PARTNER</x:v>
      </x:c>
      <x:c r="AK340" t="str">
        <x:v>+1 (619) 555-0189</x:v>
      </x:c>
    </x:row>
    <x:row r="341" ht="18" customHeight="1">
      <x:c r="A341" t="str">
        <x:v>DHR-00340</x:v>
      </x:c>
      <x:c r="B341" t="str">
        <x:v>Lucas Miller</x:v>
      </x:c>
      <x:c r="C341" t="str">
        <x:v>https://api.dicebear.com/9.x/adventurer/png?seed=DHR-00340-Lucas%20Miller&amp;size=256&amp;radius=50&amp;backgroundColor=b6e3f4,c0aede,d1d4f9,ffd5dc,ffdfbf</x:v>
      </x:c>
      <x:c r="D341" t="str">
        <x:v>lucas.miller.340@example.com</x:v>
      </x:c>
      <x:c r="E341" t="str">
        <x:v>+1 (614) 555-0139</x:v>
      </x:c>
      <x:c r="F341" t="str">
        <x:v>Columbus, OH</x:v>
      </x:c>
      <x:c r="G341" t="str">
        <x:v>Columbus</x:v>
      </x:c>
      <x:c r="H341" t="str">
        <x:v>OH</x:v>
      </x:c>
      <x:c r="I341" s="18" t="str">
        <x:v>43215</x:v>
      </x:c>
      <x:c r="J341" s="15" t="n">
        <x:v>28825.526217106482</x:v>
      </x:c>
      <x:c r="K341" t="n">
        <x:f>INT((DATE(2025,12,31)-J341)/365.25)</x:f>
        <x:v>47</x:v>
      </x:c>
      <x:c r="L341" t="str">
        <x:f>IF(K341&lt;25,"18-24",IF(K341&lt;35,"25-34",IF(K341&lt;45,"35-44",IF(K341&lt;55,"45-54","55+"))))</x:f>
        <x:v>45-54</x:v>
      </x:c>
      <x:c r="M341" s="15" t="n">
        <x:v>45279.68154684028</x:v>
      </x:c>
      <x:c r="N341" t="n">
        <x:f>(YEAR(DATE(2025,12,31))-YEAR(M341))*12+MONTH(DATE(2025,12,31))-MONTH(M341)</x:f>
        <x:v>24</x:v>
      </x:c>
      <x:c r="O341" t="str">
        <x:v>ACTIVE</x:v>
      </x:c>
      <x:c r="P341" t="str">
        <x:v>INDEPENDENT_CONTRACTOR</x:v>
      </x:c>
      <x:c r="Q341" t="str">
        <x:v>CAR</x:v>
      </x:c>
      <x:c r="R341" t="str">
        <x:v>FLEXIBLE</x:v>
      </x:c>
      <x:c r="S341" t="n">
        <x:v>15</x:v>
      </x:c>
      <x:c r="T341" t="str">
        <x:v>CLEARED</x:v>
      </x:c>
      <x:c r="U341" t="str">
        <x:v>VALID</x:v>
      </x:c>
      <x:c r="V341" s="16" t="n">
        <x:v>0.8367</x:v>
      </x:c>
      <x:c r="W341" t="str">
        <x:v>Spanish</x:v>
      </x:c>
      <x:c r="X341"/>
      <x:c r="Y341" t="n">
        <x:v>926</x:v>
      </x:c>
      <x:c r="Z341" s="17" t="n">
        <x:v>4.64</x:v>
      </x:c>
      <x:c r="AA341" s="16" t="n">
        <x:v>0.7734</x:v>
      </x:c>
      <x:c r="AB341" s="16" t="n">
        <x:v>0.933</x:v>
      </x:c>
      <x:c r="AC341" s="16" t="n">
        <x:v>0.9323</x:v>
      </x:c>
      <x:c r="AD341" t="n">
        <x:v>0</x:v>
      </x:c>
      <x:c r="AE341" t="str">
        <x:f>IF(O341&lt;&gt;"ACTIVE","NOT_RATED",IF(AND(Z341&gt;=4.8,AB341&gt;=0.97,AC341&gt;=0.93,AD341=0),"ELITE",IF(AND(Z341&gt;=4.6,AB341&gt;=0.94,AC341&gt;=0.88),"HIGH_PERFORMER",IF(OR(Z341&lt;4.2,AB341&lt;0.85,AD341&gt;=2),"AT_RISK","STANDARD"))))</x:f>
        <x:v>STANDARD</x:v>
      </x:c>
      <x:c r="AF341" s="15" t="n">
        <x:v>46018</x:v>
      </x:c>
      <x:c r="AG341" t="str">
        <x:v>VERIFIED</x:v>
      </x:c>
      <x:c r="AH341" t="str">
        <x:v>COMPLETE</x:v>
      </x:c>
      <x:c r="AI341" t="str">
        <x:v>Ava Walker</x:v>
      </x:c>
      <x:c r="AJ341" t="str">
        <x:v>PARENT</x:v>
      </x:c>
      <x:c r="AK341" t="str">
        <x:v>+1 (614) 555-0196</x:v>
      </x:c>
    </x:row>
    <x:row r="342" ht="18" customHeight="1">
      <x:c r="A342" t="str">
        <x:v>DHR-00341</x:v>
      </x:c>
      <x:c r="B342" t="str">
        <x:v>Lucas Moore</x:v>
      </x:c>
      <x:c r="C342" t="str">
        <x:v>https://api.dicebear.com/9.x/adventurer/png?seed=DHR-00341-Lucas%20Moore&amp;size=256&amp;radius=50&amp;backgroundColor=b6e3f4,c0aede,d1d4f9,ffd5dc,ffdfbf</x:v>
      </x:c>
      <x:c r="D342" t="str">
        <x:v>lucas.moore.341@example.com</x:v>
      </x:c>
      <x:c r="E342" t="str">
        <x:v>+1 (214) 555-0140</x:v>
      </x:c>
      <x:c r="F342" t="str">
        <x:v>Dallas, TX</x:v>
      </x:c>
      <x:c r="G342" t="str">
        <x:v>Dallas</x:v>
      </x:c>
      <x:c r="H342" t="str">
        <x:v>TX</x:v>
      </x:c>
      <x:c r="I342" s="18" t="str">
        <x:v>75201</x:v>
      </x:c>
      <x:c r="J342" s="15" t="n">
        <x:v>35359.76973445602</x:v>
      </x:c>
      <x:c r="K342" t="n">
        <x:f>INT((DATE(2025,12,31)-J342)/365.25)</x:f>
        <x:v>29</x:v>
      </x:c>
      <x:c r="L342" t="str">
        <x:f>IF(K342&lt;25,"18-24",IF(K342&lt;35,"25-34",IF(K342&lt;45,"35-44",IF(K342&lt;55,"45-54","55+"))))</x:f>
        <x:v>25-34</x:v>
      </x:c>
      <x:c r="M342" s="15" t="n">
        <x:v>43662.23980109954</x:v>
      </x:c>
      <x:c r="N342" t="n">
        <x:f>(YEAR(DATE(2025,12,31))-YEAR(M342))*12+MONTH(DATE(2025,12,31))-MONTH(M342)</x:f>
        <x:v>77</x:v>
      </x:c>
      <x:c r="O342" t="str">
        <x:v>ACTIVE</x:v>
      </x:c>
      <x:c r="P342" t="str">
        <x:v>INDEPENDENT_CONTRACTOR</x:v>
      </x:c>
      <x:c r="Q342" t="str">
        <x:v>CAR</x:v>
      </x:c>
      <x:c r="R342" t="str">
        <x:v>WEEKENDS</x:v>
      </x:c>
      <x:c r="S342" t="n">
        <x:v>36</x:v>
      </x:c>
      <x:c r="T342" t="str">
        <x:v>CLEARED</x:v>
      </x:c>
      <x:c r="U342" t="str">
        <x:v>VALID</x:v>
      </x:c>
      <x:c r="V342" s="16" t="n">
        <x:v>0.9151</x:v>
      </x:c>
      <x:c r="W342" t="str">
        <x:v>English</x:v>
      </x:c>
      <x:c r="X342"/>
      <x:c r="Y342" t="n">
        <x:v>6593</x:v>
      </x:c>
      <x:c r="Z342" s="17" t="n">
        <x:v>4.51</x:v>
      </x:c>
      <x:c r="AA342" s="16" t="n">
        <x:v>0.7035</x:v>
      </x:c>
      <x:c r="AB342" s="16" t="n">
        <x:v>0.9932</x:v>
      </x:c>
      <x:c r="AC342" s="16" t="n">
        <x:v>0.8521</x:v>
      </x:c>
      <x:c r="AD342" t="n">
        <x:v>0</x:v>
      </x:c>
      <x:c r="AE342" t="str">
        <x:f>IF(O342&lt;&gt;"ACTIVE","NOT_RATED",IF(AND(Z342&gt;=4.8,AB342&gt;=0.97,AC342&gt;=0.93,AD342=0),"ELITE",IF(AND(Z342&gt;=4.6,AB342&gt;=0.94,AC342&gt;=0.88),"HIGH_PERFORMER",IF(OR(Z342&lt;4.2,AB342&lt;0.85,AD342&gt;=2),"AT_RISK","STANDARD"))))</x:f>
        <x:v>STANDARD</x:v>
      </x:c>
      <x:c r="AF342" s="15" t="n">
        <x:v>46012</x:v>
      </x:c>
      <x:c r="AG342" t="str">
        <x:v>VERIFIED</x:v>
      </x:c>
      <x:c r="AH342" t="str">
        <x:v>COMPLETE</x:v>
      </x:c>
      <x:c r="AI342" t="str">
        <x:v>Mateo Clark</x:v>
      </x:c>
      <x:c r="AJ342" t="str">
        <x:v>SPOUSE_PARTNER</x:v>
      </x:c>
      <x:c r="AK342" t="str">
        <x:v>+1 (214) 555-0103</x:v>
      </x:c>
    </x:row>
    <x:row r="343" ht="18" customHeight="1">
      <x:c r="A343" t="str">
        <x:v>DHR-00342</x:v>
      </x:c>
      <x:c r="B343" t="str">
        <x:v>Lucas Perez</x:v>
      </x:c>
      <x:c r="C343" t="str">
        <x:v>https://api.dicebear.com/9.x/adventurer/png?seed=DHR-00342-Lucas%20Perez&amp;size=256&amp;radius=50&amp;backgroundColor=b6e3f4,c0aede,d1d4f9,ffd5dc,ffdfbf</x:v>
      </x:c>
      <x:c r="D343" t="str">
        <x:v>lucas.perez.342@example.com</x:v>
      </x:c>
      <x:c r="E343" t="str">
        <x:v>+1 (305) 555-0141</x:v>
      </x:c>
      <x:c r="F343" t="str">
        <x:v>Miami, FL</x:v>
      </x:c>
      <x:c r="G343" t="str">
        <x:v>Miami</x:v>
      </x:c>
      <x:c r="H343" t="str">
        <x:v>FL</x:v>
      </x:c>
      <x:c r="I343" s="18" t="str">
        <x:v>33130</x:v>
      </x:c>
      <x:c r="J343" s="15" t="n">
        <x:v>31784.976153263888</x:v>
      </x:c>
      <x:c r="K343" t="n">
        <x:f>INT((DATE(2025,12,31)-J343)/365.25)</x:f>
        <x:v>38</x:v>
      </x:c>
      <x:c r="L343" t="str">
        <x:f>IF(K343&lt;25,"18-24",IF(K343&lt;35,"25-34",IF(K343&lt;45,"35-44",IF(K343&lt;55,"45-54","55+"))))</x:f>
        <x:v>35-44</x:v>
      </x:c>
      <x:c r="M343" s="15" t="n">
        <x:v>44481.737218518516</x:v>
      </x:c>
      <x:c r="N343" t="n">
        <x:f>(YEAR(DATE(2025,12,31))-YEAR(M343))*12+MONTH(DATE(2025,12,31))-MONTH(M343)</x:f>
        <x:v>50</x:v>
      </x:c>
      <x:c r="O343" t="str">
        <x:v>ACTIVE</x:v>
      </x:c>
      <x:c r="P343" t="str">
        <x:v>INDEPENDENT_CONTRACTOR</x:v>
      </x:c>
      <x:c r="Q343" t="str">
        <x:v>CAR</x:v>
      </x:c>
      <x:c r="R343" t="str">
        <x:v>DINNER</x:v>
      </x:c>
      <x:c r="S343" t="n">
        <x:v>41</x:v>
      </x:c>
      <x:c r="T343" t="str">
        <x:v>CLEARED</x:v>
      </x:c>
      <x:c r="U343" t="str">
        <x:v>VALID</x:v>
      </x:c>
      <x:c r="V343" s="16" t="n">
        <x:v>0.7967</x:v>
      </x:c>
      <x:c r="W343" t="str">
        <x:v>English</x:v>
      </x:c>
      <x:c r="X343"/>
      <x:c r="Y343" t="n">
        <x:v>4758</x:v>
      </x:c>
      <x:c r="Z343" s="17" t="n">
        <x:v>4.97</x:v>
      </x:c>
      <x:c r="AA343" s="16" t="n">
        <x:v>0.8863</x:v>
      </x:c>
      <x:c r="AB343" s="16" t="n">
        <x:v>0.9722</x:v>
      </x:c>
      <x:c r="AC343" s="16" t="n">
        <x:v>0.9088</x:v>
      </x:c>
      <x:c r="AD343" t="n">
        <x:v>0</x:v>
      </x:c>
      <x:c r="AE343" t="str">
        <x:f>IF(O343&lt;&gt;"ACTIVE","NOT_RATED",IF(AND(Z343&gt;=4.8,AB343&gt;=0.97,AC343&gt;=0.93,AD343=0),"ELITE",IF(AND(Z343&gt;=4.6,AB343&gt;=0.94,AC343&gt;=0.88),"HIGH_PERFORMER",IF(OR(Z343&lt;4.2,AB343&lt;0.85,AD343&gt;=2),"AT_RISK","STANDARD"))))</x:f>
        <x:v>HIGH_PERFORMER</x:v>
      </x:c>
      <x:c r="AF343" s="15" t="n">
        <x:v>46016</x:v>
      </x:c>
      <x:c r="AG343" t="str">
        <x:v>VERIFIED</x:v>
      </x:c>
      <x:c r="AH343" t="str">
        <x:v>COMPLETE</x:v>
      </x:c>
      <x:c r="AI343" t="str">
        <x:v>Parker White</x:v>
      </x:c>
      <x:c r="AJ343" t="str">
        <x:v>PARENT</x:v>
      </x:c>
      <x:c r="AK343" t="str">
        <x:v>+1 (305) 555-0110</x:v>
      </x:c>
    </x:row>
    <x:row r="344" ht="18" customHeight="1">
      <x:c r="A344" t="str">
        <x:v>DHR-00343</x:v>
      </x:c>
      <x:c r="B344" t="str">
        <x:v>Lucas Rodriguez</x:v>
      </x:c>
      <x:c r="C344" t="str">
        <x:v>https://api.dicebear.com/9.x/adventurer/png?seed=DHR-00343-Lucas%20Rodriguez&amp;size=256&amp;radius=50&amp;backgroundColor=b6e3f4,c0aede,d1d4f9,ffd5dc,ffdfbf</x:v>
      </x:c>
      <x:c r="D344" t="str">
        <x:v>lucas.rodriguez.343@example.com</x:v>
      </x:c>
      <x:c r="E344" t="str">
        <x:v>+1 (602) 555-0142</x:v>
      </x:c>
      <x:c r="F344" t="str">
        <x:v>Phoenix, AZ</x:v>
      </x:c>
      <x:c r="G344" t="str">
        <x:v>Phoenix</x:v>
      </x:c>
      <x:c r="H344" t="str">
        <x:v>AZ</x:v>
      </x:c>
      <x:c r="I344" s="18" t="str">
        <x:v>85004</x:v>
      </x:c>
      <x:c r="J344" s="15" t="n">
        <x:v>27924.030276145833</x:v>
      </x:c>
      <x:c r="K344" t="n">
        <x:f>INT((DATE(2025,12,31)-J344)/365.25)</x:f>
        <x:v>49</x:v>
      </x:c>
      <x:c r="L344" t="str">
        <x:f>IF(K344&lt;25,"18-24",IF(K344&lt;35,"25-34",IF(K344&lt;45,"35-44",IF(K344&lt;55,"45-54","55+"))))</x:f>
        <x:v>45-54</x:v>
      </x:c>
      <x:c r="M344" s="15" t="n">
        <x:v>44015.92856292824</x:v>
      </x:c>
      <x:c r="N344" t="n">
        <x:f>(YEAR(DATE(2025,12,31))-YEAR(M344))*12+MONTH(DATE(2025,12,31))-MONTH(M344)</x:f>
        <x:v>65</x:v>
      </x:c>
      <x:c r="O344" t="str">
        <x:v>ACTIVE</x:v>
      </x:c>
      <x:c r="P344" t="str">
        <x:v>INDEPENDENT_CONTRACTOR</x:v>
      </x:c>
      <x:c r="Q344" t="str">
        <x:v>BICYCLE</x:v>
      </x:c>
      <x:c r="R344" t="str">
        <x:v>LUNCH</x:v>
      </x:c>
      <x:c r="S344" t="n">
        <x:v>9</x:v>
      </x:c>
      <x:c r="T344" t="str">
        <x:v>CLEARED</x:v>
      </x:c>
      <x:c r="U344" t="str">
        <x:v>NOT_REQUIRED</x:v>
      </x:c>
      <x:c r="V344" s="16" t="n">
        <x:v>0.9044</x:v>
      </x:c>
      <x:c r="W344" t="str">
        <x:v>Portuguese</x:v>
      </x:c>
      <x:c r="X344" t="str">
        <x:v>English</x:v>
      </x:c>
      <x:c r="Y344" t="n">
        <x:v>2199</x:v>
      </x:c>
      <x:c r="Z344" s="17" t="n">
        <x:v>4.91</x:v>
      </x:c>
      <x:c r="AA344" s="16" t="n">
        <x:v>0.8913</x:v>
      </x:c>
      <x:c r="AB344" s="16" t="n">
        <x:v>0.9104</x:v>
      </x:c>
      <x:c r="AC344" s="16" t="n">
        <x:v>0.9324</x:v>
      </x:c>
      <x:c r="AD344" t="n">
        <x:v>1</x:v>
      </x:c>
      <x:c r="AE344" t="str">
        <x:f>IF(O344&lt;&gt;"ACTIVE","NOT_RATED",IF(AND(Z344&gt;=4.8,AB344&gt;=0.97,AC344&gt;=0.93,AD344=0),"ELITE",IF(AND(Z344&gt;=4.6,AB344&gt;=0.94,AC344&gt;=0.88),"HIGH_PERFORMER",IF(OR(Z344&lt;4.2,AB344&lt;0.85,AD344&gt;=2),"AT_RISK","STANDARD"))))</x:f>
        <x:v>STANDARD</x:v>
      </x:c>
      <x:c r="AF344" s="15" t="n">
        <x:v>46016</x:v>
      </x:c>
      <x:c r="AG344" t="str">
        <x:v>VERIFIED</x:v>
      </x:c>
      <x:c r="AH344" t="str">
        <x:v>COMPLETE</x:v>
      </x:c>
      <x:c r="AI344" t="str">
        <x:v>Reese Taylor</x:v>
      </x:c>
      <x:c r="AJ344" t="str">
        <x:v>SIBLING</x:v>
      </x:c>
      <x:c r="AK344" t="str">
        <x:v>+1 (602) 555-0117</x:v>
      </x:c>
    </x:row>
    <x:row r="345" ht="18" customHeight="1">
      <x:c r="A345" t="str">
        <x:v>DHR-00344</x:v>
      </x:c>
      <x:c r="B345" t="str">
        <x:v>Lucas Taylor</x:v>
      </x:c>
      <x:c r="C345" t="str">
        <x:v>https://api.dicebear.com/9.x/adventurer/png?seed=DHR-00344-Lucas%20Taylor&amp;size=256&amp;radius=50&amp;backgroundColor=b6e3f4,c0aede,d1d4f9,ffd5dc,ffdfbf</x:v>
      </x:c>
      <x:c r="D345" t="str">
        <x:v>lucas.taylor.344@example.com</x:v>
      </x:c>
      <x:c r="E345" t="str">
        <x:v>+1 (213) 555-0143</x:v>
      </x:c>
      <x:c r="F345" t="str">
        <x:v>Los Angeles, CA</x:v>
      </x:c>
      <x:c r="G345" t="str">
        <x:v>Los Angeles</x:v>
      </x:c>
      <x:c r="H345" t="str">
        <x:v>CA</x:v>
      </x:c>
      <x:c r="I345" s="18" t="str">
        <x:v>90012</x:v>
      </x:c>
      <x:c r="J345" s="15" t="n">
        <x:v>25173.090679467594</x:v>
      </x:c>
      <x:c r="K345" t="n">
        <x:f>INT((DATE(2025,12,31)-J345)/365.25)</x:f>
        <x:v>57</x:v>
      </x:c>
      <x:c r="L345" t="str">
        <x:f>IF(K345&lt;25,"18-24",IF(K345&lt;35,"25-34",IF(K345&lt;45,"35-44",IF(K345&lt;55,"45-54","55+"))))</x:f>
        <x:v>55+</x:v>
      </x:c>
      <x:c r="M345" s="15" t="n">
        <x:v>43669.26274907407</x:v>
      </x:c>
      <x:c r="N345" t="n">
        <x:f>(YEAR(DATE(2025,12,31))-YEAR(M345))*12+MONTH(DATE(2025,12,31))-MONTH(M345)</x:f>
        <x:v>77</x:v>
      </x:c>
      <x:c r="O345" t="str">
        <x:v>ACTIVE</x:v>
      </x:c>
      <x:c r="P345" t="str">
        <x:v>INDEPENDENT_CONTRACTOR</x:v>
      </x:c>
      <x:c r="Q345" t="str">
        <x:v>CAR</x:v>
      </x:c>
      <x:c r="R345" t="str">
        <x:v>FLEXIBLE</x:v>
      </x:c>
      <x:c r="S345" t="n">
        <x:v>46</x:v>
      </x:c>
      <x:c r="T345" t="str">
        <x:v>CLEARED</x:v>
      </x:c>
      <x:c r="U345" t="str">
        <x:v>VALID</x:v>
      </x:c>
      <x:c r="V345" s="16" t="n">
        <x:v>0.9725</x:v>
      </x:c>
      <x:c r="W345" t="str">
        <x:v>English</x:v>
      </x:c>
      <x:c r="X345" t="str">
        <x:v>Spanish</x:v>
      </x:c>
      <x:c r="Y345" t="n">
        <x:v>10390</x:v>
      </x:c>
      <x:c r="Z345" s="17" t="n">
        <x:v>4.93</x:v>
      </x:c>
      <x:c r="AA345" s="16" t="n">
        <x:v>0.9182</x:v>
      </x:c>
      <x:c r="AB345" s="16" t="n">
        <x:v>0.9631</x:v>
      </x:c>
      <x:c r="AC345" s="16" t="n">
        <x:v>0.9582</x:v>
      </x:c>
      <x:c r="AD345" t="n">
        <x:v>0</x:v>
      </x:c>
      <x:c r="AE345" t="str">
        <x:f>IF(O345&lt;&gt;"ACTIVE","NOT_RATED",IF(AND(Z345&gt;=4.8,AB345&gt;=0.97,AC345&gt;=0.93,AD345=0),"ELITE",IF(AND(Z345&gt;=4.6,AB345&gt;=0.94,AC345&gt;=0.88),"HIGH_PERFORMER",IF(OR(Z345&lt;4.2,AB345&lt;0.85,AD345&gt;=2),"AT_RISK","STANDARD"))))</x:f>
        <x:v>HIGH_PERFORMER</x:v>
      </x:c>
      <x:c r="AF345" s="15" t="n">
        <x:v>46022</x:v>
      </x:c>
      <x:c r="AG345" t="str">
        <x:v>VERIFIED</x:v>
      </x:c>
      <x:c r="AH345" t="str">
        <x:v>COMPLETE</x:v>
      </x:c>
      <x:c r="AI345" t="str">
        <x:v>Parker Jackson</x:v>
      </x:c>
      <x:c r="AJ345" t="str">
        <x:v>PARENT</x:v>
      </x:c>
      <x:c r="AK345" t="str">
        <x:v>+1 (213) 555-0124</x:v>
      </x:c>
    </x:row>
    <x:row r="346" ht="18" customHeight="1">
      <x:c r="A346" t="str">
        <x:v>DHR-00345</x:v>
      </x:c>
      <x:c r="B346" t="str">
        <x:v>Lucas Thompson</x:v>
      </x:c>
      <x:c r="C346" t="str">
        <x:v>https://api.dicebear.com/9.x/adventurer/png?seed=DHR-00345-Lucas%20Thompson&amp;size=256&amp;radius=50&amp;backgroundColor=b6e3f4,c0aede,d1d4f9,ffd5dc,ffdfbf</x:v>
      </x:c>
      <x:c r="D346" t="str">
        <x:v>lucas.thompson.345@example.com</x:v>
      </x:c>
      <x:c r="E346" t="str">
        <x:v>+1 (404) 555-0144</x:v>
      </x:c>
      <x:c r="F346" t="str">
        <x:v>Atlanta, GA</x:v>
      </x:c>
      <x:c r="G346" t="str">
        <x:v>Atlanta</x:v>
      </x:c>
      <x:c r="H346" t="str">
        <x:v>GA</x:v>
      </x:c>
      <x:c r="I346" s="18" t="str">
        <x:v>30303</x:v>
      </x:c>
      <x:c r="J346" s="15" t="n">
        <x:v>32676.27672400463</x:v>
      </x:c>
      <x:c r="K346" t="n">
        <x:f>INT((DATE(2025,12,31)-J346)/365.25)</x:f>
        <x:v>36</x:v>
      </x:c>
      <x:c r="L346" t="str">
        <x:f>IF(K346&lt;25,"18-24",IF(K346&lt;35,"25-34",IF(K346&lt;45,"35-44",IF(K346&lt;55,"45-54","55+"))))</x:f>
        <x:v>35-44</x:v>
      </x:c>
      <x:c r="M346" s="15" t="n">
        <x:v>44875.50395737268</x:v>
      </x:c>
      <x:c r="N346" t="n">
        <x:f>(YEAR(DATE(2025,12,31))-YEAR(M346))*12+MONTH(DATE(2025,12,31))-MONTH(M346)</x:f>
        <x:v>37</x:v>
      </x:c>
      <x:c r="O346" t="str">
        <x:v>ACTIVE</x:v>
      </x:c>
      <x:c r="P346" t="str">
        <x:v>INDEPENDENT_CONTRACTOR</x:v>
      </x:c>
      <x:c r="Q346" t="str">
        <x:v>CAR</x:v>
      </x:c>
      <x:c r="R346" t="str">
        <x:v>FLEXIBLE</x:v>
      </x:c>
      <x:c r="S346" t="n">
        <x:v>21</x:v>
      </x:c>
      <x:c r="T346" t="str">
        <x:v>CLEARED</x:v>
      </x:c>
      <x:c r="U346" t="str">
        <x:v>VALID</x:v>
      </x:c>
      <x:c r="V346" s="16" t="n">
        <x:v>0.8859</x:v>
      </x:c>
      <x:c r="W346" t="str">
        <x:v>French</x:v>
      </x:c>
      <x:c r="X346" t="str">
        <x:v>Spanish</x:v>
      </x:c>
      <x:c r="Y346" t="n">
        <x:v>3177</x:v>
      </x:c>
      <x:c r="Z346" s="17" t="n">
        <x:v>4.44</x:v>
      </x:c>
      <x:c r="AA346" s="16" t="n">
        <x:v>0.8815</x:v>
      </x:c>
      <x:c r="AB346" s="16" t="n">
        <x:v>0.8951</x:v>
      </x:c>
      <x:c r="AC346" s="16" t="n">
        <x:v>0.8209</x:v>
      </x:c>
      <x:c r="AD346" t="n">
        <x:v>0</x:v>
      </x:c>
      <x:c r="AE346" t="str">
        <x:f>IF(O346&lt;&gt;"ACTIVE","NOT_RATED",IF(AND(Z346&gt;=4.8,AB346&gt;=0.97,AC346&gt;=0.93,AD346=0),"ELITE",IF(AND(Z346&gt;=4.6,AB346&gt;=0.94,AC346&gt;=0.88),"HIGH_PERFORMER",IF(OR(Z346&lt;4.2,AB346&lt;0.85,AD346&gt;=2),"AT_RISK","STANDARD"))))</x:f>
        <x:v>STANDARD</x:v>
      </x:c>
      <x:c r="AF346" s="15" t="n">
        <x:v>46021</x:v>
      </x:c>
      <x:c r="AG346" t="str">
        <x:v>VERIFIED</x:v>
      </x:c>
      <x:c r="AH346" t="str">
        <x:v>COMPLETE</x:v>
      </x:c>
      <x:c r="AI346" t="str">
        <x:v>Noah Lee</x:v>
      </x:c>
      <x:c r="AJ346" t="str">
        <x:v>SIBLING</x:v>
      </x:c>
      <x:c r="AK346" t="str">
        <x:v>+1 (404) 555-0131</x:v>
      </x:c>
    </x:row>
    <x:row r="347" ht="18" customHeight="1">
      <x:c r="A347" t="str">
        <x:v>DHR-00346</x:v>
      </x:c>
      <x:c r="B347" t="str">
        <x:v>Lucas Walker</x:v>
      </x:c>
      <x:c r="C347" t="str">
        <x:v>https://api.dicebear.com/9.x/adventurer/png?seed=DHR-00346-Lucas%20Walker&amp;size=256&amp;radius=50&amp;backgroundColor=b6e3f4,c0aede,d1d4f9,ffd5dc,ffdfbf</x:v>
      </x:c>
      <x:c r="D347" t="str">
        <x:v>lucas.walker.346@example.com</x:v>
      </x:c>
      <x:c r="E347" t="str">
        <x:v>+1 (305) 555-0145</x:v>
      </x:c>
      <x:c r="F347" t="str">
        <x:v>Miami, FL</x:v>
      </x:c>
      <x:c r="G347" t="str">
        <x:v>Miami</x:v>
      </x:c>
      <x:c r="H347" t="str">
        <x:v>FL</x:v>
      </x:c>
      <x:c r="I347" s="18" t="str">
        <x:v>33130</x:v>
      </x:c>
      <x:c r="J347" s="15" t="n">
        <x:v>31145.970108391204</x:v>
      </x:c>
      <x:c r="K347" t="n">
        <x:f>INT((DATE(2025,12,31)-J347)/365.25)</x:f>
        <x:v>40</x:v>
      </x:c>
      <x:c r="L347" t="str">
        <x:f>IF(K347&lt;25,"18-24",IF(K347&lt;35,"25-34",IF(K347&lt;45,"35-44",IF(K347&lt;55,"45-54","55+"))))</x:f>
        <x:v>35-44</x:v>
      </x:c>
      <x:c r="M347" s="15" t="n">
        <x:v>44625.750680694444</x:v>
      </x:c>
      <x:c r="N347" t="n">
        <x:f>(YEAR(DATE(2025,12,31))-YEAR(M347))*12+MONTH(DATE(2025,12,31))-MONTH(M347)</x:f>
        <x:v>45</x:v>
      </x:c>
      <x:c r="O347" t="str">
        <x:v>ACTIVE</x:v>
      </x:c>
      <x:c r="P347" t="str">
        <x:v>INDEPENDENT_CONTRACTOR</x:v>
      </x:c>
      <x:c r="Q347" t="str">
        <x:v>CAR</x:v>
      </x:c>
      <x:c r="R347" t="str">
        <x:v>LUNCH</x:v>
      </x:c>
      <x:c r="S347" t="n">
        <x:v>31</x:v>
      </x:c>
      <x:c r="T347" t="str">
        <x:v>CLEARED</x:v>
      </x:c>
      <x:c r="U347" t="str">
        <x:v>VALID</x:v>
      </x:c>
      <x:c r="V347" s="16" t="n">
        <x:v>0.8412</x:v>
      </x:c>
      <x:c r="W347" t="str">
        <x:v>Spanish</x:v>
      </x:c>
      <x:c r="X347"/>
      <x:c r="Y347" t="n">
        <x:v>5592</x:v>
      </x:c>
      <x:c r="Z347" s="17" t="n">
        <x:v>4.29</x:v>
      </x:c>
      <x:c r="AA347" s="16" t="n">
        <x:v>0.6579</x:v>
      </x:c>
      <x:c r="AB347" s="16" t="n">
        <x:v>0.9225</x:v>
      </x:c>
      <x:c r="AC347" s="16" t="n">
        <x:v>0.9127</x:v>
      </x:c>
      <x:c r="AD347" t="n">
        <x:v>0</x:v>
      </x:c>
      <x:c r="AE347" t="str">
        <x:f>IF(O347&lt;&gt;"ACTIVE","NOT_RATED",IF(AND(Z347&gt;=4.8,AB347&gt;=0.97,AC347&gt;=0.93,AD347=0),"ELITE",IF(AND(Z347&gt;=4.6,AB347&gt;=0.94,AC347&gt;=0.88),"HIGH_PERFORMER",IF(OR(Z347&lt;4.2,AB347&lt;0.85,AD347&gt;=2),"AT_RISK","STANDARD"))))</x:f>
        <x:v>STANDARD</x:v>
      </x:c>
      <x:c r="AF347" s="15" t="n">
        <x:v>46019</x:v>
      </x:c>
      <x:c r="AG347" t="str">
        <x:v>VERIFIED</x:v>
      </x:c>
      <x:c r="AH347" t="str">
        <x:v>COMPLETE</x:v>
      </x:c>
      <x:c r="AI347" t="str">
        <x:v>Cameron Wilson</x:v>
      </x:c>
      <x:c r="AJ347" t="str">
        <x:v>SPOUSE_PARTNER</x:v>
      </x:c>
      <x:c r="AK347" t="str">
        <x:v>+1 (305) 555-0138</x:v>
      </x:c>
    </x:row>
    <x:row r="348" ht="18" customHeight="1">
      <x:c r="A348" t="str">
        <x:v>DHR-00347</x:v>
      </x:c>
      <x:c r="B348" t="str">
        <x:v>Lucas White</x:v>
      </x:c>
      <x:c r="C348" t="str">
        <x:v>https://api.dicebear.com/9.x/adventurer/png?seed=DHR-00347-Lucas%20White&amp;size=256&amp;radius=50&amp;backgroundColor=b6e3f4,c0aede,d1d4f9,ffd5dc,ffdfbf</x:v>
      </x:c>
      <x:c r="D348" t="str">
        <x:v>lucas.white.347@example.com</x:v>
      </x:c>
      <x:c r="E348" t="str">
        <x:v>+1 (702) 555-0146</x:v>
      </x:c>
      <x:c r="F348" t="str">
        <x:v>Las Vegas, NV</x:v>
      </x:c>
      <x:c r="G348" t="str">
        <x:v>Las Vegas</x:v>
      </x:c>
      <x:c r="H348" t="str">
        <x:v>NV</x:v>
      </x:c>
      <x:c r="I348" s="18" t="str">
        <x:v>89101</x:v>
      </x:c>
      <x:c r="J348" s="15" t="n">
        <x:v>36951.31238912037</x:v>
      </x:c>
      <x:c r="K348" t="n">
        <x:f>INT((DATE(2025,12,31)-J348)/365.25)</x:f>
        <x:v>24</x:v>
      </x:c>
      <x:c r="L348" t="str">
        <x:f>IF(K348&lt;25,"18-24",IF(K348&lt;35,"25-34",IF(K348&lt;45,"35-44",IF(K348&lt;55,"45-54","55+"))))</x:f>
        <x:v>18-24</x:v>
      </x:c>
      <x:c r="M348" s="15" t="n">
        <x:v>45215.28418872685</x:v>
      </x:c>
      <x:c r="N348" t="n">
        <x:f>(YEAR(DATE(2025,12,31))-YEAR(M348))*12+MONTH(DATE(2025,12,31))-MONTH(M348)</x:f>
        <x:v>26</x:v>
      </x:c>
      <x:c r="O348" t="str">
        <x:v>ACTIVE</x:v>
      </x:c>
      <x:c r="P348" t="str">
        <x:v>INDEPENDENT_CONTRACTOR</x:v>
      </x:c>
      <x:c r="Q348" t="str">
        <x:v>CAR</x:v>
      </x:c>
      <x:c r="R348" t="str">
        <x:v>WEEKENDS</x:v>
      </x:c>
      <x:c r="S348" t="n">
        <x:v>41</x:v>
      </x:c>
      <x:c r="T348" t="str">
        <x:v>CLEARED</x:v>
      </x:c>
      <x:c r="U348" t="str">
        <x:v>VALID</x:v>
      </x:c>
      <x:c r="V348" s="16" t="n">
        <x:v>0.9209</x:v>
      </x:c>
      <x:c r="W348" t="str">
        <x:v>English</x:v>
      </x:c>
      <x:c r="X348" t="str">
        <x:v>Spanish</x:v>
      </x:c>
      <x:c r="Y348" t="n">
        <x:v>2318</x:v>
      </x:c>
      <x:c r="Z348" s="17" t="n">
        <x:v>4.76</x:v>
      </x:c>
      <x:c r="AA348" s="16" t="n">
        <x:v>0.6695</x:v>
      </x:c>
      <x:c r="AB348" s="16" t="n">
        <x:v>0.874</x:v>
      </x:c>
      <x:c r="AC348" s="16" t="n">
        <x:v>0.9425</x:v>
      </x:c>
      <x:c r="AD348" t="n">
        <x:v>0</x:v>
      </x:c>
      <x:c r="AE348" t="str">
        <x:f>IF(O348&lt;&gt;"ACTIVE","NOT_RATED",IF(AND(Z348&gt;=4.8,AB348&gt;=0.97,AC348&gt;=0.93,AD348=0),"ELITE",IF(AND(Z348&gt;=4.6,AB348&gt;=0.94,AC348&gt;=0.88),"HIGH_PERFORMER",IF(OR(Z348&lt;4.2,AB348&lt;0.85,AD348&gt;=2),"AT_RISK","STANDARD"))))</x:f>
        <x:v>STANDARD</x:v>
      </x:c>
      <x:c r="AF348" s="15" t="n">
        <x:v>46012</x:v>
      </x:c>
      <x:c r="AG348" t="str">
        <x:v>VERIFIED</x:v>
      </x:c>
      <x:c r="AH348" t="str">
        <x:v>COMPLETE</x:v>
      </x:c>
      <x:c r="AI348" t="str">
        <x:v>Hayden Wilson</x:v>
      </x:c>
      <x:c r="AJ348" t="str">
        <x:v>OTHER</x:v>
      </x:c>
      <x:c r="AK348" t="str">
        <x:v>+1 (702) 555-0145</x:v>
      </x:c>
    </x:row>
    <x:row r="349" ht="18" customHeight="1">
      <x:c r="A349" t="str">
        <x:v>DHR-00348</x:v>
      </x:c>
      <x:c r="B349" t="str">
        <x:v>Mateo Anderson</x:v>
      </x:c>
      <x:c r="C349" t="str">
        <x:v>https://api.dicebear.com/9.x/adventurer/png?seed=DHR-00348-Mateo%20Anderson&amp;size=256&amp;radius=50&amp;backgroundColor=b6e3f4,c0aede,d1d4f9,ffd5dc,ffdfbf</x:v>
      </x:c>
      <x:c r="D349" t="str">
        <x:v>mateo.anderson.348@example.com</x:v>
      </x:c>
      <x:c r="E349" t="str">
        <x:v>+1 (503) 555-0147</x:v>
      </x:c>
      <x:c r="F349" t="str">
        <x:v>Portland, OR</x:v>
      </x:c>
      <x:c r="G349" t="str">
        <x:v>Portland</x:v>
      </x:c>
      <x:c r="H349" t="str">
        <x:v>OR</x:v>
      </x:c>
      <x:c r="I349" s="18" t="str">
        <x:v>97205</x:v>
      </x:c>
      <x:c r="J349" s="15" t="n">
        <x:v>38188.95654896991</x:v>
      </x:c>
      <x:c r="K349" t="n">
        <x:f>INT((DATE(2025,12,31)-J349)/365.25)</x:f>
        <x:v>21</x:v>
      </x:c>
      <x:c r="L349" t="str">
        <x:f>IF(K349&lt;25,"18-24",IF(K349&lt;35,"25-34",IF(K349&lt;45,"35-44",IF(K349&lt;55,"45-54","55+"))))</x:f>
        <x:v>18-24</x:v>
      </x:c>
      <x:c r="M349" s="15" t="n">
        <x:v>44877.446652962964</x:v>
      </x:c>
      <x:c r="N349" t="n">
        <x:f>(YEAR(DATE(2025,12,31))-YEAR(M349))*12+MONTH(DATE(2025,12,31))-MONTH(M349)</x:f>
        <x:v>37</x:v>
      </x:c>
      <x:c r="O349" t="str">
        <x:v>ACTIVE</x:v>
      </x:c>
      <x:c r="P349" t="str">
        <x:v>INDEPENDENT_CONTRACTOR</x:v>
      </x:c>
      <x:c r="Q349" t="str">
        <x:v>CAR</x:v>
      </x:c>
      <x:c r="R349" t="str">
        <x:v>WEEKENDS</x:v>
      </x:c>
      <x:c r="S349" t="n">
        <x:v>21</x:v>
      </x:c>
      <x:c r="T349" t="str">
        <x:v>CLEARED</x:v>
      </x:c>
      <x:c r="U349" t="str">
        <x:v>VALID</x:v>
      </x:c>
      <x:c r="V349" s="16" t="n">
        <x:v>0.9923</x:v>
      </x:c>
      <x:c r="W349" t="str">
        <x:v>English</x:v>
      </x:c>
      <x:c r="X349"/>
      <x:c r="Y349" t="n">
        <x:v>1480</x:v>
      </x:c>
      <x:c r="Z349" s="17" t="n">
        <x:v>4.85</x:v>
      </x:c>
      <x:c r="AA349" s="16" t="n">
        <x:v>0.9109</x:v>
      </x:c>
      <x:c r="AB349" s="16" t="n">
        <x:v>0.9128</x:v>
      </x:c>
      <x:c r="AC349" s="16" t="n">
        <x:v>0.9781</x:v>
      </x:c>
      <x:c r="AD349" t="n">
        <x:v>0</x:v>
      </x:c>
      <x:c r="AE349" t="str">
        <x:f>IF(O349&lt;&gt;"ACTIVE","NOT_RATED",IF(AND(Z349&gt;=4.8,AB349&gt;=0.97,AC349&gt;=0.93,AD349=0),"ELITE",IF(AND(Z349&gt;=4.6,AB349&gt;=0.94,AC349&gt;=0.88),"HIGH_PERFORMER",IF(OR(Z349&lt;4.2,AB349&lt;0.85,AD349&gt;=2),"AT_RISK","STANDARD"))))</x:f>
        <x:v>STANDARD</x:v>
      </x:c>
      <x:c r="AF349" s="15" t="n">
        <x:v>46021</x:v>
      </x:c>
      <x:c r="AG349" t="str">
        <x:v>VERIFIED</x:v>
      </x:c>
      <x:c r="AH349" t="str">
        <x:v>COMPLETE</x:v>
      </x:c>
      <x:c r="AI349" t="str">
        <x:v>Alex Young</x:v>
      </x:c>
      <x:c r="AJ349" t="str">
        <x:v>SPOUSE_PARTNER</x:v>
      </x:c>
      <x:c r="AK349" t="str">
        <x:v>+1 (503) 555-0152</x:v>
      </x:c>
    </x:row>
    <x:row r="350" ht="18" customHeight="1">
      <x:c r="A350" t="str">
        <x:v>DHR-00349</x:v>
      </x:c>
      <x:c r="B350" t="str">
        <x:v>Mateo Brown</x:v>
      </x:c>
      <x:c r="C350" t="str">
        <x:v>https://api.dicebear.com/9.x/adventurer/png?seed=DHR-00349-Mateo%20Brown&amp;size=256&amp;radius=50&amp;backgroundColor=b6e3f4,c0aede,d1d4f9,ffd5dc,ffdfbf</x:v>
      </x:c>
      <x:c r="D350" t="str">
        <x:v>mateo.brown.349@example.com</x:v>
      </x:c>
      <x:c r="E350" t="str">
        <x:v>+1 (206) 555-0148</x:v>
      </x:c>
      <x:c r="F350" t="str">
        <x:v>Seattle, WA</x:v>
      </x:c>
      <x:c r="G350" t="str">
        <x:v>Seattle</x:v>
      </x:c>
      <x:c r="H350" t="str">
        <x:v>WA</x:v>
      </x:c>
      <x:c r="I350" s="18" t="str">
        <x:v>98101</x:v>
      </x:c>
      <x:c r="J350" s="15" t="n">
        <x:v>31056.102343136576</x:v>
      </x:c>
      <x:c r="K350" t="n">
        <x:f>INT((DATE(2025,12,31)-J350)/365.25)</x:f>
        <x:v>40</x:v>
      </x:c>
      <x:c r="L350" t="str">
        <x:f>IF(K350&lt;25,"18-24",IF(K350&lt;35,"25-34",IF(K350&lt;45,"35-44",IF(K350&lt;55,"45-54","55+"))))</x:f>
        <x:v>35-44</x:v>
      </x:c>
      <x:c r="M350" s="15" t="n">
        <x:v>44726.818052650466</x:v>
      </x:c>
      <x:c r="N350" t="n">
        <x:f>(YEAR(DATE(2025,12,31))-YEAR(M350))*12+MONTH(DATE(2025,12,31))-MONTH(M350)</x:f>
        <x:v>42</x:v>
      </x:c>
      <x:c r="O350" t="str">
        <x:v>ACTIVE</x:v>
      </x:c>
      <x:c r="P350" t="str">
        <x:v>INDEPENDENT_CONTRACTOR</x:v>
      </x:c>
      <x:c r="Q350" t="str">
        <x:v>CAR</x:v>
      </x:c>
      <x:c r="R350" t="str">
        <x:v>DINNER</x:v>
      </x:c>
      <x:c r="S350" t="n">
        <x:v>16</x:v>
      </x:c>
      <x:c r="T350" t="str">
        <x:v>CLEARED</x:v>
      </x:c>
      <x:c r="U350" t="str">
        <x:v>VALID</x:v>
      </x:c>
      <x:c r="V350" s="16" t="n">
        <x:v>0.7821</x:v>
      </x:c>
      <x:c r="W350" t="str">
        <x:v>English</x:v>
      </x:c>
      <x:c r="X350"/>
      <x:c r="Y350" t="n">
        <x:v>1497</x:v>
      </x:c>
      <x:c r="Z350" s="17" t="n">
        <x:v>4.5</x:v>
      </x:c>
      <x:c r="AA350" s="16" t="n">
        <x:v>0.9076</x:v>
      </x:c>
      <x:c r="AB350" s="16" t="n">
        <x:v>0.9412</x:v>
      </x:c>
      <x:c r="AC350" s="16" t="n">
        <x:v>0.8848</x:v>
      </x:c>
      <x:c r="AD350" t="n">
        <x:v>0</x:v>
      </x:c>
      <x:c r="AE350" t="str">
        <x:f>IF(O350&lt;&gt;"ACTIVE","NOT_RATED",IF(AND(Z350&gt;=4.8,AB350&gt;=0.97,AC350&gt;=0.93,AD350=0),"ELITE",IF(AND(Z350&gt;=4.6,AB350&gt;=0.94,AC350&gt;=0.88),"HIGH_PERFORMER",IF(OR(Z350&lt;4.2,AB350&lt;0.85,AD350&gt;=2),"AT_RISK","STANDARD"))))</x:f>
        <x:v>STANDARD</x:v>
      </x:c>
      <x:c r="AF350" s="15" t="n">
        <x:v>46018</x:v>
      </x:c>
      <x:c r="AG350" t="str">
        <x:v>VERIFIED</x:v>
      </x:c>
      <x:c r="AH350" t="str">
        <x:v>COMPLETE</x:v>
      </x:c>
      <x:c r="AI350" t="str">
        <x:v>Mateo Lewis</x:v>
      </x:c>
      <x:c r="AJ350" t="str">
        <x:v>PARENT</x:v>
      </x:c>
      <x:c r="AK350" t="str">
        <x:v>+1 (206) 555-0159</x:v>
      </x:c>
    </x:row>
    <x:row r="351" ht="18" customHeight="1">
      <x:c r="A351" t="str">
        <x:v>DHR-00350</x:v>
      </x:c>
      <x:c r="B351" t="str">
        <x:v>Mateo Clark</x:v>
      </x:c>
      <x:c r="C351" t="str">
        <x:v>https://api.dicebear.com/9.x/adventurer/png?seed=DHR-00350-Mateo%20Clark&amp;size=256&amp;radius=50&amp;backgroundColor=b6e3f4,c0aede,d1d4f9,ffd5dc,ffdfbf</x:v>
      </x:c>
      <x:c r="D351" t="str">
        <x:v>mateo.clark.350@example.com</x:v>
      </x:c>
      <x:c r="E351" t="str">
        <x:v>+1 (415) 555-0149</x:v>
      </x:c>
      <x:c r="F351" t="str">
        <x:v>San Francisco, CA</x:v>
      </x:c>
      <x:c r="G351" t="str">
        <x:v>San Francisco</x:v>
      </x:c>
      <x:c r="H351" t="str">
        <x:v>CA</x:v>
      </x:c>
      <x:c r="I351" s="18" t="str">
        <x:v>94103</x:v>
      </x:c>
      <x:c r="J351" s="15" t="n">
        <x:v>37806.29999252315</x:v>
      </x:c>
      <x:c r="K351" t="n">
        <x:f>INT((DATE(2025,12,31)-J351)/365.25)</x:f>
        <x:v>22</x:v>
      </x:c>
      <x:c r="L351" t="str">
        <x:f>IF(K351&lt;25,"18-24",IF(K351&lt;35,"25-34",IF(K351&lt;45,"35-44",IF(K351&lt;55,"45-54","55+"))))</x:f>
        <x:v>18-24</x:v>
      </x:c>
      <x:c r="M351" s="15" t="n">
        <x:v>45192.12397719907</x:v>
      </x:c>
      <x:c r="N351" t="n">
        <x:f>(YEAR(DATE(2025,12,31))-YEAR(M351))*12+MONTH(DATE(2025,12,31))-MONTH(M351)</x:f>
        <x:v>27</x:v>
      </x:c>
      <x:c r="O351" t="str">
        <x:v>ACTIVE</x:v>
      </x:c>
      <x:c r="P351" t="str">
        <x:v>INDEPENDENT_CONTRACTOR</x:v>
      </x:c>
      <x:c r="Q351" t="str">
        <x:v>CAR</x:v>
      </x:c>
      <x:c r="R351" t="str">
        <x:v>DINNER</x:v>
      </x:c>
      <x:c r="S351" t="n">
        <x:v>35</x:v>
      </x:c>
      <x:c r="T351" t="str">
        <x:v>CLEARED</x:v>
      </x:c>
      <x:c r="U351" t="str">
        <x:v>VALID</x:v>
      </x:c>
      <x:c r="V351" s="16" t="n">
        <x:v>0.8919</x:v>
      </x:c>
      <x:c r="W351" t="str">
        <x:v>English</x:v>
      </x:c>
      <x:c r="X351"/>
      <x:c r="Y351" t="n">
        <x:v>2385</x:v>
      </x:c>
      <x:c r="Z351" s="17" t="n">
        <x:v>4.71</x:v>
      </x:c>
      <x:c r="AA351" s="16" t="n">
        <x:v>0.9012</x:v>
      </x:c>
      <x:c r="AB351" s="16" t="n">
        <x:v>0.9644</x:v>
      </x:c>
      <x:c r="AC351" s="16" t="n">
        <x:v>0.8492</x:v>
      </x:c>
      <x:c r="AD351" t="n">
        <x:v>1</x:v>
      </x:c>
      <x:c r="AE351" t="str">
        <x:f>IF(O351&lt;&gt;"ACTIVE","NOT_RATED",IF(AND(Z351&gt;=4.8,AB351&gt;=0.97,AC351&gt;=0.93,AD351=0),"ELITE",IF(AND(Z351&gt;=4.6,AB351&gt;=0.94,AC351&gt;=0.88),"HIGH_PERFORMER",IF(OR(Z351&lt;4.2,AB351&lt;0.85,AD351&gt;=2),"AT_RISK","STANDARD"))))</x:f>
        <x:v>STANDARD</x:v>
      </x:c>
      <x:c r="AF351" s="15" t="n">
        <x:v>46008</x:v>
      </x:c>
      <x:c r="AG351" t="str">
        <x:v>VERIFIED</x:v>
      </x:c>
      <x:c r="AH351" t="str">
        <x:v>COMPLETE</x:v>
      </x:c>
      <x:c r="AI351" t="str">
        <x:v>Casey Anderson</x:v>
      </x:c>
      <x:c r="AJ351" t="str">
        <x:v>SIBLING</x:v>
      </x:c>
      <x:c r="AK351" t="str">
        <x:v>+1 (415) 555-0166</x:v>
      </x:c>
    </x:row>
    <x:row r="352" ht="18" customHeight="1">
      <x:c r="A352" t="str">
        <x:v>DHR-00351</x:v>
      </x:c>
      <x:c r="B352" t="str">
        <x:v>Mateo Davis</x:v>
      </x:c>
      <x:c r="C352" t="str">
        <x:v>https://api.dicebear.com/9.x/adventurer/png?seed=DHR-00351-Mateo%20Davis&amp;size=256&amp;radius=50&amp;backgroundColor=b6e3f4,c0aede,d1d4f9,ffd5dc,ffdfbf</x:v>
      </x:c>
      <x:c r="D352" t="str">
        <x:v>mateo.davis.351@example.com</x:v>
      </x:c>
      <x:c r="E352" t="str">
        <x:v>+1 (213) 555-0150</x:v>
      </x:c>
      <x:c r="F352" t="str">
        <x:v>Los Angeles, CA</x:v>
      </x:c>
      <x:c r="G352" t="str">
        <x:v>Los Angeles</x:v>
      </x:c>
      <x:c r="H352" t="str">
        <x:v>CA</x:v>
      </x:c>
      <x:c r="I352" s="18" t="str">
        <x:v>90012</x:v>
      </x:c>
      <x:c r="J352" s="15" t="n">
        <x:v>33237.09627934028</x:v>
      </x:c>
      <x:c r="K352" t="n">
        <x:f>INT((DATE(2025,12,31)-J352)/365.25)</x:f>
        <x:v>35</x:v>
      </x:c>
      <x:c r="L352" t="str">
        <x:f>IF(K352&lt;25,"18-24",IF(K352&lt;35,"25-34",IF(K352&lt;45,"35-44",IF(K352&lt;55,"45-54","55+"))))</x:f>
        <x:v>35-44</x:v>
      </x:c>
      <x:c r="M352" s="15" t="n">
        <x:v>44626.02178721065</x:v>
      </x:c>
      <x:c r="N352" t="n">
        <x:f>(YEAR(DATE(2025,12,31))-YEAR(M352))*12+MONTH(DATE(2025,12,31))-MONTH(M352)</x:f>
        <x:v>45</x:v>
      </x:c>
      <x:c r="O352" t="str">
        <x:v>ACTIVE</x:v>
      </x:c>
      <x:c r="P352" t="str">
        <x:v>INDEPENDENT_CONTRACTOR</x:v>
      </x:c>
      <x:c r="Q352" t="str">
        <x:v>CAR</x:v>
      </x:c>
      <x:c r="R352" t="str">
        <x:v>DINNER</x:v>
      </x:c>
      <x:c r="S352" t="n">
        <x:v>12</x:v>
      </x:c>
      <x:c r="T352" t="str">
        <x:v>CLEARED</x:v>
      </x:c>
      <x:c r="U352" t="str">
        <x:v>VALID</x:v>
      </x:c>
      <x:c r="V352" s="16" t="n">
        <x:v>0.9689</x:v>
      </x:c>
      <x:c r="W352" t="str">
        <x:v>English</x:v>
      </x:c>
      <x:c r="X352"/>
      <x:c r="Y352" t="n">
        <x:v>1858</x:v>
      </x:c>
      <x:c r="Z352" s="17" t="n">
        <x:v>4.58</x:v>
      </x:c>
      <x:c r="AA352" s="16" t="n">
        <x:v>0.6187</x:v>
      </x:c>
      <x:c r="AB352" s="16" t="n">
        <x:v>0.8864</x:v>
      </x:c>
      <x:c r="AC352" s="16" t="n">
        <x:v>0.9044</x:v>
      </x:c>
      <x:c r="AD352" t="n">
        <x:v>0</x:v>
      </x:c>
      <x:c r="AE352" t="str">
        <x:f>IF(O352&lt;&gt;"ACTIVE","NOT_RATED",IF(AND(Z352&gt;=4.8,AB352&gt;=0.97,AC352&gt;=0.93,AD352=0),"ELITE",IF(AND(Z352&gt;=4.6,AB352&gt;=0.94,AC352&gt;=0.88),"HIGH_PERFORMER",IF(OR(Z352&lt;4.2,AB352&lt;0.85,AD352&gt;=2),"AT_RISK","STANDARD"))))</x:f>
        <x:v>STANDARD</x:v>
      </x:c>
      <x:c r="AF352" s="15" t="n">
        <x:v>46009</x:v>
      </x:c>
      <x:c r="AG352" t="str">
        <x:v>VERIFIED</x:v>
      </x:c>
      <x:c r="AH352" t="str">
        <x:v>COMPLETE</x:v>
      </x:c>
      <x:c r="AI352" t="str">
        <x:v>Skyler Rodriguez</x:v>
      </x:c>
      <x:c r="AJ352" t="str">
        <x:v>SPOUSE_PARTNER</x:v>
      </x:c>
      <x:c r="AK352" t="str">
        <x:v>+1 (213) 555-0173</x:v>
      </x:c>
    </x:row>
    <x:row r="353" ht="18" customHeight="1">
      <x:c r="A353" t="str">
        <x:v>DHR-00352</x:v>
      </x:c>
      <x:c r="B353" t="str">
        <x:v>Mateo Garcia</x:v>
      </x:c>
      <x:c r="C353" t="str">
        <x:v>https://api.dicebear.com/9.x/adventurer/png?seed=DHR-00352-Mateo%20Garcia&amp;size=256&amp;radius=50&amp;backgroundColor=b6e3f4,c0aede,d1d4f9,ffd5dc,ffdfbf</x:v>
      </x:c>
      <x:c r="D353" t="str">
        <x:v>mateo.garcia.352@example.com</x:v>
      </x:c>
      <x:c r="E353" t="str">
        <x:v>+1 (612) 555-0151</x:v>
      </x:c>
      <x:c r="F353" t="str">
        <x:v>Minneapolis, MN</x:v>
      </x:c>
      <x:c r="G353" t="str">
        <x:v>Minneapolis</x:v>
      </x:c>
      <x:c r="H353" t="str">
        <x:v>MN</x:v>
      </x:c>
      <x:c r="I353" s="18" t="str">
        <x:v>55401</x:v>
      </x:c>
      <x:c r="J353" s="15" t="n">
        <x:v>36949.05968493056</x:v>
      </x:c>
      <x:c r="K353" t="n">
        <x:f>INT((DATE(2025,12,31)-J353)/365.25)</x:f>
        <x:v>24</x:v>
      </x:c>
      <x:c r="L353" t="str">
        <x:f>IF(K353&lt;25,"18-24",IF(K353&lt;35,"25-34",IF(K353&lt;45,"35-44",IF(K353&lt;55,"45-54","55+"))))</x:f>
        <x:v>18-24</x:v>
      </x:c>
      <x:c r="M353" s="15" t="n">
        <x:v>45038.75727296296</x:v>
      </x:c>
      <x:c r="N353" t="n">
        <x:f>(YEAR(DATE(2025,12,31))-YEAR(M353))*12+MONTH(DATE(2025,12,31))-MONTH(M353)</x:f>
        <x:v>32</x:v>
      </x:c>
      <x:c r="O353" t="str">
        <x:v>ACTIVE</x:v>
      </x:c>
      <x:c r="P353" t="str">
        <x:v>INDEPENDENT_CONTRACTOR</x:v>
      </x:c>
      <x:c r="Q353" t="str">
        <x:v>CAR</x:v>
      </x:c>
      <x:c r="R353" t="str">
        <x:v>FLEXIBLE</x:v>
      </x:c>
      <x:c r="S353" t="n">
        <x:v>25</x:v>
      </x:c>
      <x:c r="T353" t="str">
        <x:v>CLEARED</x:v>
      </x:c>
      <x:c r="U353" t="str">
        <x:v>VALID</x:v>
      </x:c>
      <x:c r="V353" s="16" t="n">
        <x:v>0.9433</x:v>
      </x:c>
      <x:c r="W353" t="str">
        <x:v>English</x:v>
      </x:c>
      <x:c r="X353" t="str">
        <x:v>Arabic</x:v>
      </x:c>
      <x:c r="Y353" t="n">
        <x:v>1921</x:v>
      </x:c>
      <x:c r="Z353" s="17" t="n">
        <x:v>4.69</x:v>
      </x:c>
      <x:c r="AA353" s="16" t="n">
        <x:v>0.8534</x:v>
      </x:c>
      <x:c r="AB353" s="16" t="n">
        <x:v>0.9184</x:v>
      </x:c>
      <x:c r="AC353" s="16" t="n">
        <x:v>0.8683</x:v>
      </x:c>
      <x:c r="AD353" t="n">
        <x:v>0</x:v>
      </x:c>
      <x:c r="AE353" t="str">
        <x:f>IF(O353&lt;&gt;"ACTIVE","NOT_RATED",IF(AND(Z353&gt;=4.8,AB353&gt;=0.97,AC353&gt;=0.93,AD353=0),"ELITE",IF(AND(Z353&gt;=4.6,AB353&gt;=0.94,AC353&gt;=0.88),"HIGH_PERFORMER",IF(OR(Z353&lt;4.2,AB353&lt;0.85,AD353&gt;=2),"AT_RISK","STANDARD"))))</x:f>
        <x:v>STANDARD</x:v>
      </x:c>
      <x:c r="AF353" s="15" t="n">
        <x:v>46021</x:v>
      </x:c>
      <x:c r="AG353" t="str">
        <x:v>PENDING</x:v>
      </x:c>
      <x:c r="AH353" t="str">
        <x:v>COMPLETE</x:v>
      </x:c>
      <x:c r="AI353" t="str">
        <x:v>Liam Moore</x:v>
      </x:c>
      <x:c r="AJ353" t="str">
        <x:v>PARENT</x:v>
      </x:c>
      <x:c r="AK353" t="str">
        <x:v>+1 (612) 555-0180</x:v>
      </x:c>
    </x:row>
    <x:row r="354" ht="18" customHeight="1">
      <x:c r="A354" t="str">
        <x:v>DHR-00353</x:v>
      </x:c>
      <x:c r="B354" t="str">
        <x:v>Mateo Harris</x:v>
      </x:c>
      <x:c r="C354" t="str">
        <x:v>https://api.dicebear.com/9.x/adventurer/png?seed=DHR-00353-Mateo%20Harris&amp;size=256&amp;radius=50&amp;backgroundColor=b6e3f4,c0aede,d1d4f9,ffd5dc,ffdfbf</x:v>
      </x:c>
      <x:c r="D354" t="str">
        <x:v>mateo.harris.353@example.com</x:v>
      </x:c>
      <x:c r="E354" t="str">
        <x:v>+1 (617) 555-0152</x:v>
      </x:c>
      <x:c r="F354" t="str">
        <x:v>Boston, MA</x:v>
      </x:c>
      <x:c r="G354" t="str">
        <x:v>Boston</x:v>
      </x:c>
      <x:c r="H354" t="str">
        <x:v>MA</x:v>
      </x:c>
      <x:c r="I354" s="18" t="str">
        <x:v>02108</x:v>
      </x:c>
      <x:c r="J354" s="15" t="n">
        <x:v>36344.382724930554</x:v>
      </x:c>
      <x:c r="K354" t="n">
        <x:f>INT((DATE(2025,12,31)-J354)/365.25)</x:f>
        <x:v>26</x:v>
      </x:c>
      <x:c r="L354" t="str">
        <x:f>IF(K354&lt;25,"18-24",IF(K354&lt;35,"25-34",IF(K354&lt;45,"35-44",IF(K354&lt;55,"45-54","55+"))))</x:f>
        <x:v>25-34</x:v>
      </x:c>
      <x:c r="M354" s="15" t="n">
        <x:v>44404.73995596065</x:v>
      </x:c>
      <x:c r="N354" t="n">
        <x:f>(YEAR(DATE(2025,12,31))-YEAR(M354))*12+MONTH(DATE(2025,12,31))-MONTH(M354)</x:f>
        <x:v>53</x:v>
      </x:c>
      <x:c r="O354" t="str">
        <x:v>ACTIVE</x:v>
      </x:c>
      <x:c r="P354" t="str">
        <x:v>INDEPENDENT_CONTRACTOR</x:v>
      </x:c>
      <x:c r="Q354" t="str">
        <x:v>CAR</x:v>
      </x:c>
      <x:c r="R354" t="str">
        <x:v>LUNCH</x:v>
      </x:c>
      <x:c r="S354" t="n">
        <x:v>30</x:v>
      </x:c>
      <x:c r="T354" t="str">
        <x:v>CLEARED</x:v>
      </x:c>
      <x:c r="U354" t="str">
        <x:v>VALID</x:v>
      </x:c>
      <x:c r="V354" s="16" t="n">
        <x:v>0.9918</x:v>
      </x:c>
      <x:c r="W354" t="str">
        <x:v>Korean</x:v>
      </x:c>
      <x:c r="X354" t="str">
        <x:v>English</x:v>
      </x:c>
      <x:c r="Y354" t="n">
        <x:v>5022</x:v>
      </x:c>
      <x:c r="Z354" s="17" t="n">
        <x:v>4.28</x:v>
      </x:c>
      <x:c r="AA354" s="16" t="n">
        <x:v>0.8378</x:v>
      </x:c>
      <x:c r="AB354" s="16" t="n">
        <x:v>0.905</x:v>
      </x:c>
      <x:c r="AC354" s="16" t="n">
        <x:v>0.9881</x:v>
      </x:c>
      <x:c r="AD354" t="n">
        <x:v>0</x:v>
      </x:c>
      <x:c r="AE354" t="str">
        <x:f>IF(O354&lt;&gt;"ACTIVE","NOT_RATED",IF(AND(Z354&gt;=4.8,AB354&gt;=0.97,AC354&gt;=0.93,AD354=0),"ELITE",IF(AND(Z354&gt;=4.6,AB354&gt;=0.94,AC354&gt;=0.88),"HIGH_PERFORMER",IF(OR(Z354&lt;4.2,AB354&lt;0.85,AD354&gt;=2),"AT_RISK","STANDARD"))))</x:f>
        <x:v>STANDARD</x:v>
      </x:c>
      <x:c r="AF354" s="15" t="n">
        <x:v>46009</x:v>
      </x:c>
      <x:c r="AG354" t="str">
        <x:v>VERIFIED</x:v>
      </x:c>
      <x:c r="AH354" t="str">
        <x:v>COMPLETE</x:v>
      </x:c>
      <x:c r="AI354" t="str">
        <x:v>Ethan Garcia</x:v>
      </x:c>
      <x:c r="AJ354" t="str">
        <x:v>FRIEND</x:v>
      </x:c>
      <x:c r="AK354" t="str">
        <x:v>+1 (617) 555-0187</x:v>
      </x:c>
    </x:row>
    <x:row r="355" ht="18" customHeight="1">
      <x:c r="A355" t="str">
        <x:v>DHR-00354</x:v>
      </x:c>
      <x:c r="B355" t="str">
        <x:v>Mateo Jackson</x:v>
      </x:c>
      <x:c r="C355" t="str">
        <x:v>https://api.dicebear.com/9.x/adventurer/png?seed=DHR-00354-Mateo%20Jackson&amp;size=256&amp;radius=50&amp;backgroundColor=b6e3f4,c0aede,d1d4f9,ffd5dc,ffdfbf</x:v>
      </x:c>
      <x:c r="D355" t="str">
        <x:v>mateo.jackson.354@example.com</x:v>
      </x:c>
      <x:c r="E355" t="str">
        <x:v>+1 (206) 555-0153</x:v>
      </x:c>
      <x:c r="F355" t="str">
        <x:v>Seattle, WA</x:v>
      </x:c>
      <x:c r="G355" t="str">
        <x:v>Seattle</x:v>
      </x:c>
      <x:c r="H355" t="str">
        <x:v>WA</x:v>
      </x:c>
      <x:c r="I355" s="18" t="str">
        <x:v>98101</x:v>
      </x:c>
      <x:c r="J355" s="15" t="n">
        <x:v>35493.35466462963</x:v>
      </x:c>
      <x:c r="K355" t="n">
        <x:f>INT((DATE(2025,12,31)-J355)/365.25)</x:f>
        <x:v>28</x:v>
      </x:c>
      <x:c r="L355" t="str">
        <x:f>IF(K355&lt;25,"18-24",IF(K355&lt;35,"25-34",IF(K355&lt;45,"35-44",IF(K355&lt;55,"45-54","55+"))))</x:f>
        <x:v>25-34</x:v>
      </x:c>
      <x:c r="M355" s="15" t="n">
        <x:v>44505.41815278935</x:v>
      </x:c>
      <x:c r="N355" t="n">
        <x:f>(YEAR(DATE(2025,12,31))-YEAR(M355))*12+MONTH(DATE(2025,12,31))-MONTH(M355)</x:f>
        <x:v>49</x:v>
      </x:c>
      <x:c r="O355" t="str">
        <x:v>ACTIVE</x:v>
      </x:c>
      <x:c r="P355" t="str">
        <x:v>INDEPENDENT_CONTRACTOR</x:v>
      </x:c>
      <x:c r="Q355" t="str">
        <x:v>CAR</x:v>
      </x:c>
      <x:c r="R355" t="str">
        <x:v>WEEKENDS</x:v>
      </x:c>
      <x:c r="S355" t="n">
        <x:v>36</x:v>
      </x:c>
      <x:c r="T355" t="str">
        <x:v>CLEARED</x:v>
      </x:c>
      <x:c r="U355" t="str">
        <x:v>VALID</x:v>
      </x:c>
      <x:c r="V355" s="16" t="n">
        <x:v>0.8359</x:v>
      </x:c>
      <x:c r="W355" t="str">
        <x:v>English</x:v>
      </x:c>
      <x:c r="X355" t="str">
        <x:v>Spanish</x:v>
      </x:c>
      <x:c r="Y355" t="n">
        <x:v>7616</x:v>
      </x:c>
      <x:c r="Z355" s="17" t="n">
        <x:v>4.51</x:v>
      </x:c>
      <x:c r="AA355" s="16" t="n">
        <x:v>0.7444</x:v>
      </x:c>
      <x:c r="AB355" s="16" t="n">
        <x:v>0.9975</x:v>
      </x:c>
      <x:c r="AC355" s="16" t="n">
        <x:v>0.8839</x:v>
      </x:c>
      <x:c r="AD355" t="n">
        <x:v>0</x:v>
      </x:c>
      <x:c r="AE355" t="str">
        <x:f>IF(O355&lt;&gt;"ACTIVE","NOT_RATED",IF(AND(Z355&gt;=4.8,AB355&gt;=0.97,AC355&gt;=0.93,AD355=0),"ELITE",IF(AND(Z355&gt;=4.6,AB355&gt;=0.94,AC355&gt;=0.88),"HIGH_PERFORMER",IF(OR(Z355&lt;4.2,AB355&lt;0.85,AD355&gt;=2),"AT_RISK","STANDARD"))))</x:f>
        <x:v>STANDARD</x:v>
      </x:c>
      <x:c r="AF355" s="15" t="n">
        <x:v>46021</x:v>
      </x:c>
      <x:c r="AG355" t="str">
        <x:v>VERIFIED</x:v>
      </x:c>
      <x:c r="AH355" t="str">
        <x:v>COMPLETE</x:v>
      </x:c>
      <x:c r="AI355" t="str">
        <x:v>Alex Lee</x:v>
      </x:c>
      <x:c r="AJ355" t="str">
        <x:v>SPOUSE_PARTNER</x:v>
      </x:c>
      <x:c r="AK355" t="str">
        <x:v>+1 (206) 555-0194</x:v>
      </x:c>
    </x:row>
    <x:row r="356" ht="18" customHeight="1">
      <x:c r="A356" t="str">
        <x:v>DHR-00355</x:v>
      </x:c>
      <x:c r="B356" t="str">
        <x:v>Mateo Johnson</x:v>
      </x:c>
      <x:c r="C356" t="str">
        <x:v>https://api.dicebear.com/9.x/adventurer/png?seed=DHR-00355-Mateo%20Johnson&amp;size=256&amp;radius=50&amp;backgroundColor=b6e3f4,c0aede,d1d4f9,ffd5dc,ffdfbf</x:v>
      </x:c>
      <x:c r="D356" t="str">
        <x:v>mateo.johnson.355@example.com</x:v>
      </x:c>
      <x:c r="E356" t="str">
        <x:v>+1 (305) 555-0154</x:v>
      </x:c>
      <x:c r="F356" t="str">
        <x:v>Miami, FL</x:v>
      </x:c>
      <x:c r="G356" t="str">
        <x:v>Miami</x:v>
      </x:c>
      <x:c r="H356" t="str">
        <x:v>FL</x:v>
      </x:c>
      <x:c r="I356" s="18" t="str">
        <x:v>33130</x:v>
      </x:c>
      <x:c r="J356" s="15" t="n">
        <x:v>31189.195864548612</x:v>
      </x:c>
      <x:c r="K356" t="n">
        <x:f>INT((DATE(2025,12,31)-J356)/365.25)</x:f>
        <x:v>40</x:v>
      </x:c>
      <x:c r="L356" t="str">
        <x:f>IF(K356&lt;25,"18-24",IF(K356&lt;35,"25-34",IF(K356&lt;45,"35-44",IF(K356&lt;55,"45-54","55+"))))</x:f>
        <x:v>35-44</x:v>
      </x:c>
      <x:c r="M356" s="15" t="n">
        <x:v>43973.78505493056</x:v>
      </x:c>
      <x:c r="N356" t="n">
        <x:f>(YEAR(DATE(2025,12,31))-YEAR(M356))*12+MONTH(DATE(2025,12,31))-MONTH(M356)</x:f>
        <x:v>67</x:v>
      </x:c>
      <x:c r="O356" t="str">
        <x:v>ACTIVE</x:v>
      </x:c>
      <x:c r="P356" t="str">
        <x:v>INDEPENDENT_CONTRACTOR</x:v>
      </x:c>
      <x:c r="Q356" t="str">
        <x:v>CAR</x:v>
      </x:c>
      <x:c r="R356" t="str">
        <x:v>LUNCH</x:v>
      </x:c>
      <x:c r="S356" t="n">
        <x:v>13</x:v>
      </x:c>
      <x:c r="T356" t="str">
        <x:v>REVIEW_REQUIRED</x:v>
      </x:c>
      <x:c r="U356" t="str">
        <x:v>VALID</x:v>
      </x:c>
      <x:c r="V356" s="16" t="n">
        <x:v>0.789</x:v>
      </x:c>
      <x:c r="W356" t="str">
        <x:v>Mandarin</x:v>
      </x:c>
      <x:c r="X356"/>
      <x:c r="Y356" t="n">
        <x:v>3480</x:v>
      </x:c>
      <x:c r="Z356" s="17" t="n">
        <x:v>4.43</x:v>
      </x:c>
      <x:c r="AA356" s="16" t="n">
        <x:v>0.7822</x:v>
      </x:c>
      <x:c r="AB356" s="16" t="n">
        <x:v>0.9702</x:v>
      </x:c>
      <x:c r="AC356" s="16" t="n">
        <x:v>0.9431</x:v>
      </x:c>
      <x:c r="AD356" t="n">
        <x:v>0</x:v>
      </x:c>
      <x:c r="AE356" t="str">
        <x:f>IF(O356&lt;&gt;"ACTIVE","NOT_RATED",IF(AND(Z356&gt;=4.8,AB356&gt;=0.97,AC356&gt;=0.93,AD356=0),"ELITE",IF(AND(Z356&gt;=4.6,AB356&gt;=0.94,AC356&gt;=0.88),"HIGH_PERFORMER",IF(OR(Z356&lt;4.2,AB356&lt;0.85,AD356&gt;=2),"AT_RISK","STANDARD"))))</x:f>
        <x:v>STANDARD</x:v>
      </x:c>
      <x:c r="AF356" s="15" t="n">
        <x:v>46012</x:v>
      </x:c>
      <x:c r="AG356" t="str">
        <x:v>VERIFIED</x:v>
      </x:c>
      <x:c r="AH356" t="str">
        <x:v>COMPLETE</x:v>
      </x:c>
      <x:c r="AI356" t="str">
        <x:v>Sam Young</x:v>
      </x:c>
      <x:c r="AJ356" t="str">
        <x:v>FRIEND</x:v>
      </x:c>
      <x:c r="AK356" t="str">
        <x:v>+1 (305) 555-0101</x:v>
      </x:c>
    </x:row>
    <x:row r="357" ht="18" customHeight="1">
      <x:c r="A357" t="str">
        <x:v>DHR-00356</x:v>
      </x:c>
      <x:c r="B357" t="str">
        <x:v>Mateo Jones</x:v>
      </x:c>
      <x:c r="C357" t="str">
        <x:v>https://api.dicebear.com/9.x/adventurer/png?seed=DHR-00356-Mateo%20Jones&amp;size=256&amp;radius=50&amp;backgroundColor=b6e3f4,c0aede,d1d4f9,ffd5dc,ffdfbf</x:v>
      </x:c>
      <x:c r="D357" t="str">
        <x:v>mateo.jones.356@example.com</x:v>
      </x:c>
      <x:c r="E357" t="str">
        <x:v>+1 (213) 555-0155</x:v>
      </x:c>
      <x:c r="F357" t="str">
        <x:v>Los Angeles, CA</x:v>
      </x:c>
      <x:c r="G357" t="str">
        <x:v>Los Angeles</x:v>
      </x:c>
      <x:c r="H357" t="str">
        <x:v>CA</x:v>
      </x:c>
      <x:c r="I357" s="18" t="str">
        <x:v>90012</x:v>
      </x:c>
      <x:c r="J357" s="15" t="n">
        <x:v>29276.01856303241</x:v>
      </x:c>
      <x:c r="K357" t="n">
        <x:f>INT((DATE(2025,12,31)-J357)/365.25)</x:f>
        <x:v>45</x:v>
      </x:c>
      <x:c r="L357" t="str">
        <x:f>IF(K357&lt;25,"18-24",IF(K357&lt;35,"25-34",IF(K357&lt;45,"35-44",IF(K357&lt;55,"45-54","55+"))))</x:f>
        <x:v>45-54</x:v>
      </x:c>
      <x:c r="M357" s="15" t="n">
        <x:v>45397.64321515046</x:v>
      </x:c>
      <x:c r="N357" t="n">
        <x:f>(YEAR(DATE(2025,12,31))-YEAR(M357))*12+MONTH(DATE(2025,12,31))-MONTH(M357)</x:f>
        <x:v>20</x:v>
      </x:c>
      <x:c r="O357" t="str">
        <x:v>PAUSED</x:v>
      </x:c>
      <x:c r="P357" t="str">
        <x:v>INDEPENDENT_CONTRACTOR</x:v>
      </x:c>
      <x:c r="Q357" t="str">
        <x:v>E_BIKE</x:v>
      </x:c>
      <x:c r="R357" t="str">
        <x:v>FLEXIBLE</x:v>
      </x:c>
      <x:c r="S357" t="n">
        <x:v>33</x:v>
      </x:c>
      <x:c r="T357" t="str">
        <x:v>CLEARED</x:v>
      </x:c>
      <x:c r="U357" t="str">
        <x:v>NOT_REQUIRED</x:v>
      </x:c>
      <x:c r="V357" s="16" t="n">
        <x:v>0.8611</x:v>
      </x:c>
      <x:c r="W357" t="str">
        <x:v>English</x:v>
      </x:c>
      <x:c r="X357"/>
      <x:c r="Y357" t="n">
        <x:v>1654</x:v>
      </x:c>
      <x:c r="Z357" s="17" t="n">
        <x:v>4.33</x:v>
      </x:c>
      <x:c r="AA357" s="16" t="n">
        <x:v>0.6179</x:v>
      </x:c>
      <x:c r="AB357" s="16" t="n">
        <x:v>0.9463</x:v>
      </x:c>
      <x:c r="AC357" s="16" t="n">
        <x:v>0.9482</x:v>
      </x:c>
      <x:c r="AD357" t="n">
        <x:v>0</x:v>
      </x:c>
      <x:c r="AE357" t="str">
        <x:f>IF(O357&lt;&gt;"ACTIVE","NOT_RATED",IF(AND(Z357&gt;=4.8,AB357&gt;=0.97,AC357&gt;=0.93,AD357=0),"ELITE",IF(AND(Z357&gt;=4.6,AB357&gt;=0.94,AC357&gt;=0.88),"HIGH_PERFORMER",IF(OR(Z357&lt;4.2,AB357&lt;0.85,AD357&gt;=2),"AT_RISK","STANDARD"))))</x:f>
        <x:v>NOT_RATED</x:v>
      </x:c>
      <x:c r="AF357" s="15" t="n">
        <x:v>45938</x:v>
      </x:c>
      <x:c r="AG357" t="str">
        <x:v>VERIFIED</x:v>
      </x:c>
      <x:c r="AH357" t="str">
        <x:v>COMPLETE</x:v>
      </x:c>
      <x:c r="AI357" t="str">
        <x:v>Ethan Lewis</x:v>
      </x:c>
      <x:c r="AJ357" t="str">
        <x:v>SIBLING</x:v>
      </x:c>
      <x:c r="AK357" t="str">
        <x:v>+1 (213) 555-0108</x:v>
      </x:c>
    </x:row>
    <x:row r="358" ht="18" customHeight="1">
      <x:c r="A358" t="str">
        <x:v>DHR-00357</x:v>
      </x:c>
      <x:c r="B358" t="str">
        <x:v>Mateo Lewis</x:v>
      </x:c>
      <x:c r="C358" t="str">
        <x:v>https://api.dicebear.com/9.x/adventurer/png?seed=DHR-00357-Mateo%20Lewis&amp;size=256&amp;radius=50&amp;backgroundColor=b6e3f4,c0aede,d1d4f9,ffd5dc,ffdfbf</x:v>
      </x:c>
      <x:c r="D358" t="str">
        <x:v>mateo.lewis.357@example.com</x:v>
      </x:c>
      <x:c r="E358" t="str">
        <x:v>+1 (614) 555-0156</x:v>
      </x:c>
      <x:c r="F358" t="str">
        <x:v>Columbus, OH</x:v>
      </x:c>
      <x:c r="G358" t="str">
        <x:v>Columbus</x:v>
      </x:c>
      <x:c r="H358" t="str">
        <x:v>OH</x:v>
      </x:c>
      <x:c r="I358" s="18" t="str">
        <x:v>43215</x:v>
      </x:c>
      <x:c r="J358" s="15" t="n">
        <x:v>36733.81802721065</x:v>
      </x:c>
      <x:c r="K358" t="n">
        <x:f>INT((DATE(2025,12,31)-J358)/365.25)</x:f>
        <x:v>25</x:v>
      </x:c>
      <x:c r="L358" t="str">
        <x:f>IF(K358&lt;25,"18-24",IF(K358&lt;35,"25-34",IF(K358&lt;45,"35-44",IF(K358&lt;55,"45-54","55+"))))</x:f>
        <x:v>25-34</x:v>
      </x:c>
      <x:c r="M358" s="15" t="n">
        <x:v>44583.13811053241</x:v>
      </x:c>
      <x:c r="N358" t="n">
        <x:f>(YEAR(DATE(2025,12,31))-YEAR(M358))*12+MONTH(DATE(2025,12,31))-MONTH(M358)</x:f>
        <x:v>47</x:v>
      </x:c>
      <x:c r="O358" t="str">
        <x:v>ACTIVE</x:v>
      </x:c>
      <x:c r="P358" t="str">
        <x:v>INDEPENDENT_CONTRACTOR</x:v>
      </x:c>
      <x:c r="Q358" t="str">
        <x:v>CAR</x:v>
      </x:c>
      <x:c r="R358" t="str">
        <x:v>DINNER</x:v>
      </x:c>
      <x:c r="S358" t="n">
        <x:v>31</x:v>
      </x:c>
      <x:c r="T358" t="str">
        <x:v>CLEARED</x:v>
      </x:c>
      <x:c r="U358" t="str">
        <x:v>VALID</x:v>
      </x:c>
      <x:c r="V358" s="16" t="n">
        <x:v>0.9247</x:v>
      </x:c>
      <x:c r="W358" t="str">
        <x:v>English</x:v>
      </x:c>
      <x:c r="X358" t="str">
        <x:v>Vietnamese</x:v>
      </x:c>
      <x:c r="Y358" t="n">
        <x:v>2567</x:v>
      </x:c>
      <x:c r="Z358" s="17" t="n">
        <x:v>4.38</x:v>
      </x:c>
      <x:c r="AA358" s="16" t="n">
        <x:v>0.8254</x:v>
      </x:c>
      <x:c r="AB358" s="16" t="n">
        <x:v>0.9609</x:v>
      </x:c>
      <x:c r="AC358" s="16" t="n">
        <x:v>0.9249</x:v>
      </x:c>
      <x:c r="AD358" t="n">
        <x:v>0</x:v>
      </x:c>
      <x:c r="AE358" t="str">
        <x:f>IF(O358&lt;&gt;"ACTIVE","NOT_RATED",IF(AND(Z358&gt;=4.8,AB358&gt;=0.97,AC358&gt;=0.93,AD358=0),"ELITE",IF(AND(Z358&gt;=4.6,AB358&gt;=0.94,AC358&gt;=0.88),"HIGH_PERFORMER",IF(OR(Z358&lt;4.2,AB358&lt;0.85,AD358&gt;=2),"AT_RISK","STANDARD"))))</x:f>
        <x:v>STANDARD</x:v>
      </x:c>
      <x:c r="AF358" s="15" t="n">
        <x:v>46018</x:v>
      </x:c>
      <x:c r="AG358" t="str">
        <x:v>VERIFIED</x:v>
      </x:c>
      <x:c r="AH358" t="str">
        <x:v>COMPLETE</x:v>
      </x:c>
      <x:c r="AI358" t="str">
        <x:v>Cameron Clark</x:v>
      </x:c>
      <x:c r="AJ358" t="str">
        <x:v>SPOUSE_PARTNER</x:v>
      </x:c>
      <x:c r="AK358" t="str">
        <x:v>+1 (614) 555-0115</x:v>
      </x:c>
    </x:row>
    <x:row r="359" ht="18" customHeight="1">
      <x:c r="A359" t="str">
        <x:v>DHR-00358</x:v>
      </x:c>
      <x:c r="B359" t="str">
        <x:v>Mateo Martin</x:v>
      </x:c>
      <x:c r="C359" t="str">
        <x:v>https://api.dicebear.com/9.x/adventurer/png?seed=DHR-00358-Mateo%20Martin&amp;size=256&amp;radius=50&amp;backgroundColor=b6e3f4,c0aede,d1d4f9,ffd5dc,ffdfbf</x:v>
      </x:c>
      <x:c r="D359" t="str">
        <x:v>mateo.martin.358@example.com</x:v>
      </x:c>
      <x:c r="E359" t="str">
        <x:v>+1 (212) 555-0157</x:v>
      </x:c>
      <x:c r="F359" t="str">
        <x:v>New York, NY</x:v>
      </x:c>
      <x:c r="G359" t="str">
        <x:v>New York</x:v>
      </x:c>
      <x:c r="H359" t="str">
        <x:v>NY</x:v>
      </x:c>
      <x:c r="I359" s="18" t="str">
        <x:v>10001</x:v>
      </x:c>
      <x:c r="J359" s="15" t="n">
        <x:v>34216.01079324074</x:v>
      </x:c>
      <x:c r="K359" t="n">
        <x:f>INT((DATE(2025,12,31)-J359)/365.25)</x:f>
        <x:v>32</x:v>
      </x:c>
      <x:c r="L359" t="str">
        <x:f>IF(K359&lt;25,"18-24",IF(K359&lt;35,"25-34",IF(K359&lt;45,"35-44",IF(K359&lt;55,"45-54","55+"))))</x:f>
        <x:v>25-34</x:v>
      </x:c>
      <x:c r="M359" s="15" t="n">
        <x:v>44852.822878391205</x:v>
      </x:c>
      <x:c r="N359" t="n">
        <x:f>(YEAR(DATE(2025,12,31))-YEAR(M359))*12+MONTH(DATE(2025,12,31))-MONTH(M359)</x:f>
        <x:v>38</x:v>
      </x:c>
      <x:c r="O359" t="str">
        <x:v>ACTIVE</x:v>
      </x:c>
      <x:c r="P359" t="str">
        <x:v>INDEPENDENT_CONTRACTOR</x:v>
      </x:c>
      <x:c r="Q359" t="str">
        <x:v>CAR</x:v>
      </x:c>
      <x:c r="R359" t="str">
        <x:v>DINNER</x:v>
      </x:c>
      <x:c r="S359" t="n">
        <x:v>32</x:v>
      </x:c>
      <x:c r="T359" t="str">
        <x:v>CLEARED</x:v>
      </x:c>
      <x:c r="U359" t="str">
        <x:v>VALID</x:v>
      </x:c>
      <x:c r="V359" s="16" t="n">
        <x:v>0.9804</x:v>
      </x:c>
      <x:c r="W359" t="str">
        <x:v>English</x:v>
      </x:c>
      <x:c r="X359"/>
      <x:c r="Y359" t="n">
        <x:v>4976</x:v>
      </x:c>
      <x:c r="Z359" s="17" t="n">
        <x:v>4.8</x:v>
      </x:c>
      <x:c r="AA359" s="16" t="n">
        <x:v>0.7389</x:v>
      </x:c>
      <x:c r="AB359" s="16" t="n">
        <x:v>0.8952</x:v>
      </x:c>
      <x:c r="AC359" s="16" t="n">
        <x:v>0.8969</x:v>
      </x:c>
      <x:c r="AD359" t="n">
        <x:v>0</x:v>
      </x:c>
      <x:c r="AE359" t="str">
        <x:f>IF(O359&lt;&gt;"ACTIVE","NOT_RATED",IF(AND(Z359&gt;=4.8,AB359&gt;=0.97,AC359&gt;=0.93,AD359=0),"ELITE",IF(AND(Z359&gt;=4.6,AB359&gt;=0.94,AC359&gt;=0.88),"HIGH_PERFORMER",IF(OR(Z359&lt;4.2,AB359&lt;0.85,AD359&gt;=2),"AT_RISK","STANDARD"))))</x:f>
        <x:v>STANDARD</x:v>
      </x:c>
      <x:c r="AF359" s="15" t="n">
        <x:v>46018</x:v>
      </x:c>
      <x:c r="AG359" t="str">
        <x:v>VERIFIED</x:v>
      </x:c>
      <x:c r="AH359" t="str">
        <x:v>COMPLETE</x:v>
      </x:c>
      <x:c r="AI359" t="str">
        <x:v>Jordan Walker</x:v>
      </x:c>
      <x:c r="AJ359" t="str">
        <x:v>SIBLING</x:v>
      </x:c>
      <x:c r="AK359" t="str">
        <x:v>+1 (212) 555-0122</x:v>
      </x:c>
    </x:row>
    <x:row r="360" ht="18" customHeight="1">
      <x:c r="A360" t="str">
        <x:v>DHR-00359</x:v>
      </x:c>
      <x:c r="B360" t="str">
        <x:v>Mateo Martinez</x:v>
      </x:c>
      <x:c r="C360" t="str">
        <x:v>https://api.dicebear.com/9.x/adventurer/png?seed=DHR-00359-Mateo%20Martinez&amp;size=256&amp;radius=50&amp;backgroundColor=b6e3f4,c0aede,d1d4f9,ffd5dc,ffdfbf</x:v>
      </x:c>
      <x:c r="D360" t="str">
        <x:v>mateo.martinez.359@example.com</x:v>
      </x:c>
      <x:c r="E360" t="str">
        <x:v>+1 (713) 555-0158</x:v>
      </x:c>
      <x:c r="F360" t="str">
        <x:v>Houston, TX</x:v>
      </x:c>
      <x:c r="G360" t="str">
        <x:v>Houston</x:v>
      </x:c>
      <x:c r="H360" t="str">
        <x:v>TX</x:v>
      </x:c>
      <x:c r="I360" s="18" t="str">
        <x:v>77002</x:v>
      </x:c>
      <x:c r="J360" s="15" t="n">
        <x:v>30518.52298619213</x:v>
      </x:c>
      <x:c r="K360" t="n">
        <x:f>INT((DATE(2025,12,31)-J360)/365.25)</x:f>
        <x:v>42</x:v>
      </x:c>
      <x:c r="L360" t="str">
        <x:f>IF(K360&lt;25,"18-24",IF(K360&lt;35,"25-34",IF(K360&lt;45,"35-44",IF(K360&lt;55,"45-54","55+"))))</x:f>
        <x:v>35-44</x:v>
      </x:c>
      <x:c r="M360" s="15" t="n">
        <x:v>45027.401320289355</x:v>
      </x:c>
      <x:c r="N360" t="n">
        <x:f>(YEAR(DATE(2025,12,31))-YEAR(M360))*12+MONTH(DATE(2025,12,31))-MONTH(M360)</x:f>
        <x:v>32</x:v>
      </x:c>
      <x:c r="O360" t="str">
        <x:v>ACTIVE</x:v>
      </x:c>
      <x:c r="P360" t="str">
        <x:v>INDEPENDENT_CONTRACTOR</x:v>
      </x:c>
      <x:c r="Q360" t="str">
        <x:v>CAR</x:v>
      </x:c>
      <x:c r="R360" t="str">
        <x:v>WEEKENDS</x:v>
      </x:c>
      <x:c r="S360" t="n">
        <x:v>47</x:v>
      </x:c>
      <x:c r="T360" t="str">
        <x:v>CLEARED</x:v>
      </x:c>
      <x:c r="U360" t="str">
        <x:v>EXPIRING_SOON</x:v>
      </x:c>
      <x:c r="V360" s="16" t="n">
        <x:v>0.9009</x:v>
      </x:c>
      <x:c r="W360" t="str">
        <x:v>English</x:v>
      </x:c>
      <x:c r="X360" t="str">
        <x:v>Spanish</x:v>
      </x:c>
      <x:c r="Y360" t="n">
        <x:v>5309</x:v>
      </x:c>
      <x:c r="Z360" s="17" t="n">
        <x:v>4.85</x:v>
      </x:c>
      <x:c r="AA360" s="16" t="n">
        <x:v>0.9224</x:v>
      </x:c>
      <x:c r="AB360" s="16" t="n">
        <x:v>0.8875</x:v>
      </x:c>
      <x:c r="AC360" s="16" t="n">
        <x:v>0.896</x:v>
      </x:c>
      <x:c r="AD360" t="n">
        <x:v>0</x:v>
      </x:c>
      <x:c r="AE360" t="str">
        <x:f>IF(O360&lt;&gt;"ACTIVE","NOT_RATED",IF(AND(Z360&gt;=4.8,AB360&gt;=0.97,AC360&gt;=0.93,AD360=0),"ELITE",IF(AND(Z360&gt;=4.6,AB360&gt;=0.94,AC360&gt;=0.88),"HIGH_PERFORMER",IF(OR(Z360&lt;4.2,AB360&lt;0.85,AD360&gt;=2),"AT_RISK","STANDARD"))))</x:f>
        <x:v>STANDARD</x:v>
      </x:c>
      <x:c r="AF360" s="15" t="n">
        <x:v>46020</x:v>
      </x:c>
      <x:c r="AG360" t="str">
        <x:v>VERIFIED</x:v>
      </x:c>
      <x:c r="AH360" t="str">
        <x:v>COMPLETE</x:v>
      </x:c>
      <x:c r="AI360" t="str">
        <x:v>Liam Davis</x:v>
      </x:c>
      <x:c r="AJ360" t="str">
        <x:v>PARENT</x:v>
      </x:c>
      <x:c r="AK360" t="str">
        <x:v>+1 (713) 555-0129</x:v>
      </x:c>
    </x:row>
    <x:row r="361" ht="18" customHeight="1">
      <x:c r="A361" t="str">
        <x:v>DHR-00360</x:v>
      </x:c>
      <x:c r="B361" t="str">
        <x:v>Mateo Miller</x:v>
      </x:c>
      <x:c r="C361" t="str">
        <x:v>https://api.dicebear.com/9.x/adventurer/png?seed=DHR-00360-Mateo%20Miller&amp;size=256&amp;radius=50&amp;backgroundColor=b6e3f4,c0aede,d1d4f9,ffd5dc,ffdfbf</x:v>
      </x:c>
      <x:c r="D361" t="str">
        <x:v>mateo.miller.360@example.com</x:v>
      </x:c>
      <x:c r="E361" t="str">
        <x:v>+1 (303) 555-0159</x:v>
      </x:c>
      <x:c r="F361" t="str">
        <x:v>Denver, CO</x:v>
      </x:c>
      <x:c r="G361" t="str">
        <x:v>Denver</x:v>
      </x:c>
      <x:c r="H361" t="str">
        <x:v>CO</x:v>
      </x:c>
      <x:c r="I361" s="18" t="str">
        <x:v>80202</x:v>
      </x:c>
      <x:c r="J361" s="15" t="n">
        <x:v>36777.4248790162</x:v>
      </x:c>
      <x:c r="K361" t="n">
        <x:f>INT((DATE(2025,12,31)-J361)/365.25)</x:f>
        <x:v>25</x:v>
      </x:c>
      <x:c r="L361" t="str">
        <x:f>IF(K361&lt;25,"18-24",IF(K361&lt;35,"25-34",IF(K361&lt;45,"35-44",IF(K361&lt;55,"45-54","55+"))))</x:f>
        <x:v>25-34</x:v>
      </x:c>
      <x:c r="M361" s="15" t="n">
        <x:v>45468.048860636576</x:v>
      </x:c>
      <x:c r="N361" t="n">
        <x:f>(YEAR(DATE(2025,12,31))-YEAR(M361))*12+MONTH(DATE(2025,12,31))-MONTH(M361)</x:f>
        <x:v>18</x:v>
      </x:c>
      <x:c r="O361" t="str">
        <x:v>ACTIVE</x:v>
      </x:c>
      <x:c r="P361" t="str">
        <x:v>INDEPENDENT_CONTRACTOR</x:v>
      </x:c>
      <x:c r="Q361" t="str">
        <x:v>MOTORCYCLE</x:v>
      </x:c>
      <x:c r="R361" t="str">
        <x:v>LUNCH</x:v>
      </x:c>
      <x:c r="S361" t="n">
        <x:v>39</x:v>
      </x:c>
      <x:c r="T361" t="str">
        <x:v>CLEARED</x:v>
      </x:c>
      <x:c r="U361" t="str">
        <x:v>VALID</x:v>
      </x:c>
      <x:c r="V361" s="16" t="n">
        <x:v>0.8236</x:v>
      </x:c>
      <x:c r="W361" t="str">
        <x:v>English</x:v>
      </x:c>
      <x:c r="X361"/>
      <x:c r="Y361" t="n">
        <x:v>2263</x:v>
      </x:c>
      <x:c r="Z361" s="17" t="n">
        <x:v>4.92</x:v>
      </x:c>
      <x:c r="AA361" s="16" t="n">
        <x:v>0.6813</x:v>
      </x:c>
      <x:c r="AB361" s="16" t="n">
        <x:v>0.8797</x:v>
      </x:c>
      <x:c r="AC361" s="16" t="n">
        <x:v>0.9607</x:v>
      </x:c>
      <x:c r="AD361" t="n">
        <x:v>0</x:v>
      </x:c>
      <x:c r="AE361" t="str">
        <x:f>IF(O361&lt;&gt;"ACTIVE","NOT_RATED",IF(AND(Z361&gt;=4.8,AB361&gt;=0.97,AC361&gt;=0.93,AD361=0),"ELITE",IF(AND(Z361&gt;=4.6,AB361&gt;=0.94,AC361&gt;=0.88),"HIGH_PERFORMER",IF(OR(Z361&lt;4.2,AB361&lt;0.85,AD361&gt;=2),"AT_RISK","STANDARD"))))</x:f>
        <x:v>STANDARD</x:v>
      </x:c>
      <x:c r="AF361" s="15" t="n">
        <x:v>46013</x:v>
      </x:c>
      <x:c r="AG361" t="str">
        <x:v>VERIFIED</x:v>
      </x:c>
      <x:c r="AH361" t="str">
        <x:v>COMPLETE</x:v>
      </x:c>
      <x:c r="AI361" t="str">
        <x:v>Lucas Harris</x:v>
      </x:c>
      <x:c r="AJ361" t="str">
        <x:v>FRIEND</x:v>
      </x:c>
      <x:c r="AK361" t="str">
        <x:v>+1 (303) 555-0136</x:v>
      </x:c>
    </x:row>
    <x:row r="362" ht="18" customHeight="1">
      <x:c r="A362" t="str">
        <x:v>DHR-00361</x:v>
      </x:c>
      <x:c r="B362" t="str">
        <x:v>Mateo Moore</x:v>
      </x:c>
      <x:c r="C362" t="str">
        <x:v>https://api.dicebear.com/9.x/adventurer/png?seed=DHR-00361-Mateo%20Moore&amp;size=256&amp;radius=50&amp;backgroundColor=b6e3f4,c0aede,d1d4f9,ffd5dc,ffdfbf</x:v>
      </x:c>
      <x:c r="D362" t="str">
        <x:v>mateo.moore.361@example.com</x:v>
      </x:c>
      <x:c r="E362" t="str">
        <x:v>+1 (512) 555-0160</x:v>
      </x:c>
      <x:c r="F362" t="str">
        <x:v>Austin, TX</x:v>
      </x:c>
      <x:c r="G362" t="str">
        <x:v>Austin</x:v>
      </x:c>
      <x:c r="H362" t="str">
        <x:v>TX</x:v>
      </x:c>
      <x:c r="I362" s="18" t="str">
        <x:v>78701</x:v>
      </x:c>
      <x:c r="J362" s="15" t="n">
        <x:v>25850.52138822917</x:v>
      </x:c>
      <x:c r="K362" t="n">
        <x:f>INT((DATE(2025,12,31)-J362)/365.25)</x:f>
        <x:v>55</x:v>
      </x:c>
      <x:c r="L362" t="str">
        <x:f>IF(K362&lt;25,"18-24",IF(K362&lt;35,"25-34",IF(K362&lt;45,"35-44",IF(K362&lt;55,"45-54","55+"))))</x:f>
        <x:v>55+</x:v>
      </x:c>
      <x:c r="M362" s="15" t="n">
        <x:v>45183.37463978009</x:v>
      </x:c>
      <x:c r="N362" t="n">
        <x:f>(YEAR(DATE(2025,12,31))-YEAR(M362))*12+MONTH(DATE(2025,12,31))-MONTH(M362)</x:f>
        <x:v>27</x:v>
      </x:c>
      <x:c r="O362" t="str">
        <x:v>ACTIVE</x:v>
      </x:c>
      <x:c r="P362" t="str">
        <x:v>INDEPENDENT_CONTRACTOR</x:v>
      </x:c>
      <x:c r="Q362" t="str">
        <x:v>CAR</x:v>
      </x:c>
      <x:c r="R362" t="str">
        <x:v>DINNER</x:v>
      </x:c>
      <x:c r="S362" t="n">
        <x:v>25</x:v>
      </x:c>
      <x:c r="T362" t="str">
        <x:v>CLEARED</x:v>
      </x:c>
      <x:c r="U362" t="str">
        <x:v>VALID</x:v>
      </x:c>
      <x:c r="V362" s="16" t="n">
        <x:v>0.9318</x:v>
      </x:c>
      <x:c r="W362" t="str">
        <x:v>English</x:v>
      </x:c>
      <x:c r="X362"/>
      <x:c r="Y362" t="n">
        <x:v>2715</x:v>
      </x:c>
      <x:c r="Z362" s="17" t="n">
        <x:v>4.46</x:v>
      </x:c>
      <x:c r="AA362" s="16" t="n">
        <x:v>0.7877</x:v>
      </x:c>
      <x:c r="AB362" s="16" t="n">
        <x:v>0.9747</x:v>
      </x:c>
      <x:c r="AC362" s="16" t="n">
        <x:v>0.8227</x:v>
      </x:c>
      <x:c r="AD362" t="n">
        <x:v>0</x:v>
      </x:c>
      <x:c r="AE362" t="str">
        <x:f>IF(O362&lt;&gt;"ACTIVE","NOT_RATED",IF(AND(Z362&gt;=4.8,AB362&gt;=0.97,AC362&gt;=0.93,AD362=0),"ELITE",IF(AND(Z362&gt;=4.6,AB362&gt;=0.94,AC362&gt;=0.88),"HIGH_PERFORMER",IF(OR(Z362&lt;4.2,AB362&lt;0.85,AD362&gt;=2),"AT_RISK","STANDARD"))))</x:f>
        <x:v>STANDARD</x:v>
      </x:c>
      <x:c r="AF362" s="15" t="n">
        <x:v>46014</x:v>
      </x:c>
      <x:c r="AG362" t="str">
        <x:v>VERIFIED</x:v>
      </x:c>
      <x:c r="AH362" t="str">
        <x:v>COMPLETE</x:v>
      </x:c>
      <x:c r="AI362" t="str">
        <x:v>Jamie Harris</x:v>
      </x:c>
      <x:c r="AJ362" t="str">
        <x:v>SPOUSE_PARTNER</x:v>
      </x:c>
      <x:c r="AK362" t="str">
        <x:v>+1 (512) 555-0143</x:v>
      </x:c>
    </x:row>
    <x:row r="363" ht="18" customHeight="1">
      <x:c r="A363" t="str">
        <x:v>DHR-00362</x:v>
      </x:c>
      <x:c r="B363" t="str">
        <x:v>Mateo Perez</x:v>
      </x:c>
      <x:c r="C363" t="str">
        <x:v>https://api.dicebear.com/9.x/adventurer/png?seed=DHR-00362-Mateo%20Perez&amp;size=256&amp;radius=50&amp;backgroundColor=b6e3f4,c0aede,d1d4f9,ffd5dc,ffdfbf</x:v>
      </x:c>
      <x:c r="D363" t="str">
        <x:v>mateo.perez.362@example.com</x:v>
      </x:c>
      <x:c r="E363" t="str">
        <x:v>+1 (619) 555-0161</x:v>
      </x:c>
      <x:c r="F363" t="str">
        <x:v>San Diego, CA</x:v>
      </x:c>
      <x:c r="G363" t="str">
        <x:v>San Diego</x:v>
      </x:c>
      <x:c r="H363" t="str">
        <x:v>CA</x:v>
      </x:c>
      <x:c r="I363" s="18" t="str">
        <x:v>92101</x:v>
      </x:c>
      <x:c r="J363" s="15" t="n">
        <x:v>32559.862320520835</x:v>
      </x:c>
      <x:c r="K363" t="n">
        <x:f>INT((DATE(2025,12,31)-J363)/365.25)</x:f>
        <x:v>36</x:v>
      </x:c>
      <x:c r="L363" t="str">
        <x:f>IF(K363&lt;25,"18-24",IF(K363&lt;35,"25-34",IF(K363&lt;45,"35-44",IF(K363&lt;55,"45-54","55+"))))</x:f>
        <x:v>35-44</x:v>
      </x:c>
      <x:c r="M363" s="15" t="n">
        <x:v>44935.119627210646</x:v>
      </x:c>
      <x:c r="N363" t="n">
        <x:f>(YEAR(DATE(2025,12,31))-YEAR(M363))*12+MONTH(DATE(2025,12,31))-MONTH(M363)</x:f>
        <x:v>35</x:v>
      </x:c>
      <x:c r="O363" t="str">
        <x:v>ACTIVE</x:v>
      </x:c>
      <x:c r="P363" t="str">
        <x:v>INDEPENDENT_CONTRACTOR</x:v>
      </x:c>
      <x:c r="Q363" t="str">
        <x:v>CAR</x:v>
      </x:c>
      <x:c r="R363" t="str">
        <x:v>LUNCH</x:v>
      </x:c>
      <x:c r="S363" t="n">
        <x:v>43</x:v>
      </x:c>
      <x:c r="T363" t="str">
        <x:v>CLEARED</x:v>
      </x:c>
      <x:c r="U363" t="str">
        <x:v>VALID</x:v>
      </x:c>
      <x:c r="V363" s="16" t="n">
        <x:v>0.8142</x:v>
      </x:c>
      <x:c r="W363" t="str">
        <x:v>English</x:v>
      </x:c>
      <x:c r="X363"/>
      <x:c r="Y363" t="n">
        <x:v>3459</x:v>
      </x:c>
      <x:c r="Z363" s="17" t="n">
        <x:v>4.87</x:v>
      </x:c>
      <x:c r="AA363" s="16" t="n">
        <x:v>0.7876</x:v>
      </x:c>
      <x:c r="AB363" s="16" t="n">
        <x:v>0.8931</x:v>
      </x:c>
      <x:c r="AC363" s="16" t="n">
        <x:v>0.9381</x:v>
      </x:c>
      <x:c r="AD363" t="n">
        <x:v>0</x:v>
      </x:c>
      <x:c r="AE363" t="str">
        <x:f>IF(O363&lt;&gt;"ACTIVE","NOT_RATED",IF(AND(Z363&gt;=4.8,AB363&gt;=0.97,AC363&gt;=0.93,AD363=0),"ELITE",IF(AND(Z363&gt;=4.6,AB363&gt;=0.94,AC363&gt;=0.88),"HIGH_PERFORMER",IF(OR(Z363&lt;4.2,AB363&lt;0.85,AD363&gt;=2),"AT_RISK","STANDARD"))))</x:f>
        <x:v>STANDARD</x:v>
      </x:c>
      <x:c r="AF363" s="15" t="n">
        <x:v>46009</x:v>
      </x:c>
      <x:c r="AG363" t="str">
        <x:v>VERIFIED</x:v>
      </x:c>
      <x:c r="AH363" t="str">
        <x:v>COMPLETE</x:v>
      </x:c>
      <x:c r="AI363" t="str">
        <x:v>Jesse Wilson</x:v>
      </x:c>
      <x:c r="AJ363" t="str">
        <x:v>SPOUSE_PARTNER</x:v>
      </x:c>
      <x:c r="AK363" t="str">
        <x:v>+1 (619) 555-0150</x:v>
      </x:c>
    </x:row>
    <x:row r="364" ht="18" customHeight="1">
      <x:c r="A364" t="str">
        <x:v>DHR-00363</x:v>
      </x:c>
      <x:c r="B364" t="str">
        <x:v>Mateo Rodriguez</x:v>
      </x:c>
      <x:c r="C364" t="str">
        <x:v>https://api.dicebear.com/9.x/adventurer/png?seed=DHR-00363-Mateo%20Rodriguez&amp;size=256&amp;radius=50&amp;backgroundColor=b6e3f4,c0aede,d1d4f9,ffd5dc,ffdfbf</x:v>
      </x:c>
      <x:c r="D364" t="str">
        <x:v>mateo.rodriguez.363@example.com</x:v>
      </x:c>
      <x:c r="E364" t="str">
        <x:v>+1 (615) 555-0162</x:v>
      </x:c>
      <x:c r="F364" t="str">
        <x:v>Nashville, TN</x:v>
      </x:c>
      <x:c r="G364" t="str">
        <x:v>Nashville</x:v>
      </x:c>
      <x:c r="H364" t="str">
        <x:v>TN</x:v>
      </x:c>
      <x:c r="I364" s="18" t="str">
        <x:v>37219</x:v>
      </x:c>
      <x:c r="J364" s="15" t="n">
        <x:v>35926.34518019676</x:v>
      </x:c>
      <x:c r="K364" t="n">
        <x:f>INT((DATE(2025,12,31)-J364)/365.25)</x:f>
        <x:v>27</x:v>
      </x:c>
      <x:c r="L364" t="str">
        <x:f>IF(K364&lt;25,"18-24",IF(K364&lt;35,"25-34",IF(K364&lt;45,"35-44",IF(K364&lt;55,"45-54","55+"))))</x:f>
        <x:v>25-34</x:v>
      </x:c>
      <x:c r="M364" s="15" t="n">
        <x:v>45364.4370159375</x:v>
      </x:c>
      <x:c r="N364" t="n">
        <x:f>(YEAR(DATE(2025,12,31))-YEAR(M364))*12+MONTH(DATE(2025,12,31))-MONTH(M364)</x:f>
        <x:v>21</x:v>
      </x:c>
      <x:c r="O364" t="str">
        <x:v>ACTIVE</x:v>
      </x:c>
      <x:c r="P364" t="str">
        <x:v>INDEPENDENT_CONTRACTOR</x:v>
      </x:c>
      <x:c r="Q364" t="str">
        <x:v>CAR</x:v>
      </x:c>
      <x:c r="R364" t="str">
        <x:v>LUNCH</x:v>
      </x:c>
      <x:c r="S364" t="n">
        <x:v>33</x:v>
      </x:c>
      <x:c r="T364" t="str">
        <x:v>CLEARED</x:v>
      </x:c>
      <x:c r="U364" t="str">
        <x:v>EXPIRING_SOON</x:v>
      </x:c>
      <x:c r="V364" s="16" t="n">
        <x:v>0.8742</x:v>
      </x:c>
      <x:c r="W364" t="str">
        <x:v>English</x:v>
      </x:c>
      <x:c r="X364"/>
      <x:c r="Y364" t="n">
        <x:v>2379</x:v>
      </x:c>
      <x:c r="Z364" s="17" t="n">
        <x:v>4.61</x:v>
      </x:c>
      <x:c r="AA364" s="16" t="n">
        <x:v>0.6632</x:v>
      </x:c>
      <x:c r="AB364" s="16" t="n">
        <x:v>0.961</x:v>
      </x:c>
      <x:c r="AC364" s="16" t="n">
        <x:v>0.9151</x:v>
      </x:c>
      <x:c r="AD364" t="n">
        <x:v>0</x:v>
      </x:c>
      <x:c r="AE364" t="str">
        <x:f>IF(O364&lt;&gt;"ACTIVE","NOT_RATED",IF(AND(Z364&gt;=4.8,AB364&gt;=0.97,AC364&gt;=0.93,AD364=0),"ELITE",IF(AND(Z364&gt;=4.6,AB364&gt;=0.94,AC364&gt;=0.88),"HIGH_PERFORMER",IF(OR(Z364&lt;4.2,AB364&lt;0.85,AD364&gt;=2),"AT_RISK","STANDARD"))))</x:f>
        <x:v>HIGH_PERFORMER</x:v>
      </x:c>
      <x:c r="AF364" s="15" t="n">
        <x:v>46011</x:v>
      </x:c>
      <x:c r="AG364" t="str">
        <x:v>VERIFIED</x:v>
      </x:c>
      <x:c r="AH364" t="str">
        <x:v>COMPLETE</x:v>
      </x:c>
      <x:c r="AI364" t="str">
        <x:v>Quinn Young</x:v>
      </x:c>
      <x:c r="AJ364" t="str">
        <x:v>SIBLING</x:v>
      </x:c>
      <x:c r="AK364" t="str">
        <x:v>+1 (615) 555-0157</x:v>
      </x:c>
    </x:row>
    <x:row r="365" ht="18" customHeight="1">
      <x:c r="A365" t="str">
        <x:v>DHR-00364</x:v>
      </x:c>
      <x:c r="B365" t="str">
        <x:v>Mateo Thomas</x:v>
      </x:c>
      <x:c r="C365" t="str">
        <x:v>https://api.dicebear.com/9.x/adventurer/png?seed=DHR-00364-Mateo%20Thomas&amp;size=256&amp;radius=50&amp;backgroundColor=b6e3f4,c0aede,d1d4f9,ffd5dc,ffdfbf</x:v>
      </x:c>
      <x:c r="D365" t="str">
        <x:v>mateo.thomas.364@example.com</x:v>
      </x:c>
      <x:c r="E365" t="str">
        <x:v>+1 (214) 555-0163</x:v>
      </x:c>
      <x:c r="F365" t="str">
        <x:v>Dallas, TX</x:v>
      </x:c>
      <x:c r="G365" t="str">
        <x:v>Dallas</x:v>
      </x:c>
      <x:c r="H365" t="str">
        <x:v>TX</x:v>
      </x:c>
      <x:c r="I365" s="18" t="str">
        <x:v>75201</x:v>
      </x:c>
      <x:c r="J365" s="15" t="n">
        <x:v>29983.688038645832</x:v>
      </x:c>
      <x:c r="K365" t="n">
        <x:f>INT((DATE(2025,12,31)-J365)/365.25)</x:f>
        <x:v>43</x:v>
      </x:c>
      <x:c r="L365" t="str">
        <x:f>IF(K365&lt;25,"18-24",IF(K365&lt;35,"25-34",IF(K365&lt;45,"35-44",IF(K365&lt;55,"45-54","55+"))))</x:f>
        <x:v>35-44</x:v>
      </x:c>
      <x:c r="M365" s="15" t="n">
        <x:v>44879.513898958336</x:v>
      </x:c>
      <x:c r="N365" t="n">
        <x:f>(YEAR(DATE(2025,12,31))-YEAR(M365))*12+MONTH(DATE(2025,12,31))-MONTH(M365)</x:f>
        <x:v>37</x:v>
      </x:c>
      <x:c r="O365" t="str">
        <x:v>ACTIVE</x:v>
      </x:c>
      <x:c r="P365" t="str">
        <x:v>INDEPENDENT_CONTRACTOR</x:v>
      </x:c>
      <x:c r="Q365" t="str">
        <x:v>CAR</x:v>
      </x:c>
      <x:c r="R365" t="str">
        <x:v>FLEXIBLE</x:v>
      </x:c>
      <x:c r="S365" t="n">
        <x:v>16</x:v>
      </x:c>
      <x:c r="T365" t="str">
        <x:v>CLEARED</x:v>
      </x:c>
      <x:c r="U365" t="str">
        <x:v>VALID</x:v>
      </x:c>
      <x:c r="V365" s="16" t="n">
        <x:v>0.9089</x:v>
      </x:c>
      <x:c r="W365" t="str">
        <x:v>English</x:v>
      </x:c>
      <x:c r="X365"/>
      <x:c r="Y365" t="n">
        <x:v>2118</x:v>
      </x:c>
      <x:c r="Z365" s="17" t="n">
        <x:v>4.81</x:v>
      </x:c>
      <x:c r="AA365" s="16" t="n">
        <x:v>0.9668</x:v>
      </x:c>
      <x:c r="AB365" s="16" t="n">
        <x:v>0.998</x:v>
      </x:c>
      <x:c r="AC365" s="16" t="n">
        <x:v>0.8991</x:v>
      </x:c>
      <x:c r="AD365" t="n">
        <x:v>0</x:v>
      </x:c>
      <x:c r="AE365" t="str">
        <x:f>IF(O365&lt;&gt;"ACTIVE","NOT_RATED",IF(AND(Z365&gt;=4.8,AB365&gt;=0.97,AC365&gt;=0.93,AD365=0),"ELITE",IF(AND(Z365&gt;=4.6,AB365&gt;=0.94,AC365&gt;=0.88),"HIGH_PERFORMER",IF(OR(Z365&lt;4.2,AB365&lt;0.85,AD365&gt;=2),"AT_RISK","STANDARD"))))</x:f>
        <x:v>HIGH_PERFORMER</x:v>
      </x:c>
      <x:c r="AF365" s="15" t="n">
        <x:v>46017</x:v>
      </x:c>
      <x:c r="AG365" t="str">
        <x:v>VERIFIED</x:v>
      </x:c>
      <x:c r="AH365" t="str">
        <x:v>COMPLETE</x:v>
      </x:c>
      <x:c r="AI365" t="str">
        <x:v>Liam Thomas</x:v>
      </x:c>
      <x:c r="AJ365" t="str">
        <x:v>PARENT</x:v>
      </x:c>
      <x:c r="AK365" t="str">
        <x:v>+1 (214) 555-0164</x:v>
      </x:c>
    </x:row>
    <x:row r="366" ht="18" customHeight="1">
      <x:c r="A366" t="str">
        <x:v>DHR-00365</x:v>
      </x:c>
      <x:c r="B366" t="str">
        <x:v>Mateo Thompson</x:v>
      </x:c>
      <x:c r="C366" t="str">
        <x:v>https://api.dicebear.com/9.x/adventurer/png?seed=DHR-00365-Mateo%20Thompson&amp;size=256&amp;radius=50&amp;backgroundColor=b6e3f4,c0aede,d1d4f9,ffd5dc,ffdfbf</x:v>
      </x:c>
      <x:c r="D366" t="str">
        <x:v>mateo.thompson.365@example.com</x:v>
      </x:c>
      <x:c r="E366" t="str">
        <x:v>+1 (305) 555-0164</x:v>
      </x:c>
      <x:c r="F366" t="str">
        <x:v>Miami, FL</x:v>
      </x:c>
      <x:c r="G366" t="str">
        <x:v>Miami</x:v>
      </x:c>
      <x:c r="H366" t="str">
        <x:v>FL</x:v>
      </x:c>
      <x:c r="I366" s="18" t="str">
        <x:v>33130</x:v>
      </x:c>
      <x:c r="J366" s="15" t="n">
        <x:v>35305.38221643519</x:v>
      </x:c>
      <x:c r="K366" t="n">
        <x:f>INT((DATE(2025,12,31)-J366)/365.25)</x:f>
        <x:v>29</x:v>
      </x:c>
      <x:c r="L366" t="str">
        <x:f>IF(K366&lt;25,"18-24",IF(K366&lt;35,"25-34",IF(K366&lt;45,"35-44",IF(K366&lt;55,"45-54","55+"))))</x:f>
        <x:v>25-34</x:v>
      </x:c>
      <x:c r="M366" s="15" t="n">
        <x:v>44413.159498229164</x:v>
      </x:c>
      <x:c r="N366" t="n">
        <x:f>(YEAR(DATE(2025,12,31))-YEAR(M366))*12+MONTH(DATE(2025,12,31))-MONTH(M366)</x:f>
        <x:v>52</x:v>
      </x:c>
      <x:c r="O366" t="str">
        <x:v>PAUSED</x:v>
      </x:c>
      <x:c r="P366" t="str">
        <x:v>INDEPENDENT_CONTRACTOR</x:v>
      </x:c>
      <x:c r="Q366" t="str">
        <x:v>CAR</x:v>
      </x:c>
      <x:c r="R366" t="str">
        <x:v>DINNER</x:v>
      </x:c>
      <x:c r="S366" t="n">
        <x:v>39</x:v>
      </x:c>
      <x:c r="T366" t="str">
        <x:v>CLEARED</x:v>
      </x:c>
      <x:c r="U366" t="str">
        <x:v>VALID</x:v>
      </x:c>
      <x:c r="V366" s="16" t="n">
        <x:v>0.9398</x:v>
      </x:c>
      <x:c r="W366" t="str">
        <x:v>English</x:v>
      </x:c>
      <x:c r="X366"/>
      <x:c r="Y366" t="n">
        <x:v>7184</x:v>
      </x:c>
      <x:c r="Z366" s="17" t="n">
        <x:v>4.44</x:v>
      </x:c>
      <x:c r="AA366" s="16" t="n">
        <x:v>0.9748</x:v>
      </x:c>
      <x:c r="AB366" s="16" t="n">
        <x:v>0.9588</x:v>
      </x:c>
      <x:c r="AC366" s="16" t="n">
        <x:v>0.943</x:v>
      </x:c>
      <x:c r="AD366" t="n">
        <x:v>0</x:v>
      </x:c>
      <x:c r="AE366" t="str">
        <x:f>IF(O366&lt;&gt;"ACTIVE","NOT_RATED",IF(AND(Z366&gt;=4.8,AB366&gt;=0.97,AC366&gt;=0.93,AD366=0),"ELITE",IF(AND(Z366&gt;=4.6,AB366&gt;=0.94,AC366&gt;=0.88),"HIGH_PERFORMER",IF(OR(Z366&lt;4.2,AB366&lt;0.85,AD366&gt;=2),"AT_RISK","STANDARD"))))</x:f>
        <x:v>NOT_RATED</x:v>
      </x:c>
      <x:c r="AF366" s="15" t="n">
        <x:v>45907</x:v>
      </x:c>
      <x:c r="AG366" t="str">
        <x:v>VERIFIED</x:v>
      </x:c>
      <x:c r="AH366" t="str">
        <x:v>COMPLETE</x:v>
      </x:c>
      <x:c r="AI366" t="str">
        <x:v>Skyler Lewis</x:v>
      </x:c>
      <x:c r="AJ366" t="str">
        <x:v>SPOUSE_PARTNER</x:v>
      </x:c>
      <x:c r="AK366" t="str">
        <x:v>+1 (305) 555-0171</x:v>
      </x:c>
    </x:row>
    <x:row r="367" ht="18" customHeight="1">
      <x:c r="A367" t="str">
        <x:v>DHR-00366</x:v>
      </x:c>
      <x:c r="B367" t="str">
        <x:v>Mateo White</x:v>
      </x:c>
      <x:c r="C367" t="str">
        <x:v>https://api.dicebear.com/9.x/adventurer/png?seed=DHR-00366-Mateo%20White&amp;size=256&amp;radius=50&amp;backgroundColor=b6e3f4,c0aede,d1d4f9,ffd5dc,ffdfbf</x:v>
      </x:c>
      <x:c r="D367" t="str">
        <x:v>mateo.white.366@example.com</x:v>
      </x:c>
      <x:c r="E367" t="str">
        <x:v>+1 (305) 555-0165</x:v>
      </x:c>
      <x:c r="F367" t="str">
        <x:v>Miami, FL</x:v>
      </x:c>
      <x:c r="G367" t="str">
        <x:v>Miami</x:v>
      </x:c>
      <x:c r="H367" t="str">
        <x:v>FL</x:v>
      </x:c>
      <x:c r="I367" s="18" t="str">
        <x:v>33130</x:v>
      </x:c>
      <x:c r="J367" s="15" t="n">
        <x:v>31059.612308298612</x:v>
      </x:c>
      <x:c r="K367" t="n">
        <x:f>INT((DATE(2025,12,31)-J367)/365.25)</x:f>
        <x:v>40</x:v>
      </x:c>
      <x:c r="L367" t="str">
        <x:f>IF(K367&lt;25,"18-24",IF(K367&lt;35,"25-34",IF(K367&lt;45,"35-44",IF(K367&lt;55,"45-54","55+"))))</x:f>
        <x:v>35-44</x:v>
      </x:c>
      <x:c r="M367" s="15" t="n">
        <x:v>45639.51178976852</x:v>
      </x:c>
      <x:c r="N367" t="n">
        <x:f>(YEAR(DATE(2025,12,31))-YEAR(M367))*12+MONTH(DATE(2025,12,31))-MONTH(M367)</x:f>
        <x:v>12</x:v>
      </x:c>
      <x:c r="O367" t="str">
        <x:v>ACTIVE</x:v>
      </x:c>
      <x:c r="P367" t="str">
        <x:v>INDEPENDENT_CONTRACTOR</x:v>
      </x:c>
      <x:c r="Q367" t="str">
        <x:v>CAR</x:v>
      </x:c>
      <x:c r="R367" t="str">
        <x:v>WEEKENDS</x:v>
      </x:c>
      <x:c r="S367" t="n">
        <x:v>48</x:v>
      </x:c>
      <x:c r="T367" t="str">
        <x:v>CLEARED</x:v>
      </x:c>
      <x:c r="U367" t="str">
        <x:v>VALID</x:v>
      </x:c>
      <x:c r="V367" s="16" t="n">
        <x:v>0.9467</x:v>
      </x:c>
      <x:c r="W367" t="str">
        <x:v>English</x:v>
      </x:c>
      <x:c r="X367" t="str">
        <x:v>Spanish</x:v>
      </x:c>
      <x:c r="Y367" t="n">
        <x:v>1847</x:v>
      </x:c>
      <x:c r="Z367" s="17" t="n">
        <x:v>4.74</x:v>
      </x:c>
      <x:c r="AA367" s="16" t="n">
        <x:v>0.6832</x:v>
      </x:c>
      <x:c r="AB367" s="16" t="n">
        <x:v>0.9092</x:v>
      </x:c>
      <x:c r="AC367" s="16" t="n">
        <x:v>0.8931</x:v>
      </x:c>
      <x:c r="AD367" t="n">
        <x:v>0</x:v>
      </x:c>
      <x:c r="AE367" t="str">
        <x:f>IF(O367&lt;&gt;"ACTIVE","NOT_RATED",IF(AND(Z367&gt;=4.8,AB367&gt;=0.97,AC367&gt;=0.93,AD367=0),"ELITE",IF(AND(Z367&gt;=4.6,AB367&gt;=0.94,AC367&gt;=0.88),"HIGH_PERFORMER",IF(OR(Z367&lt;4.2,AB367&lt;0.85,AD367&gt;=2),"AT_RISK","STANDARD"))))</x:f>
        <x:v>STANDARD</x:v>
      </x:c>
      <x:c r="AF367" s="15" t="n">
        <x:v>46018</x:v>
      </x:c>
      <x:c r="AG367" t="str">
        <x:v>VERIFIED</x:v>
      </x:c>
      <x:c r="AH367" t="str">
        <x:v>COMPLETE</x:v>
      </x:c>
      <x:c r="AI367" t="str">
        <x:v>Alex Taylor</x:v>
      </x:c>
      <x:c r="AJ367" t="str">
        <x:v>FRIEND</x:v>
      </x:c>
      <x:c r="AK367" t="str">
        <x:v>+1 (305) 555-0178</x:v>
      </x:c>
    </x:row>
    <x:row r="368" ht="18" customHeight="1">
      <x:c r="A368" t="str">
        <x:v>DHR-00367</x:v>
      </x:c>
      <x:c r="B368" t="str">
        <x:v>Mateo Williams</x:v>
      </x:c>
      <x:c r="C368" t="str">
        <x:v>https://api.dicebear.com/9.x/adventurer/png?seed=DHR-00367-Mateo%20Williams&amp;size=256&amp;radius=50&amp;backgroundColor=b6e3f4,c0aede,d1d4f9,ffd5dc,ffdfbf</x:v>
      </x:c>
      <x:c r="D368" t="str">
        <x:v>mateo.williams.367@example.com</x:v>
      </x:c>
      <x:c r="E368" t="str">
        <x:v>+1 (602) 555-0166</x:v>
      </x:c>
      <x:c r="F368" t="str">
        <x:v>Phoenix, AZ</x:v>
      </x:c>
      <x:c r="G368" t="str">
        <x:v>Phoenix</x:v>
      </x:c>
      <x:c r="H368" t="str">
        <x:v>AZ</x:v>
      </x:c>
      <x:c r="I368" s="18" t="str">
        <x:v>85004</x:v>
      </x:c>
      <x:c r="J368" s="15" t="n">
        <x:v>35751.59842710648</x:v>
      </x:c>
      <x:c r="K368" t="n">
        <x:f>INT((DATE(2025,12,31)-J368)/365.25)</x:f>
        <x:v>28</x:v>
      </x:c>
      <x:c r="L368" t="str">
        <x:f>IF(K368&lt;25,"18-24",IF(K368&lt;35,"25-34",IF(K368&lt;45,"35-44",IF(K368&lt;55,"45-54","55+"))))</x:f>
        <x:v>25-34</x:v>
      </x:c>
      <x:c r="M368" s="15" t="n">
        <x:v>44158.28645318287</x:v>
      </x:c>
      <x:c r="N368" t="n">
        <x:f>(YEAR(DATE(2025,12,31))-YEAR(M368))*12+MONTH(DATE(2025,12,31))-MONTH(M368)</x:f>
        <x:v>61</x:v>
      </x:c>
      <x:c r="O368" t="str">
        <x:v>ACTIVE</x:v>
      </x:c>
      <x:c r="P368" t="str">
        <x:v>INDEPENDENT_CONTRACTOR</x:v>
      </x:c>
      <x:c r="Q368" t="str">
        <x:v>CAR</x:v>
      </x:c>
      <x:c r="R368" t="str">
        <x:v>DINNER</x:v>
      </x:c>
      <x:c r="S368" t="n">
        <x:v>10</x:v>
      </x:c>
      <x:c r="T368" t="str">
        <x:v>CLEARED</x:v>
      </x:c>
      <x:c r="U368" t="str">
        <x:v>EXPIRING_SOON</x:v>
      </x:c>
      <x:c r="V368" s="16" t="n">
        <x:v>0.9811</x:v>
      </x:c>
      <x:c r="W368" t="str">
        <x:v>English</x:v>
      </x:c>
      <x:c r="X368"/>
      <x:c r="Y368" t="n">
        <x:v>2381</x:v>
      </x:c>
      <x:c r="Z368" s="17" t="n">
        <x:v>4.68</x:v>
      </x:c>
      <x:c r="AA368" s="16" t="n">
        <x:v>0.8689</x:v>
      </x:c>
      <x:c r="AB368" s="16" t="n">
        <x:v>0.9461</x:v>
      </x:c>
      <x:c r="AC368" s="16" t="n">
        <x:v>0.8789</x:v>
      </x:c>
      <x:c r="AD368" t="n">
        <x:v>0</x:v>
      </x:c>
      <x:c r="AE368" t="str">
        <x:f>IF(O368&lt;&gt;"ACTIVE","NOT_RATED",IF(AND(Z368&gt;=4.8,AB368&gt;=0.97,AC368&gt;=0.93,AD368=0),"ELITE",IF(AND(Z368&gt;=4.6,AB368&gt;=0.94,AC368&gt;=0.88),"HIGH_PERFORMER",IF(OR(Z368&lt;4.2,AB368&lt;0.85,AD368&gt;=2),"AT_RISK","STANDARD"))))</x:f>
        <x:v>STANDARD</x:v>
      </x:c>
      <x:c r="AF368" s="15" t="n">
        <x:v>46012</x:v>
      </x:c>
      <x:c r="AG368" t="str">
        <x:v>ON_HOLD</x:v>
      </x:c>
      <x:c r="AH368" t="str">
        <x:v>COMPLETE</x:v>
      </x:c>
      <x:c r="AI368" t="str">
        <x:v>Taylor Miller</x:v>
      </x:c>
      <x:c r="AJ368" t="str">
        <x:v>FRIEND</x:v>
      </x:c>
      <x:c r="AK368" t="str">
        <x:v>+1 (602) 555-0185</x:v>
      </x:c>
    </x:row>
    <x:row r="369" ht="18" customHeight="1">
      <x:c r="A369" t="str">
        <x:v>DHR-00368</x:v>
      </x:c>
      <x:c r="B369" t="str">
        <x:v>Mateo Wilson</x:v>
      </x:c>
      <x:c r="C369" t="str">
        <x:v>https://api.dicebear.com/9.x/adventurer/png?seed=DHR-00368-Mateo%20Wilson&amp;size=256&amp;radius=50&amp;backgroundColor=b6e3f4,c0aede,d1d4f9,ffd5dc,ffdfbf</x:v>
      </x:c>
      <x:c r="D369" t="str">
        <x:v>mateo.wilson.368@example.com</x:v>
      </x:c>
      <x:c r="E369" t="str">
        <x:v>+1 (512) 555-0167</x:v>
      </x:c>
      <x:c r="F369" t="str">
        <x:v>Austin, TX</x:v>
      </x:c>
      <x:c r="G369" t="str">
        <x:v>Austin</x:v>
      </x:c>
      <x:c r="H369" t="str">
        <x:v>TX</x:v>
      </x:c>
      <x:c r="I369" s="18" t="str">
        <x:v>78701</x:v>
      </x:c>
      <x:c r="J369" s="15" t="n">
        <x:v>37036.48461070602</x:v>
      </x:c>
      <x:c r="K369" t="n">
        <x:f>INT((DATE(2025,12,31)-J369)/365.25)</x:f>
        <x:v>24</x:v>
      </x:c>
      <x:c r="L369" t="str">
        <x:f>IF(K369&lt;25,"18-24",IF(K369&lt;35,"25-34",IF(K369&lt;45,"35-44",IF(K369&lt;55,"45-54","55+"))))</x:f>
        <x:v>18-24</x:v>
      </x:c>
      <x:c r="M369" s="15" t="n">
        <x:v>45118.12900490741</x:v>
      </x:c>
      <x:c r="N369" t="n">
        <x:f>(YEAR(DATE(2025,12,31))-YEAR(M369))*12+MONTH(DATE(2025,12,31))-MONTH(M369)</x:f>
        <x:v>29</x:v>
      </x:c>
      <x:c r="O369" t="str">
        <x:v>ACTIVE</x:v>
      </x:c>
      <x:c r="P369" t="str">
        <x:v>INDEPENDENT_CONTRACTOR</x:v>
      </x:c>
      <x:c r="Q369" t="str">
        <x:v>E_BIKE</x:v>
      </x:c>
      <x:c r="R369" t="str">
        <x:v>FLEXIBLE</x:v>
      </x:c>
      <x:c r="S369" t="n">
        <x:v>26</x:v>
      </x:c>
      <x:c r="T369" t="str">
        <x:v>CLEARED</x:v>
      </x:c>
      <x:c r="U369" t="str">
        <x:v>NOT_REQUIRED</x:v>
      </x:c>
      <x:c r="V369" s="16" t="n">
        <x:v>0.8002</x:v>
      </x:c>
      <x:c r="W369" t="str">
        <x:v>English</x:v>
      </x:c>
      <x:c r="X369"/>
      <x:c r="Y369" t="n">
        <x:v>1464</x:v>
      </x:c>
      <x:c r="Z369" s="17" t="n">
        <x:v>4.26</x:v>
      </x:c>
      <x:c r="AA369" s="16" t="n">
        <x:v>0.6255</x:v>
      </x:c>
      <x:c r="AB369" s="16" t="n">
        <x:v>0.9595</x:v>
      </x:c>
      <x:c r="AC369" s="16" t="n">
        <x:v>0.9292</x:v>
      </x:c>
      <x:c r="AD369" t="n">
        <x:v>0</x:v>
      </x:c>
      <x:c r="AE369" t="str">
        <x:f>IF(O369&lt;&gt;"ACTIVE","NOT_RATED",IF(AND(Z369&gt;=4.8,AB369&gt;=0.97,AC369&gt;=0.93,AD369=0),"ELITE",IF(AND(Z369&gt;=4.6,AB369&gt;=0.94,AC369&gt;=0.88),"HIGH_PERFORMER",IF(OR(Z369&lt;4.2,AB369&lt;0.85,AD369&gt;=2),"AT_RISK","STANDARD"))))</x:f>
        <x:v>STANDARD</x:v>
      </x:c>
      <x:c r="AF369" s="15" t="n">
        <x:v>46014</x:v>
      </x:c>
      <x:c r="AG369" t="str">
        <x:v>VERIFIED</x:v>
      </x:c>
      <x:c r="AH369" t="str">
        <x:v>COMPLETE</x:v>
      </x:c>
      <x:c r="AI369" t="str">
        <x:v>Jesse Moore</x:v>
      </x:c>
      <x:c r="AJ369" t="str">
        <x:v>SPOUSE_PARTNER</x:v>
      </x:c>
      <x:c r="AK369" t="str">
        <x:v>+1 (512) 555-0192</x:v>
      </x:c>
    </x:row>
    <x:row r="370" ht="18" customHeight="1">
      <x:c r="A370" t="str">
        <x:v>DHR-00369</x:v>
      </x:c>
      <x:c r="B370" t="str">
        <x:v>Mateo Young</x:v>
      </x:c>
      <x:c r="C370" t="str">
        <x:v>https://api.dicebear.com/9.x/adventurer/png?seed=DHR-00369-Mateo%20Young&amp;size=256&amp;radius=50&amp;backgroundColor=b6e3f4,c0aede,d1d4f9,ffd5dc,ffdfbf</x:v>
      </x:c>
      <x:c r="D370" t="str">
        <x:v>mateo.young.369@example.com</x:v>
      </x:c>
      <x:c r="E370" t="str">
        <x:v>+1 (303) 555-0168</x:v>
      </x:c>
      <x:c r="F370" t="str">
        <x:v>Denver, CO</x:v>
      </x:c>
      <x:c r="G370" t="str">
        <x:v>Denver</x:v>
      </x:c>
      <x:c r="H370" t="str">
        <x:v>CO</x:v>
      </x:c>
      <x:c r="I370" s="18" t="str">
        <x:v>80202</x:v>
      </x:c>
      <x:c r="J370" s="15" t="n">
        <x:v>24121.910514675925</x:v>
      </x:c>
      <x:c r="K370" t="n">
        <x:f>INT((DATE(2025,12,31)-J370)/365.25)</x:f>
        <x:v>59</x:v>
      </x:c>
      <x:c r="L370" t="str">
        <x:f>IF(K370&lt;25,"18-24",IF(K370&lt;35,"25-34",IF(K370&lt;45,"35-44",IF(K370&lt;55,"45-54","55+"))))</x:f>
        <x:v>55+</x:v>
      </x:c>
      <x:c r="M370" s="15" t="n">
        <x:v>43467.197041354164</x:v>
      </x:c>
      <x:c r="N370" t="n">
        <x:f>(YEAR(DATE(2025,12,31))-YEAR(M370))*12+MONTH(DATE(2025,12,31))-MONTH(M370)</x:f>
        <x:v>83</x:v>
      </x:c>
      <x:c r="O370" t="str">
        <x:v>ACTIVE</x:v>
      </x:c>
      <x:c r="P370" t="str">
        <x:v>INDEPENDENT_CONTRACTOR</x:v>
      </x:c>
      <x:c r="Q370" t="str">
        <x:v>CAR</x:v>
      </x:c>
      <x:c r="R370" t="str">
        <x:v>LUNCH</x:v>
      </x:c>
      <x:c r="S370" t="n">
        <x:v>17</x:v>
      </x:c>
      <x:c r="T370" t="str">
        <x:v>CLEARED</x:v>
      </x:c>
      <x:c r="U370" t="str">
        <x:v>VALID</x:v>
      </x:c>
      <x:c r="V370" s="16" t="n">
        <x:v>0.8554</x:v>
      </x:c>
      <x:c r="W370" t="str">
        <x:v>English</x:v>
      </x:c>
      <x:c r="X370"/>
      <x:c r="Y370" t="n">
        <x:v>2622</x:v>
      </x:c>
      <x:c r="Z370" s="17" t="n">
        <x:v>4.66</x:v>
      </x:c>
      <x:c r="AA370" s="16" t="n">
        <x:v>0.8282</x:v>
      </x:c>
      <x:c r="AB370" s="16" t="n">
        <x:v>0.897</x:v>
      </x:c>
      <x:c r="AC370" s="16" t="n">
        <x:v>0.9506</x:v>
      </x:c>
      <x:c r="AD370" t="n">
        <x:v>0</x:v>
      </x:c>
      <x:c r="AE370" t="str">
        <x:f>IF(O370&lt;&gt;"ACTIVE","NOT_RATED",IF(AND(Z370&gt;=4.8,AB370&gt;=0.97,AC370&gt;=0.93,AD370=0),"ELITE",IF(AND(Z370&gt;=4.6,AB370&gt;=0.94,AC370&gt;=0.88),"HIGH_PERFORMER",IF(OR(Z370&lt;4.2,AB370&lt;0.85,AD370&gt;=2),"AT_RISK","STANDARD"))))</x:f>
        <x:v>STANDARD</x:v>
      </x:c>
      <x:c r="AF370" s="15" t="n">
        <x:v>46017</x:v>
      </x:c>
      <x:c r="AG370" t="str">
        <x:v>VERIFIED</x:v>
      </x:c>
      <x:c r="AH370" t="str">
        <x:v>COMPLETE</x:v>
      </x:c>
      <x:c r="AI370" t="str">
        <x:v>Jamie Thompson</x:v>
      </x:c>
      <x:c r="AJ370" t="str">
        <x:v>PARENT</x:v>
      </x:c>
      <x:c r="AK370" t="str">
        <x:v>+1 (303) 555-0199</x:v>
      </x:c>
    </x:row>
    <x:row r="371" ht="18" customHeight="1">
      <x:c r="A371" t="str">
        <x:v>DHR-00370</x:v>
      </x:c>
      <x:c r="B371" t="str">
        <x:v>Mia Anderson</x:v>
      </x:c>
      <x:c r="C371" t="str">
        <x:v>https://api.dicebear.com/9.x/adventurer/png?seed=DHR-00370-Mia%20Anderson&amp;size=256&amp;radius=50&amp;backgroundColor=b6e3f4,c0aede,d1d4f9,ffd5dc,ffdfbf</x:v>
      </x:c>
      <x:c r="D371" t="str">
        <x:v>mia.anderson.370@example.com</x:v>
      </x:c>
      <x:c r="E371" t="str">
        <x:v>+1 (612) 555-0169</x:v>
      </x:c>
      <x:c r="F371" t="str">
        <x:v>Minneapolis, MN</x:v>
      </x:c>
      <x:c r="G371" t="str">
        <x:v>Minneapolis</x:v>
      </x:c>
      <x:c r="H371" t="str">
        <x:v>MN</x:v>
      </x:c>
      <x:c r="I371" s="18" t="str">
        <x:v>55401</x:v>
      </x:c>
      <x:c r="J371" s="15" t="n">
        <x:v>33052.082337858796</x:v>
      </x:c>
      <x:c r="K371" t="n">
        <x:f>INT((DATE(2025,12,31)-J371)/365.25)</x:f>
        <x:v>35</x:v>
      </x:c>
      <x:c r="L371" t="str">
        <x:f>IF(K371&lt;25,"18-24",IF(K371&lt;35,"25-34",IF(K371&lt;45,"35-44",IF(K371&lt;55,"45-54","55+"))))</x:f>
        <x:v>35-44</x:v>
      </x:c>
      <x:c r="M371" s="15" t="n">
        <x:v>43934.86331097222</x:v>
      </x:c>
      <x:c r="N371" t="n">
        <x:f>(YEAR(DATE(2025,12,31))-YEAR(M371))*12+MONTH(DATE(2025,12,31))-MONTH(M371)</x:f>
        <x:v>68</x:v>
      </x:c>
      <x:c r="O371" t="str">
        <x:v>ACTIVE</x:v>
      </x:c>
      <x:c r="P371" t="str">
        <x:v>INDEPENDENT_CONTRACTOR</x:v>
      </x:c>
      <x:c r="Q371" t="str">
        <x:v>MOTORCYCLE</x:v>
      </x:c>
      <x:c r="R371" t="str">
        <x:v>FLEXIBLE</x:v>
      </x:c>
      <x:c r="S371" t="n">
        <x:v>22</x:v>
      </x:c>
      <x:c r="T371" t="str">
        <x:v>CLEARED</x:v>
      </x:c>
      <x:c r="U371" t="str">
        <x:v>VALID</x:v>
      </x:c>
      <x:c r="V371" s="16" t="n">
        <x:v>0.8852</x:v>
      </x:c>
      <x:c r="W371" t="str">
        <x:v>English</x:v>
      </x:c>
      <x:c r="X371" t="str">
        <x:v>Mandarin</x:v>
      </x:c>
      <x:c r="Y371" t="n">
        <x:v>4105</x:v>
      </x:c>
      <x:c r="Z371" s="17" t="n">
        <x:v>4.41</x:v>
      </x:c>
      <x:c r="AA371" s="16" t="n">
        <x:v>0.7706</x:v>
      </x:c>
      <x:c r="AB371" s="16" t="n">
        <x:v>0.9589</x:v>
      </x:c>
      <x:c r="AC371" s="16" t="n">
        <x:v>0.8796</x:v>
      </x:c>
      <x:c r="AD371" t="n">
        <x:v>0</x:v>
      </x:c>
      <x:c r="AE371" t="str">
        <x:f>IF(O371&lt;&gt;"ACTIVE","NOT_RATED",IF(AND(Z371&gt;=4.8,AB371&gt;=0.97,AC371&gt;=0.93,AD371=0),"ELITE",IF(AND(Z371&gt;=4.6,AB371&gt;=0.94,AC371&gt;=0.88),"HIGH_PERFORMER",IF(OR(Z371&lt;4.2,AB371&lt;0.85,AD371&gt;=2),"AT_RISK","STANDARD"))))</x:f>
        <x:v>STANDARD</x:v>
      </x:c>
      <x:c r="AF371" s="15" t="n">
        <x:v>46016</x:v>
      </x:c>
      <x:c r="AG371" t="str">
        <x:v>VERIFIED</x:v>
      </x:c>
      <x:c r="AH371" t="str">
        <x:v>COMPLETE</x:v>
      </x:c>
      <x:c r="AI371" t="str">
        <x:v>Morgan Martinez</x:v>
      </x:c>
      <x:c r="AJ371" t="str">
        <x:v>SPOUSE_PARTNER</x:v>
      </x:c>
      <x:c r="AK371" t="str">
        <x:v>+1 (612) 555-0106</x:v>
      </x:c>
    </x:row>
    <x:row r="372" ht="18" customHeight="1">
      <x:c r="A372" t="str">
        <x:v>DHR-00371</x:v>
      </x:c>
      <x:c r="B372" t="str">
        <x:v>Mia Clark</x:v>
      </x:c>
      <x:c r="C372" t="str">
        <x:v>https://api.dicebear.com/9.x/adventurer/png?seed=DHR-00371-Mia%20Clark&amp;size=256&amp;radius=50&amp;backgroundColor=b6e3f4,c0aede,d1d4f9,ffd5dc,ffdfbf</x:v>
      </x:c>
      <x:c r="D372" t="str">
        <x:v>mia.clark.371@example.com</x:v>
      </x:c>
      <x:c r="E372" t="str">
        <x:v>+1 (713) 555-0170</x:v>
      </x:c>
      <x:c r="F372" t="str">
        <x:v>Houston, TX</x:v>
      </x:c>
      <x:c r="G372" t="str">
        <x:v>Houston</x:v>
      </x:c>
      <x:c r="H372" t="str">
        <x:v>TX</x:v>
      </x:c>
      <x:c r="I372" s="18" t="str">
        <x:v>77002</x:v>
      </x:c>
      <x:c r="J372" s="15" t="n">
        <x:v>34378.41148459491</x:v>
      </x:c>
      <x:c r="K372" t="n">
        <x:f>INT((DATE(2025,12,31)-J372)/365.25)</x:f>
        <x:v>31</x:v>
      </x:c>
      <x:c r="L372" t="str">
        <x:f>IF(K372&lt;25,"18-24",IF(K372&lt;35,"25-34",IF(K372&lt;45,"35-44",IF(K372&lt;55,"45-54","55+"))))</x:f>
        <x:v>25-34</x:v>
      </x:c>
      <x:c r="M372" s="15" t="n">
        <x:v>44045.319891377316</x:v>
      </x:c>
      <x:c r="N372" t="n">
        <x:f>(YEAR(DATE(2025,12,31))-YEAR(M372))*12+MONTH(DATE(2025,12,31))-MONTH(M372)</x:f>
        <x:v>64</x:v>
      </x:c>
      <x:c r="O372" t="str">
        <x:v>ACTIVE</x:v>
      </x:c>
      <x:c r="P372" t="str">
        <x:v>INDEPENDENT_CONTRACTOR</x:v>
      </x:c>
      <x:c r="Q372" t="str">
        <x:v>BICYCLE</x:v>
      </x:c>
      <x:c r="R372" t="str">
        <x:v>DINNER</x:v>
      </x:c>
      <x:c r="S372" t="n">
        <x:v>23</x:v>
      </x:c>
      <x:c r="T372" t="str">
        <x:v>CLEARED</x:v>
      </x:c>
      <x:c r="U372" t="str">
        <x:v>NOT_REQUIRED</x:v>
      </x:c>
      <x:c r="V372" s="16" t="n">
        <x:v>0.8352</x:v>
      </x:c>
      <x:c r="W372" t="str">
        <x:v>English</x:v>
      </x:c>
      <x:c r="X372"/>
      <x:c r="Y372" t="n">
        <x:v>4508</x:v>
      </x:c>
      <x:c r="Z372" s="17" t="n">
        <x:v>4.33</x:v>
      </x:c>
      <x:c r="AA372" s="16" t="n">
        <x:v>0.7791</x:v>
      </x:c>
      <x:c r="AB372" s="16" t="n">
        <x:v>0.998</x:v>
      </x:c>
      <x:c r="AC372" s="16" t="n">
        <x:v>0.9868</x:v>
      </x:c>
      <x:c r="AD372" t="n">
        <x:v>3</x:v>
      </x:c>
      <x:c r="AE372" t="str">
        <x:f>IF(O372&lt;&gt;"ACTIVE","NOT_RATED",IF(AND(Z372&gt;=4.8,AB372&gt;=0.97,AC372&gt;=0.93,AD372=0),"ELITE",IF(AND(Z372&gt;=4.6,AB372&gt;=0.94,AC372&gt;=0.88),"HIGH_PERFORMER",IF(OR(Z372&lt;4.2,AB372&lt;0.85,AD372&gt;=2),"AT_RISK","STANDARD"))))</x:f>
        <x:v>AT_RISK</x:v>
      </x:c>
      <x:c r="AF372" s="15" t="n">
        <x:v>46020</x:v>
      </x:c>
      <x:c r="AG372" t="str">
        <x:v>VERIFIED</x:v>
      </x:c>
      <x:c r="AH372" t="str">
        <x:v>COMPLETE</x:v>
      </x:c>
      <x:c r="AI372" t="str">
        <x:v>Mateo Jones</x:v>
      </x:c>
      <x:c r="AJ372" t="str">
        <x:v>SIBLING</x:v>
      </x:c>
      <x:c r="AK372" t="str">
        <x:v>+1 (713) 555-0113</x:v>
      </x:c>
    </x:row>
    <x:row r="373" ht="18" customHeight="1">
      <x:c r="A373" t="str">
        <x:v>DHR-00372</x:v>
      </x:c>
      <x:c r="B373" t="str">
        <x:v>Mia Davis</x:v>
      </x:c>
      <x:c r="C373" t="str">
        <x:v>https://api.dicebear.com/9.x/adventurer/png?seed=DHR-00372-Mia%20Davis&amp;size=256&amp;radius=50&amp;backgroundColor=b6e3f4,c0aede,d1d4f9,ffd5dc,ffdfbf</x:v>
      </x:c>
      <x:c r="D373" t="str">
        <x:v>mia.davis.372@example.com</x:v>
      </x:c>
      <x:c r="E373" t="str">
        <x:v>+1 (713) 555-0171</x:v>
      </x:c>
      <x:c r="F373" t="str">
        <x:v>Houston, TX</x:v>
      </x:c>
      <x:c r="G373" t="str">
        <x:v>Houston</x:v>
      </x:c>
      <x:c r="H373" t="str">
        <x:v>TX</x:v>
      </x:c>
      <x:c r="I373" s="18" t="str">
        <x:v>77002</x:v>
      </x:c>
      <x:c r="J373" s="15" t="n">
        <x:v>38378.87137025463</x:v>
      </x:c>
      <x:c r="K373" t="n">
        <x:f>INT((DATE(2025,12,31)-J373)/365.25)</x:f>
        <x:v>20</x:v>
      </x:c>
      <x:c r="L373" t="str">
        <x:f>IF(K373&lt;25,"18-24",IF(K373&lt;35,"25-34",IF(K373&lt;45,"35-44",IF(K373&lt;55,"45-54","55+"))))</x:f>
        <x:v>18-24</x:v>
      </x:c>
      <x:c r="M373" s="15" t="n">
        <x:v>45082.54066273148</x:v>
      </x:c>
      <x:c r="N373" t="n">
        <x:f>(YEAR(DATE(2025,12,31))-YEAR(M373))*12+MONTH(DATE(2025,12,31))-MONTH(M373)</x:f>
        <x:v>30</x:v>
      </x:c>
      <x:c r="O373" t="str">
        <x:v>PAUSED</x:v>
      </x:c>
      <x:c r="P373" t="str">
        <x:v>INDEPENDENT_CONTRACTOR</x:v>
      </x:c>
      <x:c r="Q373" t="str">
        <x:v>BICYCLE</x:v>
      </x:c>
      <x:c r="R373" t="str">
        <x:v>DINNER</x:v>
      </x:c>
      <x:c r="S373" t="n">
        <x:v>18</x:v>
      </x:c>
      <x:c r="T373" t="str">
        <x:v>CLEARED</x:v>
      </x:c>
      <x:c r="U373" t="str">
        <x:v>NOT_REQUIRED</x:v>
      </x:c>
      <x:c r="V373" s="16" t="n">
        <x:v>0.7808</x:v>
      </x:c>
      <x:c r="W373" t="str">
        <x:v>Vietnamese</x:v>
      </x:c>
      <x:c r="X373"/>
      <x:c r="Y373" t="n">
        <x:v>2338</x:v>
      </x:c>
      <x:c r="Z373" s="17" t="n">
        <x:v>4.4</x:v>
      </x:c>
      <x:c r="AA373" s="16" t="n">
        <x:v>0.8843</x:v>
      </x:c>
      <x:c r="AB373" s="16" t="n">
        <x:v>0.9037</x:v>
      </x:c>
      <x:c r="AC373" s="16" t="n">
        <x:v>0.8597</x:v>
      </x:c>
      <x:c r="AD373" t="n">
        <x:v>0</x:v>
      </x:c>
      <x:c r="AE373" t="str">
        <x:f>IF(O373&lt;&gt;"ACTIVE","NOT_RATED",IF(AND(Z373&gt;=4.8,AB373&gt;=0.97,AC373&gt;=0.93,AD373=0),"ELITE",IF(AND(Z373&gt;=4.6,AB373&gt;=0.94,AC373&gt;=0.88),"HIGH_PERFORMER",IF(OR(Z373&lt;4.2,AB373&lt;0.85,AD373&gt;=2),"AT_RISK","STANDARD"))))</x:f>
        <x:v>NOT_RATED</x:v>
      </x:c>
      <x:c r="AF373" s="15" t="n">
        <x:v>45925</x:v>
      </x:c>
      <x:c r="AG373" t="str">
        <x:v>VERIFIED</x:v>
      </x:c>
      <x:c r="AH373" t="str">
        <x:v>COMPLETE</x:v>
      </x:c>
      <x:c r="AI373" t="str">
        <x:v>Riley Moore</x:v>
      </x:c>
      <x:c r="AJ373" t="str">
        <x:v>OTHER</x:v>
      </x:c>
      <x:c r="AK373" t="str">
        <x:v>+1 (713) 555-0120</x:v>
      </x:c>
    </x:row>
    <x:row r="374" ht="18" customHeight="1">
      <x:c r="A374" t="str">
        <x:v>DHR-00373</x:v>
      </x:c>
      <x:c r="B374" t="str">
        <x:v>Mia Garcia</x:v>
      </x:c>
      <x:c r="C374" t="str">
        <x:v>https://api.dicebear.com/9.x/adventurer/png?seed=DHR-00373-Mia%20Garcia&amp;size=256&amp;radius=50&amp;backgroundColor=b6e3f4,c0aede,d1d4f9,ffd5dc,ffdfbf</x:v>
      </x:c>
      <x:c r="D374" t="str">
        <x:v>mia.garcia.373@example.com</x:v>
      </x:c>
      <x:c r="E374" t="str">
        <x:v>+1 (215) 555-0172</x:v>
      </x:c>
      <x:c r="F374" t="str">
        <x:v>Philadelphia, PA</x:v>
      </x:c>
      <x:c r="G374" t="str">
        <x:v>Philadelphia</x:v>
      </x:c>
      <x:c r="H374" t="str">
        <x:v>PA</x:v>
      </x:c>
      <x:c r="I374" s="18" t="str">
        <x:v>19103</x:v>
      </x:c>
      <x:c r="J374" s="15" t="n">
        <x:v>29802.368358020834</x:v>
      </x:c>
      <x:c r="K374" t="n">
        <x:f>INT((DATE(2025,12,31)-J374)/365.25)</x:f>
        <x:v>44</x:v>
      </x:c>
      <x:c r="L374" t="str">
        <x:f>IF(K374&lt;25,"18-24",IF(K374&lt;35,"25-34",IF(K374&lt;45,"35-44",IF(K374&lt;55,"45-54","55+"))))</x:f>
        <x:v>35-44</x:v>
      </x:c>
      <x:c r="M374" s="15" t="n">
        <x:v>44249.43252841435</x:v>
      </x:c>
      <x:c r="N374" t="n">
        <x:f>(YEAR(DATE(2025,12,31))-YEAR(M374))*12+MONTH(DATE(2025,12,31))-MONTH(M374)</x:f>
        <x:v>58</x:v>
      </x:c>
      <x:c r="O374" t="str">
        <x:v>ACTIVE</x:v>
      </x:c>
      <x:c r="P374" t="str">
        <x:v>INDEPENDENT_CONTRACTOR</x:v>
      </x:c>
      <x:c r="Q374" t="str">
        <x:v>CAR</x:v>
      </x:c>
      <x:c r="R374" t="str">
        <x:v>WEEKENDS</x:v>
      </x:c>
      <x:c r="S374" t="n">
        <x:v>8</x:v>
      </x:c>
      <x:c r="T374" t="str">
        <x:v>CLEARED</x:v>
      </x:c>
      <x:c r="U374" t="str">
        <x:v>VALID</x:v>
      </x:c>
      <x:c r="V374" s="16" t="n">
        <x:v>0.7951</x:v>
      </x:c>
      <x:c r="W374" t="str">
        <x:v>Spanish</x:v>
      </x:c>
      <x:c r="X374"/>
      <x:c r="Y374" t="n">
        <x:v>1583</x:v>
      </x:c>
      <x:c r="Z374" s="17" t="n">
        <x:v>4.49</x:v>
      </x:c>
      <x:c r="AA374" s="16" t="n">
        <x:v>0.8808</x:v>
      </x:c>
      <x:c r="AB374" s="16" t="n">
        <x:v>0.998</x:v>
      </x:c>
      <x:c r="AC374" s="16" t="n">
        <x:v>0.9264</x:v>
      </x:c>
      <x:c r="AD374" t="n">
        <x:v>1</x:v>
      </x:c>
      <x:c r="AE374" t="str">
        <x:f>IF(O374&lt;&gt;"ACTIVE","NOT_RATED",IF(AND(Z374&gt;=4.8,AB374&gt;=0.97,AC374&gt;=0.93,AD374=0),"ELITE",IF(AND(Z374&gt;=4.6,AB374&gt;=0.94,AC374&gt;=0.88),"HIGH_PERFORMER",IF(OR(Z374&lt;4.2,AB374&lt;0.85,AD374&gt;=2),"AT_RISK","STANDARD"))))</x:f>
        <x:v>STANDARD</x:v>
      </x:c>
      <x:c r="AF374" s="15" t="n">
        <x:v>46009</x:v>
      </x:c>
      <x:c r="AG374" t="str">
        <x:v>VERIFIED</x:v>
      </x:c>
      <x:c r="AH374" t="str">
        <x:v>COMPLETE</x:v>
      </x:c>
      <x:c r="AI374" t="str">
        <x:v>Morgan Anderson</x:v>
      </x:c>
      <x:c r="AJ374" t="str">
        <x:v>SIBLING</x:v>
      </x:c>
      <x:c r="AK374" t="str">
        <x:v>+1 (215) 555-0127</x:v>
      </x:c>
    </x:row>
    <x:row r="375" ht="18" customHeight="1">
      <x:c r="A375" t="str">
        <x:v>DHR-00374</x:v>
      </x:c>
      <x:c r="B375" t="str">
        <x:v>Mia Harris</x:v>
      </x:c>
      <x:c r="C375" t="str">
        <x:v>https://api.dicebear.com/9.x/adventurer/png?seed=DHR-00374-Mia%20Harris&amp;size=256&amp;radius=50&amp;backgroundColor=b6e3f4,c0aede,d1d4f9,ffd5dc,ffdfbf</x:v>
      </x:c>
      <x:c r="D375" t="str">
        <x:v>mia.harris.374@example.com</x:v>
      </x:c>
      <x:c r="E375" t="str">
        <x:v>+1 (213) 555-0173</x:v>
      </x:c>
      <x:c r="F375" t="str">
        <x:v>Los Angeles, CA</x:v>
      </x:c>
      <x:c r="G375" t="str">
        <x:v>Los Angeles</x:v>
      </x:c>
      <x:c r="H375" t="str">
        <x:v>CA</x:v>
      </x:c>
      <x:c r="I375" s="18" t="str">
        <x:v>90012</x:v>
      </x:c>
      <x:c r="J375" s="15" t="n">
        <x:v>36891.14594016204</x:v>
      </x:c>
      <x:c r="K375" t="n">
        <x:f>INT((DATE(2025,12,31)-J375)/365.25)</x:f>
        <x:v>24</x:v>
      </x:c>
      <x:c r="L375" t="str">
        <x:f>IF(K375&lt;25,"18-24",IF(K375&lt;35,"25-34",IF(K375&lt;45,"35-44",IF(K375&lt;55,"45-54","55+"))))</x:f>
        <x:v>18-24</x:v>
      </x:c>
      <x:c r="M375" s="15" t="n">
        <x:v>43504.6932253125</x:v>
      </x:c>
      <x:c r="N375" t="n">
        <x:f>(YEAR(DATE(2025,12,31))-YEAR(M375))*12+MONTH(DATE(2025,12,31))-MONTH(M375)</x:f>
        <x:v>82</x:v>
      </x:c>
      <x:c r="O375" t="str">
        <x:v>PAUSED</x:v>
      </x:c>
      <x:c r="P375" t="str">
        <x:v>INDEPENDENT_CONTRACTOR</x:v>
      </x:c>
      <x:c r="Q375" t="str">
        <x:v>MOTORCYCLE</x:v>
      </x:c>
      <x:c r="R375" t="str">
        <x:v>FLEXIBLE</x:v>
      </x:c>
      <x:c r="S375" t="n">
        <x:v>18</x:v>
      </x:c>
      <x:c r="T375" t="str">
        <x:v>CLEARED</x:v>
      </x:c>
      <x:c r="U375" t="str">
        <x:v>VALID</x:v>
      </x:c>
      <x:c r="V375" s="16" t="n">
        <x:v>0.8893</x:v>
      </x:c>
      <x:c r="W375" t="str">
        <x:v>Spanish</x:v>
      </x:c>
      <x:c r="X375"/>
      <x:c r="Y375" t="n">
        <x:v>3048</x:v>
      </x:c>
      <x:c r="Z375" s="17" t="n">
        <x:v>4.91</x:v>
      </x:c>
      <x:c r="AA375" s="16" t="n">
        <x:v>0.9392</x:v>
      </x:c>
      <x:c r="AB375" s="16" t="n">
        <x:v>0.998</x:v>
      </x:c>
      <x:c r="AC375" s="16" t="n">
        <x:v>0.9378</x:v>
      </x:c>
      <x:c r="AD375" t="n">
        <x:v>0</x:v>
      </x:c>
      <x:c r="AE375" t="str">
        <x:f>IF(O375&lt;&gt;"ACTIVE","NOT_RATED",IF(AND(Z375&gt;=4.8,AB375&gt;=0.97,AC375&gt;=0.93,AD375=0),"ELITE",IF(AND(Z375&gt;=4.6,AB375&gt;=0.94,AC375&gt;=0.88),"HIGH_PERFORMER",IF(OR(Z375&lt;4.2,AB375&lt;0.85,AD375&gt;=2),"AT_RISK","STANDARD"))))</x:f>
        <x:v>NOT_RATED</x:v>
      </x:c>
      <x:c r="AF375" s="15" t="n">
        <x:v>45908</x:v>
      </x:c>
      <x:c r="AG375" t="str">
        <x:v>VERIFIED</x:v>
      </x:c>
      <x:c r="AH375" t="str">
        <x:v>COMPLETE</x:v>
      </x:c>
      <x:c r="AI375" t="str">
        <x:v>Riley Thomas</x:v>
      </x:c>
      <x:c r="AJ375" t="str">
        <x:v>SPOUSE_PARTNER</x:v>
      </x:c>
      <x:c r="AK375" t="str">
        <x:v>+1 (213) 555-0134</x:v>
      </x:c>
    </x:row>
    <x:row r="376" ht="18" customHeight="1">
      <x:c r="A376" t="str">
        <x:v>DHR-00375</x:v>
      </x:c>
      <x:c r="B376" t="str">
        <x:v>Mia Johnson</x:v>
      </x:c>
      <x:c r="C376" t="str">
        <x:v>https://api.dicebear.com/9.x/adventurer/png?seed=DHR-00375-Mia%20Johnson&amp;size=256&amp;radius=50&amp;backgroundColor=b6e3f4,c0aede,d1d4f9,ffd5dc,ffdfbf</x:v>
      </x:c>
      <x:c r="D376" t="str">
        <x:v>mia.johnson.375@example.com</x:v>
      </x:c>
      <x:c r="E376" t="str">
        <x:v>+1 (512) 555-0174</x:v>
      </x:c>
      <x:c r="F376" t="str">
        <x:v>Austin, TX</x:v>
      </x:c>
      <x:c r="G376" t="str">
        <x:v>Austin</x:v>
      </x:c>
      <x:c r="H376" t="str">
        <x:v>TX</x:v>
      </x:c>
      <x:c r="I376" s="18" t="str">
        <x:v>78701</x:v>
      </x:c>
      <x:c r="J376" s="15" t="n">
        <x:v>29440.152348275464</x:v>
      </x:c>
      <x:c r="K376" t="n">
        <x:f>INT((DATE(2025,12,31)-J376)/365.25)</x:f>
        <x:v>45</x:v>
      </x:c>
      <x:c r="L376" t="str">
        <x:f>IF(K376&lt;25,"18-24",IF(K376&lt;35,"25-34",IF(K376&lt;45,"35-44",IF(K376&lt;55,"45-54","55+"))))</x:f>
        <x:v>45-54</x:v>
      </x:c>
      <x:c r="M376" s="15" t="n">
        <x:v>45597.25376818287</x:v>
      </x:c>
      <x:c r="N376" t="n">
        <x:f>(YEAR(DATE(2025,12,31))-YEAR(M376))*12+MONTH(DATE(2025,12,31))-MONTH(M376)</x:f>
        <x:v>13</x:v>
      </x:c>
      <x:c r="O376" t="str">
        <x:v>ACTIVE</x:v>
      </x:c>
      <x:c r="P376" t="str">
        <x:v>INDEPENDENT_CONTRACTOR</x:v>
      </x:c>
      <x:c r="Q376" t="str">
        <x:v>CAR</x:v>
      </x:c>
      <x:c r="R376" t="str">
        <x:v>FLEXIBLE</x:v>
      </x:c>
      <x:c r="S376" t="n">
        <x:v>12</x:v>
      </x:c>
      <x:c r="T376" t="str">
        <x:v>CLEARED</x:v>
      </x:c>
      <x:c r="U376" t="str">
        <x:v>VALID</x:v>
      </x:c>
      <x:c r="V376" s="16" t="n">
        <x:v>0.8263</x:v>
      </x:c>
      <x:c r="W376" t="str">
        <x:v>Spanish</x:v>
      </x:c>
      <x:c r="X376"/>
      <x:c r="Y376" t="n">
        <x:v>547</x:v>
      </x:c>
      <x:c r="Z376" s="17" t="n">
        <x:v>4.57</x:v>
      </x:c>
      <x:c r="AA376" s="16" t="n">
        <x:v>0.8323</x:v>
      </x:c>
      <x:c r="AB376" s="16" t="n">
        <x:v>0.8928</x:v>
      </x:c>
      <x:c r="AC376" s="16" t="n">
        <x:v>0.908</x:v>
      </x:c>
      <x:c r="AD376" t="n">
        <x:v>0</x:v>
      </x:c>
      <x:c r="AE376" t="str">
        <x:f>IF(O376&lt;&gt;"ACTIVE","NOT_RATED",IF(AND(Z376&gt;=4.8,AB376&gt;=0.97,AC376&gt;=0.93,AD376=0),"ELITE",IF(AND(Z376&gt;=4.6,AB376&gt;=0.94,AC376&gt;=0.88),"HIGH_PERFORMER",IF(OR(Z376&lt;4.2,AB376&lt;0.85,AD376&gt;=2),"AT_RISK","STANDARD"))))</x:f>
        <x:v>STANDARD</x:v>
      </x:c>
      <x:c r="AF376" s="15" t="n">
        <x:v>46022</x:v>
      </x:c>
      <x:c r="AG376" t="str">
        <x:v>VERIFIED</x:v>
      </x:c>
      <x:c r="AH376" t="str">
        <x:v>COMPLETE</x:v>
      </x:c>
      <x:c r="AI376" t="str">
        <x:v>Lucas White</x:v>
      </x:c>
      <x:c r="AJ376" t="str">
        <x:v>PARENT</x:v>
      </x:c>
      <x:c r="AK376" t="str">
        <x:v>+1 (512) 555-0141</x:v>
      </x:c>
    </x:row>
    <x:row r="377" ht="18" customHeight="1">
      <x:c r="A377" t="str">
        <x:v>DHR-00376</x:v>
      </x:c>
      <x:c r="B377" t="str">
        <x:v>Mia Jones</x:v>
      </x:c>
      <x:c r="C377" t="str">
        <x:v>https://api.dicebear.com/9.x/adventurer/png?seed=DHR-00376-Mia%20Jones&amp;size=256&amp;radius=50&amp;backgroundColor=b6e3f4,c0aede,d1d4f9,ffd5dc,ffdfbf</x:v>
      </x:c>
      <x:c r="D377" t="str">
        <x:v>mia.jones.376@example.com</x:v>
      </x:c>
      <x:c r="E377" t="str">
        <x:v>+1 (213) 555-0175</x:v>
      </x:c>
      <x:c r="F377" t="str">
        <x:v>Los Angeles, CA</x:v>
      </x:c>
      <x:c r="G377" t="str">
        <x:v>Los Angeles</x:v>
      </x:c>
      <x:c r="H377" t="str">
        <x:v>CA</x:v>
      </x:c>
      <x:c r="I377" s="18" t="str">
        <x:v>90012</x:v>
      </x:c>
      <x:c r="J377" s="15" t="n">
        <x:v>33123.254265219904</x:v>
      </x:c>
      <x:c r="K377" t="n">
        <x:f>INT((DATE(2025,12,31)-J377)/365.25)</x:f>
        <x:v>35</x:v>
      </x:c>
      <x:c r="L377" t="str">
        <x:f>IF(K377&lt;25,"18-24",IF(K377&lt;35,"25-34",IF(K377&lt;45,"35-44",IF(K377&lt;55,"45-54","55+"))))</x:f>
        <x:v>35-44</x:v>
      </x:c>
      <x:c r="M377" s="15" t="n">
        <x:v>43790.78926068287</x:v>
      </x:c>
      <x:c r="N377" t="n">
        <x:f>(YEAR(DATE(2025,12,31))-YEAR(M377))*12+MONTH(DATE(2025,12,31))-MONTH(M377)</x:f>
        <x:v>73</x:v>
      </x:c>
      <x:c r="O377" t="str">
        <x:v>ACTIVE</x:v>
      </x:c>
      <x:c r="P377" t="str">
        <x:v>INDEPENDENT_CONTRACTOR</x:v>
      </x:c>
      <x:c r="Q377" t="str">
        <x:v>CAR</x:v>
      </x:c>
      <x:c r="R377" t="str">
        <x:v>LUNCH</x:v>
      </x:c>
      <x:c r="S377" t="n">
        <x:v>22</x:v>
      </x:c>
      <x:c r="T377" t="str">
        <x:v>CLEARED</x:v>
      </x:c>
      <x:c r="U377" t="str">
        <x:v>VALID</x:v>
      </x:c>
      <x:c r="V377" s="16" t="n">
        <x:v>0.8309</x:v>
      </x:c>
      <x:c r="W377" t="str">
        <x:v>Spanish</x:v>
      </x:c>
      <x:c r="X377"/>
      <x:c r="Y377" t="n">
        <x:v>5028</x:v>
      </x:c>
      <x:c r="Z377" s="17" t="n">
        <x:v>4.66</x:v>
      </x:c>
      <x:c r="AA377" s="16" t="n">
        <x:v>0.7839</x:v>
      </x:c>
      <x:c r="AB377" s="16" t="n">
        <x:v>0.9051</x:v>
      </x:c>
      <x:c r="AC377" s="16" t="n">
        <x:v>0.8434</x:v>
      </x:c>
      <x:c r="AD377" t="n">
        <x:v>0</x:v>
      </x:c>
      <x:c r="AE377" t="str">
        <x:f>IF(O377&lt;&gt;"ACTIVE","NOT_RATED",IF(AND(Z377&gt;=4.8,AB377&gt;=0.97,AC377&gt;=0.93,AD377=0),"ELITE",IF(AND(Z377&gt;=4.6,AB377&gt;=0.94,AC377&gt;=0.88),"HIGH_PERFORMER",IF(OR(Z377&lt;4.2,AB377&lt;0.85,AD377&gt;=2),"AT_RISK","STANDARD"))))</x:f>
        <x:v>STANDARD</x:v>
      </x:c>
      <x:c r="AF377" s="15" t="n">
        <x:v>46008</x:v>
      </x:c>
      <x:c r="AG377" t="str">
        <x:v>VERIFIED</x:v>
      </x:c>
      <x:c r="AH377" t="str">
        <x:v>COMPLETE</x:v>
      </x:c>
      <x:c r="AI377" t="str">
        <x:v>Alex Martin</x:v>
      </x:c>
      <x:c r="AJ377" t="str">
        <x:v>OTHER</x:v>
      </x:c>
      <x:c r="AK377" t="str">
        <x:v>+1 (213) 555-0148</x:v>
      </x:c>
    </x:row>
    <x:row r="378" ht="18" customHeight="1">
      <x:c r="A378" t="str">
        <x:v>DHR-00377</x:v>
      </x:c>
      <x:c r="B378" t="str">
        <x:v>Mia Lee</x:v>
      </x:c>
      <x:c r="C378" t="str">
        <x:v>https://api.dicebear.com/9.x/adventurer/png?seed=DHR-00377-Mia%20Lee&amp;size=256&amp;radius=50&amp;backgroundColor=b6e3f4,c0aede,d1d4f9,ffd5dc,ffdfbf</x:v>
      </x:c>
      <x:c r="D378" t="str">
        <x:v>mia.lee.377@example.com</x:v>
      </x:c>
      <x:c r="E378" t="str">
        <x:v>+1 (617) 555-0176</x:v>
      </x:c>
      <x:c r="F378" t="str">
        <x:v>Boston, MA</x:v>
      </x:c>
      <x:c r="G378" t="str">
        <x:v>Boston</x:v>
      </x:c>
      <x:c r="H378" t="str">
        <x:v>MA</x:v>
      </x:c>
      <x:c r="I378" s="18" t="str">
        <x:v>02108</x:v>
      </x:c>
      <x:c r="J378" s="15" t="n">
        <x:v>24356.662029398147</x:v>
      </x:c>
      <x:c r="K378" t="n">
        <x:f>INT((DATE(2025,12,31)-J378)/365.25)</x:f>
        <x:v>59</x:v>
      </x:c>
      <x:c r="L378" t="str">
        <x:f>IF(K378&lt;25,"18-24",IF(K378&lt;35,"25-34",IF(K378&lt;45,"35-44",IF(K378&lt;55,"45-54","55+"))))</x:f>
        <x:v>55+</x:v>
      </x:c>
      <x:c r="M378" s="15" t="n">
        <x:v>44048.642937199074</x:v>
      </x:c>
      <x:c r="N378" t="n">
        <x:f>(YEAR(DATE(2025,12,31))-YEAR(M378))*12+MONTH(DATE(2025,12,31))-MONTH(M378)</x:f>
        <x:v>64</x:v>
      </x:c>
      <x:c r="O378" t="str">
        <x:v>ACTIVE</x:v>
      </x:c>
      <x:c r="P378" t="str">
        <x:v>INDEPENDENT_CONTRACTOR</x:v>
      </x:c>
      <x:c r="Q378" t="str">
        <x:v>CAR</x:v>
      </x:c>
      <x:c r="R378" t="str">
        <x:v>DINNER</x:v>
      </x:c>
      <x:c r="S378" t="n">
        <x:v>28</x:v>
      </x:c>
      <x:c r="T378" t="str">
        <x:v>CLEARED</x:v>
      </x:c>
      <x:c r="U378" t="str">
        <x:v>VALID</x:v>
      </x:c>
      <x:c r="V378" s="16" t="n">
        <x:v>0.9767</x:v>
      </x:c>
      <x:c r="W378" t="str">
        <x:v>English</x:v>
      </x:c>
      <x:c r="X378"/>
      <x:c r="Y378" t="n">
        <x:v>4898</x:v>
      </x:c>
      <x:c r="Z378" s="17" t="n">
        <x:v>4.72</x:v>
      </x:c>
      <x:c r="AA378" s="16" t="n">
        <x:v>0.8855</x:v>
      </x:c>
      <x:c r="AB378" s="16" t="n">
        <x:v>0.9167</x:v>
      </x:c>
      <x:c r="AC378" s="16" t="n">
        <x:v>0.8774</x:v>
      </x:c>
      <x:c r="AD378" t="n">
        <x:v>1</x:v>
      </x:c>
      <x:c r="AE378" t="str">
        <x:f>IF(O378&lt;&gt;"ACTIVE","NOT_RATED",IF(AND(Z378&gt;=4.8,AB378&gt;=0.97,AC378&gt;=0.93,AD378=0),"ELITE",IF(AND(Z378&gt;=4.6,AB378&gt;=0.94,AC378&gt;=0.88),"HIGH_PERFORMER",IF(OR(Z378&lt;4.2,AB378&lt;0.85,AD378&gt;=2),"AT_RISK","STANDARD"))))</x:f>
        <x:v>STANDARD</x:v>
      </x:c>
      <x:c r="AF378" s="15" t="n">
        <x:v>46018</x:v>
      </x:c>
      <x:c r="AG378" t="str">
        <x:v>VERIFIED</x:v>
      </x:c>
      <x:c r="AH378" t="str">
        <x:v>COMPLETE</x:v>
      </x:c>
      <x:c r="AI378" t="str">
        <x:v>Ethan Thompson</x:v>
      </x:c>
      <x:c r="AJ378" t="str">
        <x:v>SIBLING</x:v>
      </x:c>
      <x:c r="AK378" t="str">
        <x:v>+1 (617) 555-0155</x:v>
      </x:c>
    </x:row>
    <x:row r="379" ht="18" customHeight="1">
      <x:c r="A379" t="str">
        <x:v>DHR-00378</x:v>
      </x:c>
      <x:c r="B379" t="str">
        <x:v>Mia Lewis</x:v>
      </x:c>
      <x:c r="C379" t="str">
        <x:v>https://api.dicebear.com/9.x/adventurer/png?seed=DHR-00378-Mia%20Lewis&amp;size=256&amp;radius=50&amp;backgroundColor=b6e3f4,c0aede,d1d4f9,ffd5dc,ffdfbf</x:v>
      </x:c>
      <x:c r="D379" t="str">
        <x:v>mia.lewis.378@example.com</x:v>
      </x:c>
      <x:c r="E379" t="str">
        <x:v>+1 (614) 555-0177</x:v>
      </x:c>
      <x:c r="F379" t="str">
        <x:v>Columbus, OH</x:v>
      </x:c>
      <x:c r="G379" t="str">
        <x:v>Columbus</x:v>
      </x:c>
      <x:c r="H379" t="str">
        <x:v>OH</x:v>
      </x:c>
      <x:c r="I379" s="18" t="str">
        <x:v>43215</x:v>
      </x:c>
      <x:c r="J379" s="15" t="n">
        <x:v>37992.02647974537</x:v>
      </x:c>
      <x:c r="K379" t="n">
        <x:f>INT((DATE(2025,12,31)-J379)/365.25)</x:f>
        <x:v>21</x:v>
      </x:c>
      <x:c r="L379" t="str">
        <x:f>IF(K379&lt;25,"18-24",IF(K379&lt;35,"25-34",IF(K379&lt;45,"35-44",IF(K379&lt;55,"45-54","55+"))))</x:f>
        <x:v>18-24</x:v>
      </x:c>
      <x:c r="M379" s="15" t="n">
        <x:v>44783.00937150463</x:v>
      </x:c>
      <x:c r="N379" t="n">
        <x:f>(YEAR(DATE(2025,12,31))-YEAR(M379))*12+MONTH(DATE(2025,12,31))-MONTH(M379)</x:f>
        <x:v>40</x:v>
      </x:c>
      <x:c r="O379" t="str">
        <x:v>PAUSED</x:v>
      </x:c>
      <x:c r="P379" t="str">
        <x:v>INDEPENDENT_CONTRACTOR</x:v>
      </x:c>
      <x:c r="Q379" t="str">
        <x:v>E_BIKE</x:v>
      </x:c>
      <x:c r="R379" t="str">
        <x:v>DINNER</x:v>
      </x:c>
      <x:c r="S379" t="n">
        <x:v>20</x:v>
      </x:c>
      <x:c r="T379" t="str">
        <x:v>CLEARED</x:v>
      </x:c>
      <x:c r="U379" t="str">
        <x:v>NOT_REQUIRED</x:v>
      </x:c>
      <x:c r="V379" s="16" t="n">
        <x:v>0.9558</x:v>
      </x:c>
      <x:c r="W379" t="str">
        <x:v>English</x:v>
      </x:c>
      <x:c r="X379" t="str">
        <x:v>Spanish</x:v>
      </x:c>
      <x:c r="Y379" t="n">
        <x:v>1846</x:v>
      </x:c>
      <x:c r="Z379" s="17" t="n">
        <x:v>4.58</x:v>
      </x:c>
      <x:c r="AA379" s="16" t="n">
        <x:v>0.8437</x:v>
      </x:c>
      <x:c r="AB379" s="16" t="n">
        <x:v>0.9037</x:v>
      </x:c>
      <x:c r="AC379" s="16" t="n">
        <x:v>0.9667</x:v>
      </x:c>
      <x:c r="AD379" t="n">
        <x:v>0</x:v>
      </x:c>
      <x:c r="AE379" t="str">
        <x:f>IF(O379&lt;&gt;"ACTIVE","NOT_RATED",IF(AND(Z379&gt;=4.8,AB379&gt;=0.97,AC379&gt;=0.93,AD379=0),"ELITE",IF(AND(Z379&gt;=4.6,AB379&gt;=0.94,AC379&gt;=0.88),"HIGH_PERFORMER",IF(OR(Z379&lt;4.2,AB379&lt;0.85,AD379&gt;=2),"AT_RISK","STANDARD"))))</x:f>
        <x:v>NOT_RATED</x:v>
      </x:c>
      <x:c r="AF379" s="15" t="n">
        <x:v>45904</x:v>
      </x:c>
      <x:c r="AG379" t="str">
        <x:v>VERIFIED</x:v>
      </x:c>
      <x:c r="AH379" t="str">
        <x:v>COMPLETE</x:v>
      </x:c>
      <x:c r="AI379" t="str">
        <x:v>Reese Wilson</x:v>
      </x:c>
      <x:c r="AJ379" t="str">
        <x:v>SIBLING</x:v>
      </x:c>
      <x:c r="AK379" t="str">
        <x:v>+1 (614) 555-0162</x:v>
      </x:c>
    </x:row>
    <x:row r="380" ht="18" customHeight="1">
      <x:c r="A380" t="str">
        <x:v>DHR-00379</x:v>
      </x:c>
      <x:c r="B380" t="str">
        <x:v>Mia Martin</x:v>
      </x:c>
      <x:c r="C380" t="str">
        <x:v>https://api.dicebear.com/9.x/adventurer/png?seed=DHR-00379-Mia%20Martin&amp;size=256&amp;radius=50&amp;backgroundColor=b6e3f4,c0aede,d1d4f9,ffd5dc,ffdfbf</x:v>
      </x:c>
      <x:c r="D380" t="str">
        <x:v>mia.martin.379@example.com</x:v>
      </x:c>
      <x:c r="E380" t="str">
        <x:v>+1 (512) 555-0178</x:v>
      </x:c>
      <x:c r="F380" t="str">
        <x:v>Austin, TX</x:v>
      </x:c>
      <x:c r="G380" t="str">
        <x:v>Austin</x:v>
      </x:c>
      <x:c r="H380" t="str">
        <x:v>TX</x:v>
      </x:c>
      <x:c r="I380" s="18" t="str">
        <x:v>78701</x:v>
      </x:c>
      <x:c r="J380" s="15" t="n">
        <x:v>24601.739289259258</x:v>
      </x:c>
      <x:c r="K380" t="n">
        <x:f>INT((DATE(2025,12,31)-J380)/365.25)</x:f>
        <x:v>58</x:v>
      </x:c>
      <x:c r="L380" t="str">
        <x:f>IF(K380&lt;25,"18-24",IF(K380&lt;35,"25-34",IF(K380&lt;45,"35-44",IF(K380&lt;55,"45-54","55+"))))</x:f>
        <x:v>55+</x:v>
      </x:c>
      <x:c r="M380" s="15" t="n">
        <x:v>45615.02832327547</x:v>
      </x:c>
      <x:c r="N380" t="n">
        <x:f>(YEAR(DATE(2025,12,31))-YEAR(M380))*12+MONTH(DATE(2025,12,31))-MONTH(M380)</x:f>
        <x:v>13</x:v>
      </x:c>
      <x:c r="O380" t="str">
        <x:v>ACTIVE</x:v>
      </x:c>
      <x:c r="P380" t="str">
        <x:v>INDEPENDENT_CONTRACTOR</x:v>
      </x:c>
      <x:c r="Q380" t="str">
        <x:v>CAR</x:v>
      </x:c>
      <x:c r="R380" t="str">
        <x:v>DINNER</x:v>
      </x:c>
      <x:c r="S380" t="n">
        <x:v>32</x:v>
      </x:c>
      <x:c r="T380" t="str">
        <x:v>CLEARED</x:v>
      </x:c>
      <x:c r="U380" t="str">
        <x:v>EXPIRING_SOON</x:v>
      </x:c>
      <x:c r="V380" s="16" t="n">
        <x:v>0.864</x:v>
      </x:c>
      <x:c r="W380" t="str">
        <x:v>English</x:v>
      </x:c>
      <x:c r="X380" t="str">
        <x:v>Portuguese</x:v>
      </x:c>
      <x:c r="Y380" t="n">
        <x:v>1384</x:v>
      </x:c>
      <x:c r="Z380" s="17" t="n">
        <x:v>4.2</x:v>
      </x:c>
      <x:c r="AA380" s="16" t="n">
        <x:v>0.8829</x:v>
      </x:c>
      <x:c r="AB380" s="16" t="n">
        <x:v>0.8921</x:v>
      </x:c>
      <x:c r="AC380" s="16" t="n">
        <x:v>0.8784</x:v>
      </x:c>
      <x:c r="AD380" t="n">
        <x:v>0</x:v>
      </x:c>
      <x:c r="AE380" t="str">
        <x:f>IF(O380&lt;&gt;"ACTIVE","NOT_RATED",IF(AND(Z380&gt;=4.8,AB380&gt;=0.97,AC380&gt;=0.93,AD380=0),"ELITE",IF(AND(Z380&gt;=4.6,AB380&gt;=0.94,AC380&gt;=0.88),"HIGH_PERFORMER",IF(OR(Z380&lt;4.2,AB380&lt;0.85,AD380&gt;=2),"AT_RISK","STANDARD"))))</x:f>
        <x:v>STANDARD</x:v>
      </x:c>
      <x:c r="AF380" s="15" t="n">
        <x:v>46017</x:v>
      </x:c>
      <x:c r="AG380" t="str">
        <x:v>VERIFIED</x:v>
      </x:c>
      <x:c r="AH380" t="str">
        <x:v>COMPLETE</x:v>
      </x:c>
      <x:c r="AI380" t="str">
        <x:v>Morgan Lewis</x:v>
      </x:c>
      <x:c r="AJ380" t="str">
        <x:v>PARENT</x:v>
      </x:c>
      <x:c r="AK380" t="str">
        <x:v>+1 (512) 555-0169</x:v>
      </x:c>
    </x:row>
    <x:row r="381" ht="18" customHeight="1">
      <x:c r="A381" t="str">
        <x:v>DHR-00380</x:v>
      </x:c>
      <x:c r="B381" t="str">
        <x:v>Mia Martinez</x:v>
      </x:c>
      <x:c r="C381" t="str">
        <x:v>https://api.dicebear.com/9.x/adventurer/png?seed=DHR-00380-Mia%20Martinez&amp;size=256&amp;radius=50&amp;backgroundColor=b6e3f4,c0aede,d1d4f9,ffd5dc,ffdfbf</x:v>
      </x:c>
      <x:c r="D381" t="str">
        <x:v>mia.martinez.380@example.com</x:v>
      </x:c>
      <x:c r="E381" t="str">
        <x:v>+1 (713) 555-0179</x:v>
      </x:c>
      <x:c r="F381" t="str">
        <x:v>Houston, TX</x:v>
      </x:c>
      <x:c r="G381" t="str">
        <x:v>Houston</x:v>
      </x:c>
      <x:c r="H381" t="str">
        <x:v>TX</x:v>
      </x:c>
      <x:c r="I381" s="18" t="str">
        <x:v>77002</x:v>
      </x:c>
      <x:c r="J381" s="15" t="n">
        <x:v>38255.30541502315</x:v>
      </x:c>
      <x:c r="K381" t="n">
        <x:f>INT((DATE(2025,12,31)-J381)/365.25)</x:f>
        <x:v>21</x:v>
      </x:c>
      <x:c r="L381" t="str">
        <x:f>IF(K381&lt;25,"18-24",IF(K381&lt;35,"25-34",IF(K381&lt;45,"35-44",IF(K381&lt;55,"45-54","55+"))))</x:f>
        <x:v>18-24</x:v>
      </x:c>
      <x:c r="M381" s="15" t="n">
        <x:v>45752.256476875</x:v>
      </x:c>
      <x:c r="N381" t="n">
        <x:f>(YEAR(DATE(2025,12,31))-YEAR(M381))*12+MONTH(DATE(2025,12,31))-MONTH(M381)</x:f>
        <x:v>8</x:v>
      </x:c>
      <x:c r="O381" t="str">
        <x:v>ACTIVE</x:v>
      </x:c>
      <x:c r="P381" t="str">
        <x:v>INDEPENDENT_CONTRACTOR</x:v>
      </x:c>
      <x:c r="Q381" t="str">
        <x:v>CAR</x:v>
      </x:c>
      <x:c r="R381" t="str">
        <x:v>DINNER</x:v>
      </x:c>
      <x:c r="S381" t="n">
        <x:v>45</x:v>
      </x:c>
      <x:c r="T381" t="str">
        <x:v>CLEARED</x:v>
      </x:c>
      <x:c r="U381" t="str">
        <x:v>VALID</x:v>
      </x:c>
      <x:c r="V381" s="16" t="n">
        <x:v>0.9802</x:v>
      </x:c>
      <x:c r="W381" t="str">
        <x:v>English</x:v>
      </x:c>
      <x:c r="X381"/>
      <x:c r="Y381" t="n">
        <x:v>1248</x:v>
      </x:c>
      <x:c r="Z381" s="17" t="n">
        <x:v>4.4</x:v>
      </x:c>
      <x:c r="AA381" s="16" t="n">
        <x:v>0.6787</x:v>
      </x:c>
      <x:c r="AB381" s="16" t="n">
        <x:v>0.9517</x:v>
      </x:c>
      <x:c r="AC381" s="16" t="n">
        <x:v>0.8219</x:v>
      </x:c>
      <x:c r="AD381" t="n">
        <x:v>0</x:v>
      </x:c>
      <x:c r="AE381" t="str">
        <x:f>IF(O381&lt;&gt;"ACTIVE","NOT_RATED",IF(AND(Z381&gt;=4.8,AB381&gt;=0.97,AC381&gt;=0.93,AD381=0),"ELITE",IF(AND(Z381&gt;=4.6,AB381&gt;=0.94,AC381&gt;=0.88),"HIGH_PERFORMER",IF(OR(Z381&lt;4.2,AB381&lt;0.85,AD381&gt;=2),"AT_RISK","STANDARD"))))</x:f>
        <x:v>STANDARD</x:v>
      </x:c>
      <x:c r="AF381" s="15" t="n">
        <x:v>46010</x:v>
      </x:c>
      <x:c r="AG381" t="str">
        <x:v>PENDING</x:v>
      </x:c>
      <x:c r="AH381" t="str">
        <x:v>COMPLETE</x:v>
      </x:c>
      <x:c r="AI381" t="str">
        <x:v>Jesse Walker</x:v>
      </x:c>
      <x:c r="AJ381" t="str">
        <x:v>FRIEND</x:v>
      </x:c>
      <x:c r="AK381" t="str">
        <x:v>+1 (713) 555-0176</x:v>
      </x:c>
    </x:row>
    <x:row r="382" ht="18" customHeight="1">
      <x:c r="A382" t="str">
        <x:v>DHR-00381</x:v>
      </x:c>
      <x:c r="B382" t="str">
        <x:v>Mia Miller</x:v>
      </x:c>
      <x:c r="C382" t="str">
        <x:v>https://api.dicebear.com/9.x/adventurer/png?seed=DHR-00381-Mia%20Miller&amp;size=256&amp;radius=50&amp;backgroundColor=b6e3f4,c0aede,d1d4f9,ffd5dc,ffdfbf</x:v>
      </x:c>
      <x:c r="D382" t="str">
        <x:v>mia.miller.381@example.com</x:v>
      </x:c>
      <x:c r="E382" t="str">
        <x:v>+1 (612) 555-0180</x:v>
      </x:c>
      <x:c r="F382" t="str">
        <x:v>Minneapolis, MN</x:v>
      </x:c>
      <x:c r="G382" t="str">
        <x:v>Minneapolis</x:v>
      </x:c>
      <x:c r="H382" t="str">
        <x:v>MN</x:v>
      </x:c>
      <x:c r="I382" s="18" t="str">
        <x:v>55401</x:v>
      </x:c>
      <x:c r="J382" s="15" t="n">
        <x:v>34114.53024168981</x:v>
      </x:c>
      <x:c r="K382" t="n">
        <x:f>INT((DATE(2025,12,31)-J382)/365.25)</x:f>
        <x:v>32</x:v>
      </x:c>
      <x:c r="L382" t="str">
        <x:f>IF(K382&lt;25,"18-24",IF(K382&lt;35,"25-34",IF(K382&lt;45,"35-44",IF(K382&lt;55,"45-54","55+"))))</x:f>
        <x:v>25-34</x:v>
      </x:c>
      <x:c r="M382" s="15" t="n">
        <x:v>44934.3420894213</x:v>
      </x:c>
      <x:c r="N382" t="n">
        <x:f>(YEAR(DATE(2025,12,31))-YEAR(M382))*12+MONTH(DATE(2025,12,31))-MONTH(M382)</x:f>
        <x:v>35</x:v>
      </x:c>
      <x:c r="O382" t="str">
        <x:v>ACTIVE</x:v>
      </x:c>
      <x:c r="P382" t="str">
        <x:v>INDEPENDENT_CONTRACTOR</x:v>
      </x:c>
      <x:c r="Q382" t="str">
        <x:v>CAR</x:v>
      </x:c>
      <x:c r="R382" t="str">
        <x:v>DINNER</x:v>
      </x:c>
      <x:c r="S382" t="n">
        <x:v>28</x:v>
      </x:c>
      <x:c r="T382" t="str">
        <x:v>CLEARED</x:v>
      </x:c>
      <x:c r="U382" t="str">
        <x:v>EXPIRING_SOON</x:v>
      </x:c>
      <x:c r="V382" s="16" t="n">
        <x:v>0.972</x:v>
      </x:c>
      <x:c r="W382" t="str">
        <x:v>English</x:v>
      </x:c>
      <x:c r="X382" t="str">
        <x:v>Spanish</x:v>
      </x:c>
      <x:c r="Y382" t="n">
        <x:v>3246</x:v>
      </x:c>
      <x:c r="Z382" s="17" t="n">
        <x:v>4.81</x:v>
      </x:c>
      <x:c r="AA382" s="16" t="n">
        <x:v>0.7012</x:v>
      </x:c>
      <x:c r="AB382" s="16" t="n">
        <x:v>0.9597</x:v>
      </x:c>
      <x:c r="AC382" s="16" t="n">
        <x:v>0.9674</x:v>
      </x:c>
      <x:c r="AD382" t="n">
        <x:v>0</x:v>
      </x:c>
      <x:c r="AE382" t="str">
        <x:f>IF(O382&lt;&gt;"ACTIVE","NOT_RATED",IF(AND(Z382&gt;=4.8,AB382&gt;=0.97,AC382&gt;=0.93,AD382=0),"ELITE",IF(AND(Z382&gt;=4.6,AB382&gt;=0.94,AC382&gt;=0.88),"HIGH_PERFORMER",IF(OR(Z382&lt;4.2,AB382&lt;0.85,AD382&gt;=2),"AT_RISK","STANDARD"))))</x:f>
        <x:v>HIGH_PERFORMER</x:v>
      </x:c>
      <x:c r="AF382" s="15" t="n">
        <x:v>46020</x:v>
      </x:c>
      <x:c r="AG382" t="str">
        <x:v>VERIFIED</x:v>
      </x:c>
      <x:c r="AH382" t="str">
        <x:v>COMPLETE</x:v>
      </x:c>
      <x:c r="AI382" t="str">
        <x:v>Quinn Miller</x:v>
      </x:c>
      <x:c r="AJ382" t="str">
        <x:v>PARENT</x:v>
      </x:c>
      <x:c r="AK382" t="str">
        <x:v>+1 (612) 555-0183</x:v>
      </x:c>
    </x:row>
    <x:row r="383" ht="18" customHeight="1">
      <x:c r="A383" t="str">
        <x:v>DHR-00382</x:v>
      </x:c>
      <x:c r="B383" t="str">
        <x:v>Mia Moore</x:v>
      </x:c>
      <x:c r="C383" t="str">
        <x:v>https://api.dicebear.com/9.x/adventurer/png?seed=DHR-00382-Mia%20Moore&amp;size=256&amp;radius=50&amp;backgroundColor=b6e3f4,c0aede,d1d4f9,ffd5dc,ffdfbf</x:v>
      </x:c>
      <x:c r="D383" t="str">
        <x:v>mia.moore.382@example.com</x:v>
      </x:c>
      <x:c r="E383" t="str">
        <x:v>+1 (614) 555-0181</x:v>
      </x:c>
      <x:c r="F383" t="str">
        <x:v>Columbus, OH</x:v>
      </x:c>
      <x:c r="G383" t="str">
        <x:v>Columbus</x:v>
      </x:c>
      <x:c r="H383" t="str">
        <x:v>OH</x:v>
      </x:c>
      <x:c r="I383" s="18" t="str">
        <x:v>43215</x:v>
      </x:c>
      <x:c r="J383" s="15" t="n">
        <x:v>33780.65608172453</x:v>
      </x:c>
      <x:c r="K383" t="n">
        <x:f>INT((DATE(2025,12,31)-J383)/365.25)</x:f>
        <x:v>33</x:v>
      </x:c>
      <x:c r="L383" t="str">
        <x:f>IF(K383&lt;25,"18-24",IF(K383&lt;35,"25-34",IF(K383&lt;45,"35-44",IF(K383&lt;55,"45-54","55+"))))</x:f>
        <x:v>25-34</x:v>
      </x:c>
      <x:c r="M383" s="15" t="n">
        <x:v>44357.57673325232</x:v>
      </x:c>
      <x:c r="N383" t="n">
        <x:f>(YEAR(DATE(2025,12,31))-YEAR(M383))*12+MONTH(DATE(2025,12,31))-MONTH(M383)</x:f>
        <x:v>54</x:v>
      </x:c>
      <x:c r="O383" t="str">
        <x:v>ACTIVE</x:v>
      </x:c>
      <x:c r="P383" t="str">
        <x:v>INDEPENDENT_CONTRACTOR</x:v>
      </x:c>
      <x:c r="Q383" t="str">
        <x:v>BICYCLE</x:v>
      </x:c>
      <x:c r="R383" t="str">
        <x:v>FLEXIBLE</x:v>
      </x:c>
      <x:c r="S383" t="n">
        <x:v>21</x:v>
      </x:c>
      <x:c r="T383" t="str">
        <x:v>CLEARED</x:v>
      </x:c>
      <x:c r="U383" t="str">
        <x:v>NOT_REQUIRED</x:v>
      </x:c>
      <x:c r="V383" s="16" t="n">
        <x:v>0.9104</x:v>
      </x:c>
      <x:c r="W383" t="str">
        <x:v>French</x:v>
      </x:c>
      <x:c r="X383" t="str">
        <x:v>English</x:v>
      </x:c>
      <x:c r="Y383" t="n">
        <x:v>4189</x:v>
      </x:c>
      <x:c r="Z383" s="17" t="n">
        <x:v>4.41</x:v>
      </x:c>
      <x:c r="AA383" s="16" t="n">
        <x:v>0.6964</x:v>
      </x:c>
      <x:c r="AB383" s="16" t="n">
        <x:v>0.9784</x:v>
      </x:c>
      <x:c r="AC383" s="16" t="n">
        <x:v>0.9003</x:v>
      </x:c>
      <x:c r="AD383" t="n">
        <x:v>0</x:v>
      </x:c>
      <x:c r="AE383" t="str">
        <x:f>IF(O383&lt;&gt;"ACTIVE","NOT_RATED",IF(AND(Z383&gt;=4.8,AB383&gt;=0.97,AC383&gt;=0.93,AD383=0),"ELITE",IF(AND(Z383&gt;=4.6,AB383&gt;=0.94,AC383&gt;=0.88),"HIGH_PERFORMER",IF(OR(Z383&lt;4.2,AB383&lt;0.85,AD383&gt;=2),"AT_RISK","STANDARD"))))</x:f>
        <x:v>STANDARD</x:v>
      </x:c>
      <x:c r="AF383" s="15" t="n">
        <x:v>46018</x:v>
      </x:c>
      <x:c r="AG383" t="str">
        <x:v>VERIFIED</x:v>
      </x:c>
      <x:c r="AH383" t="str">
        <x:v>COMPLETE</x:v>
      </x:c>
      <x:c r="AI383" t="str">
        <x:v>Lucas Miller</x:v>
      </x:c>
      <x:c r="AJ383" t="str">
        <x:v>SPOUSE_PARTNER</x:v>
      </x:c>
      <x:c r="AK383" t="str">
        <x:v>+1 (614) 555-0190</x:v>
      </x:c>
    </x:row>
    <x:row r="384" ht="18" customHeight="1">
      <x:c r="A384" t="str">
        <x:v>DHR-00383</x:v>
      </x:c>
      <x:c r="B384" t="str">
        <x:v>Mia Rodriguez</x:v>
      </x:c>
      <x:c r="C384" t="str">
        <x:v>https://api.dicebear.com/9.x/adventurer/png?seed=DHR-00383-Mia%20Rodriguez&amp;size=256&amp;radius=50&amp;backgroundColor=b6e3f4,c0aede,d1d4f9,ffd5dc,ffdfbf</x:v>
      </x:c>
      <x:c r="D384" t="str">
        <x:v>mia.rodriguez.383@example.com</x:v>
      </x:c>
      <x:c r="E384" t="str">
        <x:v>+1 (512) 555-0182</x:v>
      </x:c>
      <x:c r="F384" t="str">
        <x:v>Austin, TX</x:v>
      </x:c>
      <x:c r="G384" t="str">
        <x:v>Austin</x:v>
      </x:c>
      <x:c r="H384" t="str">
        <x:v>TX</x:v>
      </x:c>
      <x:c r="I384" s="18" t="str">
        <x:v>78701</x:v>
      </x:c>
      <x:c r="J384" s="15" t="n">
        <x:v>27741.409096435185</x:v>
      </x:c>
      <x:c r="K384" t="n">
        <x:f>INT((DATE(2025,12,31)-J384)/365.25)</x:f>
        <x:v>50</x:v>
      </x:c>
      <x:c r="L384" t="str">
        <x:f>IF(K384&lt;25,"18-24",IF(K384&lt;35,"25-34",IF(K384&lt;45,"35-44",IF(K384&lt;55,"45-54","55+"))))</x:f>
        <x:v>45-54</x:v>
      </x:c>
      <x:c r="M384" s="15" t="n">
        <x:v>44399.10187373843</x:v>
      </x:c>
      <x:c r="N384" t="n">
        <x:f>(YEAR(DATE(2025,12,31))-YEAR(M384))*12+MONTH(DATE(2025,12,31))-MONTH(M384)</x:f>
        <x:v>53</x:v>
      </x:c>
      <x:c r="O384" t="str">
        <x:v>ACTIVE</x:v>
      </x:c>
      <x:c r="P384" t="str">
        <x:v>INDEPENDENT_CONTRACTOR</x:v>
      </x:c>
      <x:c r="Q384" t="str">
        <x:v>CAR</x:v>
      </x:c>
      <x:c r="R384" t="str">
        <x:v>WEEKENDS</x:v>
      </x:c>
      <x:c r="S384" t="n">
        <x:v>22</x:v>
      </x:c>
      <x:c r="T384" t="str">
        <x:v>CLEARED</x:v>
      </x:c>
      <x:c r="U384" t="str">
        <x:v>VALID</x:v>
      </x:c>
      <x:c r="V384" s="16" t="n">
        <x:v>0.9262</x:v>
      </x:c>
      <x:c r="W384" t="str">
        <x:v>English</x:v>
      </x:c>
      <x:c r="X384"/>
      <x:c r="Y384" t="n">
        <x:v>3814</x:v>
      </x:c>
      <x:c r="Z384" s="17" t="n">
        <x:v>4.62</x:v>
      </x:c>
      <x:c r="AA384" s="16" t="n">
        <x:v>0.7929</x:v>
      </x:c>
      <x:c r="AB384" s="16" t="n">
        <x:v>0.932</x:v>
      </x:c>
      <x:c r="AC384" s="16" t="n">
        <x:v>0.9421</x:v>
      </x:c>
      <x:c r="AD384" t="n">
        <x:v>0</x:v>
      </x:c>
      <x:c r="AE384" t="str">
        <x:f>IF(O384&lt;&gt;"ACTIVE","NOT_RATED",IF(AND(Z384&gt;=4.8,AB384&gt;=0.97,AC384&gt;=0.93,AD384=0),"ELITE",IF(AND(Z384&gt;=4.6,AB384&gt;=0.94,AC384&gt;=0.88),"HIGH_PERFORMER",IF(OR(Z384&lt;4.2,AB384&lt;0.85,AD384&gt;=2),"AT_RISK","STANDARD"))))</x:f>
        <x:v>STANDARD</x:v>
      </x:c>
      <x:c r="AF384" s="15" t="n">
        <x:v>46009</x:v>
      </x:c>
      <x:c r="AG384" t="str">
        <x:v>VERIFIED</x:v>
      </x:c>
      <x:c r="AH384" t="str">
        <x:v>COMPLETE</x:v>
      </x:c>
      <x:c r="AI384" t="str">
        <x:v>Chris Johnson</x:v>
      </x:c>
      <x:c r="AJ384" t="str">
        <x:v>FRIEND</x:v>
      </x:c>
      <x:c r="AK384" t="str">
        <x:v>+1 (512) 555-0197</x:v>
      </x:c>
    </x:row>
    <x:row r="385" ht="18" customHeight="1">
      <x:c r="A385" t="str">
        <x:v>DHR-00384</x:v>
      </x:c>
      <x:c r="B385" t="str">
        <x:v>Mia Taylor</x:v>
      </x:c>
      <x:c r="C385" t="str">
        <x:v>https://api.dicebear.com/9.x/adventurer/png?seed=DHR-00384-Mia%20Taylor&amp;size=256&amp;radius=50&amp;backgroundColor=b6e3f4,c0aede,d1d4f9,ffd5dc,ffdfbf</x:v>
      </x:c>
      <x:c r="D385" t="str">
        <x:v>mia.taylor.384@example.com</x:v>
      </x:c>
      <x:c r="E385" t="str">
        <x:v>+1 (512) 555-0183</x:v>
      </x:c>
      <x:c r="F385" t="str">
        <x:v>Austin, TX</x:v>
      </x:c>
      <x:c r="G385" t="str">
        <x:v>Austin</x:v>
      </x:c>
      <x:c r="H385" t="str">
        <x:v>TX</x:v>
      </x:c>
      <x:c r="I385" s="18" t="str">
        <x:v>78701</x:v>
      </x:c>
      <x:c r="J385" s="15" t="n">
        <x:v>26148.42527440972</x:v>
      </x:c>
      <x:c r="K385" t="n">
        <x:f>INT((DATE(2025,12,31)-J385)/365.25)</x:f>
        <x:v>54</x:v>
      </x:c>
      <x:c r="L385" t="str">
        <x:f>IF(K385&lt;25,"18-24",IF(K385&lt;35,"25-34",IF(K385&lt;45,"35-44",IF(K385&lt;55,"45-54","55+"))))</x:f>
        <x:v>45-54</x:v>
      </x:c>
      <x:c r="M385" s="15" t="n">
        <x:v>44308.07994127315</x:v>
      </x:c>
      <x:c r="N385" t="n">
        <x:f>(YEAR(DATE(2025,12,31))-YEAR(M385))*12+MONTH(DATE(2025,12,31))-MONTH(M385)</x:f>
        <x:v>56</x:v>
      </x:c>
      <x:c r="O385" t="str">
        <x:v>ACTIVE</x:v>
      </x:c>
      <x:c r="P385" t="str">
        <x:v>INDEPENDENT_CONTRACTOR</x:v>
      </x:c>
      <x:c r="Q385" t="str">
        <x:v>CAR</x:v>
      </x:c>
      <x:c r="R385" t="str">
        <x:v>LUNCH</x:v>
      </x:c>
      <x:c r="S385" t="n">
        <x:v>36</x:v>
      </x:c>
      <x:c r="T385" t="str">
        <x:v>CLEARED</x:v>
      </x:c>
      <x:c r="U385" t="str">
        <x:v>VALID</x:v>
      </x:c>
      <x:c r="V385" s="16" t="n">
        <x:v>0.7834</x:v>
      </x:c>
      <x:c r="W385" t="str">
        <x:v>English</x:v>
      </x:c>
      <x:c r="X385" t="str">
        <x:v>Spanish</x:v>
      </x:c>
      <x:c r="Y385" t="n">
        <x:v>4695</x:v>
      </x:c>
      <x:c r="Z385" s="17" t="n">
        <x:v>4.74</x:v>
      </x:c>
      <x:c r="AA385" s="16" t="n">
        <x:v>0.9707</x:v>
      </x:c>
      <x:c r="AB385" s="16" t="n">
        <x:v>0.8894</x:v>
      </x:c>
      <x:c r="AC385" s="16" t="n">
        <x:v>0.8462</x:v>
      </x:c>
      <x:c r="AD385" t="n">
        <x:v>0</x:v>
      </x:c>
      <x:c r="AE385" t="str">
        <x:f>IF(O385&lt;&gt;"ACTIVE","NOT_RATED",IF(AND(Z385&gt;=4.8,AB385&gt;=0.97,AC385&gt;=0.93,AD385=0),"ELITE",IF(AND(Z385&gt;=4.6,AB385&gt;=0.94,AC385&gt;=0.88),"HIGH_PERFORMER",IF(OR(Z385&lt;4.2,AB385&lt;0.85,AD385&gt;=2),"AT_RISK","STANDARD"))))</x:f>
        <x:v>STANDARD</x:v>
      </x:c>
      <x:c r="AF385" s="15" t="n">
        <x:v>46017</x:v>
      </x:c>
      <x:c r="AG385" t="str">
        <x:v>VERIFIED</x:v>
      </x:c>
      <x:c r="AH385" t="str">
        <x:v>PENDING</x:v>
      </x:c>
      <x:c r="AI385" t="str">
        <x:v>Parker Williams</x:v>
      </x:c>
      <x:c r="AJ385" t="str">
        <x:v>SIBLING</x:v>
      </x:c>
      <x:c r="AK385" t="str">
        <x:v>+1 (512) 555-0104</x:v>
      </x:c>
    </x:row>
    <x:row r="386" ht="18" customHeight="1">
      <x:c r="A386" t="str">
        <x:v>DHR-00385</x:v>
      </x:c>
      <x:c r="B386" t="str">
        <x:v>Mia Thomas</x:v>
      </x:c>
      <x:c r="C386" t="str">
        <x:v>https://api.dicebear.com/9.x/adventurer/png?seed=DHR-00385-Mia%20Thomas&amp;size=256&amp;radius=50&amp;backgroundColor=b6e3f4,c0aede,d1d4f9,ffd5dc,ffdfbf</x:v>
      </x:c>
      <x:c r="D386" t="str">
        <x:v>mia.thomas.385@example.com</x:v>
      </x:c>
      <x:c r="E386" t="str">
        <x:v>+1 (213) 555-0184</x:v>
      </x:c>
      <x:c r="F386" t="str">
        <x:v>Los Angeles, CA</x:v>
      </x:c>
      <x:c r="G386" t="str">
        <x:v>Los Angeles</x:v>
      </x:c>
      <x:c r="H386" t="str">
        <x:v>CA</x:v>
      </x:c>
      <x:c r="I386" s="18" t="str">
        <x:v>90012</x:v>
      </x:c>
      <x:c r="J386" s="15" t="n">
        <x:v>38407.83454655093</x:v>
      </x:c>
      <x:c r="K386" t="n">
        <x:f>INT((DATE(2025,12,31)-J386)/365.25)</x:f>
        <x:v>20</x:v>
      </x:c>
      <x:c r="L386" t="str">
        <x:f>IF(K386&lt;25,"18-24",IF(K386&lt;35,"25-34",IF(K386&lt;45,"35-44",IF(K386&lt;55,"45-54","55+"))))</x:f>
        <x:v>18-24</x:v>
      </x:c>
      <x:c r="M386" s="15" t="n">
        <x:v>45700.83057280093</x:v>
      </x:c>
      <x:c r="N386" t="n">
        <x:f>(YEAR(DATE(2025,12,31))-YEAR(M386))*12+MONTH(DATE(2025,12,31))-MONTH(M386)</x:f>
        <x:v>10</x:v>
      </x:c>
      <x:c r="O386" t="str">
        <x:v>ACTIVE</x:v>
      </x:c>
      <x:c r="P386" t="str">
        <x:v>INDEPENDENT_CONTRACTOR</x:v>
      </x:c>
      <x:c r="Q386" t="str">
        <x:v>CAR</x:v>
      </x:c>
      <x:c r="R386" t="str">
        <x:v>FLEXIBLE</x:v>
      </x:c>
      <x:c r="S386" t="n">
        <x:v>12</x:v>
      </x:c>
      <x:c r="T386" t="str">
        <x:v>CLEARED</x:v>
      </x:c>
      <x:c r="U386" t="str">
        <x:v>VALID</x:v>
      </x:c>
      <x:c r="V386" s="16" t="n">
        <x:v>0.8177</x:v>
      </x:c>
      <x:c r="W386" t="str">
        <x:v>English</x:v>
      </x:c>
      <x:c r="X386"/>
      <x:c r="Y386" t="n">
        <x:v>404</x:v>
      </x:c>
      <x:c r="Z386" s="17" t="n">
        <x:v>4.5</x:v>
      </x:c>
      <x:c r="AA386" s="16" t="n">
        <x:v>0.6701</x:v>
      </x:c>
      <x:c r="AB386" s="16" t="n">
        <x:v>0.9208</x:v>
      </x:c>
      <x:c r="AC386" s="16" t="n">
        <x:v>0.9253</x:v>
      </x:c>
      <x:c r="AD386" t="n">
        <x:v>1</x:v>
      </x:c>
      <x:c r="AE386" t="str">
        <x:f>IF(O386&lt;&gt;"ACTIVE","NOT_RATED",IF(AND(Z386&gt;=4.8,AB386&gt;=0.97,AC386&gt;=0.93,AD386=0),"ELITE",IF(AND(Z386&gt;=4.6,AB386&gt;=0.94,AC386&gt;=0.88),"HIGH_PERFORMER",IF(OR(Z386&lt;4.2,AB386&lt;0.85,AD386&gt;=2),"AT_RISK","STANDARD"))))</x:f>
        <x:v>STANDARD</x:v>
      </x:c>
      <x:c r="AF386" s="15" t="n">
        <x:v>46020</x:v>
      </x:c>
      <x:c r="AG386" t="str">
        <x:v>VERIFIED</x:v>
      </x:c>
      <x:c r="AH386" t="str">
        <x:v>COMPLETE</x:v>
      </x:c>
      <x:c r="AI386" t="str">
        <x:v>Casey Martinez</x:v>
      </x:c>
      <x:c r="AJ386" t="str">
        <x:v>SIBLING</x:v>
      </x:c>
      <x:c r="AK386" t="str">
        <x:v>+1 (213) 555-0111</x:v>
      </x:c>
    </x:row>
    <x:row r="387" ht="18" customHeight="1">
      <x:c r="A387" t="str">
        <x:v>DHR-00386</x:v>
      </x:c>
      <x:c r="B387" t="str">
        <x:v>Mia Thompson</x:v>
      </x:c>
      <x:c r="C387" t="str">
        <x:v>https://api.dicebear.com/9.x/adventurer/png?seed=DHR-00386-Mia%20Thompson&amp;size=256&amp;radius=50&amp;backgroundColor=b6e3f4,c0aede,d1d4f9,ffd5dc,ffdfbf</x:v>
      </x:c>
      <x:c r="D387" t="str">
        <x:v>mia.thompson.386@example.com</x:v>
      </x:c>
      <x:c r="E387" t="str">
        <x:v>+1 (312) 555-0185</x:v>
      </x:c>
      <x:c r="F387" t="str">
        <x:v>Chicago, IL</x:v>
      </x:c>
      <x:c r="G387" t="str">
        <x:v>Chicago</x:v>
      </x:c>
      <x:c r="H387" t="str">
        <x:v>IL</x:v>
      </x:c>
      <x:c r="I387" s="18" t="str">
        <x:v>60601</x:v>
      </x:c>
      <x:c r="J387" s="15" t="n">
        <x:v>24484.263013958334</x:v>
      </x:c>
      <x:c r="K387" t="n">
        <x:f>INT((DATE(2025,12,31)-J387)/365.25)</x:f>
        <x:v>58</x:v>
      </x:c>
      <x:c r="L387" t="str">
        <x:f>IF(K387&lt;25,"18-24",IF(K387&lt;35,"25-34",IF(K387&lt;45,"35-44",IF(K387&lt;55,"45-54","55+"))))</x:f>
        <x:v>55+</x:v>
      </x:c>
      <x:c r="M387" s="15" t="n">
        <x:v>43704.674759814814</x:v>
      </x:c>
      <x:c r="N387" t="n">
        <x:f>(YEAR(DATE(2025,12,31))-YEAR(M387))*12+MONTH(DATE(2025,12,31))-MONTH(M387)</x:f>
        <x:v>76</x:v>
      </x:c>
      <x:c r="O387" t="str">
        <x:v>ACTIVE</x:v>
      </x:c>
      <x:c r="P387" t="str">
        <x:v>INDEPENDENT_CONTRACTOR</x:v>
      </x:c>
      <x:c r="Q387" t="str">
        <x:v>E_BIKE</x:v>
      </x:c>
      <x:c r="R387" t="str">
        <x:v>DINNER</x:v>
      </x:c>
      <x:c r="S387" t="n">
        <x:v>46</x:v>
      </x:c>
      <x:c r="T387" t="str">
        <x:v>CLEARED</x:v>
      </x:c>
      <x:c r="U387" t="str">
        <x:v>NOT_REQUIRED</x:v>
      </x:c>
      <x:c r="V387" s="16" t="n">
        <x:v>0.9303</x:v>
      </x:c>
      <x:c r="W387" t="str">
        <x:v>English</x:v>
      </x:c>
      <x:c r="X387" t="str">
        <x:v>Spanish</x:v>
      </x:c>
      <x:c r="Y387" t="n">
        <x:v>7202</x:v>
      </x:c>
      <x:c r="Z387" s="17" t="n">
        <x:v>4.53</x:v>
      </x:c>
      <x:c r="AA387" s="16" t="n">
        <x:v>0.99</x:v>
      </x:c>
      <x:c r="AB387" s="16" t="n">
        <x:v>0.935</x:v>
      </x:c>
      <x:c r="AC387" s="16" t="n">
        <x:v>0.9617</x:v>
      </x:c>
      <x:c r="AD387" t="n">
        <x:v>0</x:v>
      </x:c>
      <x:c r="AE387" t="str">
        <x:f>IF(O387&lt;&gt;"ACTIVE","NOT_RATED",IF(AND(Z387&gt;=4.8,AB387&gt;=0.97,AC387&gt;=0.93,AD387=0),"ELITE",IF(AND(Z387&gt;=4.6,AB387&gt;=0.94,AC387&gt;=0.88),"HIGH_PERFORMER",IF(OR(Z387&lt;4.2,AB387&lt;0.85,AD387&gt;=2),"AT_RISK","STANDARD"))))</x:f>
        <x:v>STANDARD</x:v>
      </x:c>
      <x:c r="AF387" s="15" t="n">
        <x:v>46014</x:v>
      </x:c>
      <x:c r="AG387" t="str">
        <x:v>VERIFIED</x:v>
      </x:c>
      <x:c r="AH387" t="str">
        <x:v>COMPLETE</x:v>
      </x:c>
      <x:c r="AI387" t="str">
        <x:v>Jordan Thompson</x:v>
      </x:c>
      <x:c r="AJ387" t="str">
        <x:v>SIBLING</x:v>
      </x:c>
      <x:c r="AK387" t="str">
        <x:v>+1 (312) 555-0118</x:v>
      </x:c>
    </x:row>
    <x:row r="388" ht="18" customHeight="1">
      <x:c r="A388" t="str">
        <x:v>DHR-00387</x:v>
      </x:c>
      <x:c r="B388" t="str">
        <x:v>Mia White</x:v>
      </x:c>
      <x:c r="C388" t="str">
        <x:v>https://api.dicebear.com/9.x/adventurer/png?seed=DHR-00387-Mia%20White&amp;size=256&amp;radius=50&amp;backgroundColor=b6e3f4,c0aede,d1d4f9,ffd5dc,ffdfbf</x:v>
      </x:c>
      <x:c r="D388" t="str">
        <x:v>mia.white.387@example.com</x:v>
      </x:c>
      <x:c r="E388" t="str">
        <x:v>+1 (614) 555-0186</x:v>
      </x:c>
      <x:c r="F388" t="str">
        <x:v>Columbus, OH</x:v>
      </x:c>
      <x:c r="G388" t="str">
        <x:v>Columbus</x:v>
      </x:c>
      <x:c r="H388" t="str">
        <x:v>OH</x:v>
      </x:c>
      <x:c r="I388" s="18" t="str">
        <x:v>43215</x:v>
      </x:c>
      <x:c r="J388" s="15" t="n">
        <x:v>35514.21050170139</x:v>
      </x:c>
      <x:c r="K388" t="n">
        <x:f>INT((DATE(2025,12,31)-J388)/365.25)</x:f>
        <x:v>28</x:v>
      </x:c>
      <x:c r="L388" t="str">
        <x:f>IF(K388&lt;25,"18-24",IF(K388&lt;35,"25-34",IF(K388&lt;45,"35-44",IF(K388&lt;55,"45-54","55+"))))</x:f>
        <x:v>25-34</x:v>
      </x:c>
      <x:c r="M388" s="15" t="n">
        <x:v>44144.44983283565</x:v>
      </x:c>
      <x:c r="N388" t="n">
        <x:f>(YEAR(DATE(2025,12,31))-YEAR(M388))*12+MONTH(DATE(2025,12,31))-MONTH(M388)</x:f>
        <x:v>61</x:v>
      </x:c>
      <x:c r="O388" t="str">
        <x:v>ACTIVE</x:v>
      </x:c>
      <x:c r="P388" t="str">
        <x:v>INDEPENDENT_CONTRACTOR</x:v>
      </x:c>
      <x:c r="Q388" t="str">
        <x:v>BICYCLE</x:v>
      </x:c>
      <x:c r="R388" t="str">
        <x:v>DINNER</x:v>
      </x:c>
      <x:c r="S388" t="n">
        <x:v>9</x:v>
      </x:c>
      <x:c r="T388" t="str">
        <x:v>CLEARED</x:v>
      </x:c>
      <x:c r="U388" t="str">
        <x:v>NOT_REQUIRED</x:v>
      </x:c>
      <x:c r="V388" s="16" t="n">
        <x:v>0.8606</x:v>
      </x:c>
      <x:c r="W388" t="str">
        <x:v>French</x:v>
      </x:c>
      <x:c r="X388" t="str">
        <x:v>English</x:v>
      </x:c>
      <x:c r="Y388" t="n">
        <x:v>1694</x:v>
      </x:c>
      <x:c r="Z388" s="17" t="n">
        <x:v>4.91</x:v>
      </x:c>
      <x:c r="AA388" s="16" t="n">
        <x:v>0.7649</x:v>
      </x:c>
      <x:c r="AB388" s="16" t="n">
        <x:v>0.9052</x:v>
      </x:c>
      <x:c r="AC388" s="16" t="n">
        <x:v>0.8267</x:v>
      </x:c>
      <x:c r="AD388" t="n">
        <x:v>0</x:v>
      </x:c>
      <x:c r="AE388" t="str">
        <x:f>IF(O388&lt;&gt;"ACTIVE","NOT_RATED",IF(AND(Z388&gt;=4.8,AB388&gt;=0.97,AC388&gt;=0.93,AD388=0),"ELITE",IF(AND(Z388&gt;=4.6,AB388&gt;=0.94,AC388&gt;=0.88),"HIGH_PERFORMER",IF(OR(Z388&lt;4.2,AB388&lt;0.85,AD388&gt;=2),"AT_RISK","STANDARD"))))</x:f>
        <x:v>STANDARD</x:v>
      </x:c>
      <x:c r="AF388" s="15" t="n">
        <x:v>46014</x:v>
      </x:c>
      <x:c r="AG388" t="str">
        <x:v>VERIFIED</x:v>
      </x:c>
      <x:c r="AH388" t="str">
        <x:v>PENDING</x:v>
      </x:c>
      <x:c r="AI388" t="str">
        <x:v>Jesse Clark</x:v>
      </x:c>
      <x:c r="AJ388" t="str">
        <x:v>SPOUSE_PARTNER</x:v>
      </x:c>
      <x:c r="AK388" t="str">
        <x:v>+1 (614) 555-0125</x:v>
      </x:c>
    </x:row>
    <x:row r="389" ht="18" customHeight="1">
      <x:c r="A389" t="str">
        <x:v>DHR-00388</x:v>
      </x:c>
      <x:c r="B389" t="str">
        <x:v>Mia Williams</x:v>
      </x:c>
      <x:c r="C389" t="str">
        <x:v>https://api.dicebear.com/9.x/adventurer/png?seed=DHR-00388-Mia%20Williams&amp;size=256&amp;radius=50&amp;backgroundColor=b6e3f4,c0aede,d1d4f9,ffd5dc,ffdfbf</x:v>
      </x:c>
      <x:c r="D389" t="str">
        <x:v>mia.williams.388@example.com</x:v>
      </x:c>
      <x:c r="E389" t="str">
        <x:v>+1 (212) 555-0187</x:v>
      </x:c>
      <x:c r="F389" t="str">
        <x:v>New York, NY</x:v>
      </x:c>
      <x:c r="G389" t="str">
        <x:v>New York</x:v>
      </x:c>
      <x:c r="H389" t="str">
        <x:v>NY</x:v>
      </x:c>
      <x:c r="I389" s="18" t="str">
        <x:v>10001</x:v>
      </x:c>
      <x:c r="J389" s="15" t="n">
        <x:v>33071.58366225695</x:v>
      </x:c>
      <x:c r="K389" t="n">
        <x:f>INT((DATE(2025,12,31)-J389)/365.25)</x:f>
        <x:v>35</x:v>
      </x:c>
      <x:c r="L389" t="str">
        <x:f>IF(K389&lt;25,"18-24",IF(K389&lt;35,"25-34",IF(K389&lt;45,"35-44",IF(K389&lt;55,"45-54","55+"))))</x:f>
        <x:v>35-44</x:v>
      </x:c>
      <x:c r="M389" s="15" t="n">
        <x:v>44644.41115420139</x:v>
      </x:c>
      <x:c r="N389" t="n">
        <x:f>(YEAR(DATE(2025,12,31))-YEAR(M389))*12+MONTH(DATE(2025,12,31))-MONTH(M389)</x:f>
        <x:v>45</x:v>
      </x:c>
      <x:c r="O389" t="str">
        <x:v>PAUSED</x:v>
      </x:c>
      <x:c r="P389" t="str">
        <x:v>INDEPENDENT_CONTRACTOR</x:v>
      </x:c>
      <x:c r="Q389" t="str">
        <x:v>CAR</x:v>
      </x:c>
      <x:c r="R389" t="str">
        <x:v>FLEXIBLE</x:v>
      </x:c>
      <x:c r="S389" t="n">
        <x:v>30</x:v>
      </x:c>
      <x:c r="T389" t="str">
        <x:v>CLEARED</x:v>
      </x:c>
      <x:c r="U389" t="str">
        <x:v>VALID</x:v>
      </x:c>
      <x:c r="V389" s="16" t="n">
        <x:v>0.8413</x:v>
      </x:c>
      <x:c r="W389" t="str">
        <x:v>English</x:v>
      </x:c>
      <x:c r="X389" t="str">
        <x:v>Spanish</x:v>
      </x:c>
      <x:c r="Y389" t="n">
        <x:v>3054</x:v>
      </x:c>
      <x:c r="Z389" s="17" t="n">
        <x:v>4.28</x:v>
      </x:c>
      <x:c r="AA389" s="16" t="n">
        <x:v>0.9568</x:v>
      </x:c>
      <x:c r="AB389" s="16" t="n">
        <x:v>0.9437</x:v>
      </x:c>
      <x:c r="AC389" s="16" t="n">
        <x:v>0.878</x:v>
      </x:c>
      <x:c r="AD389" t="n">
        <x:v>0</x:v>
      </x:c>
      <x:c r="AE389" t="str">
        <x:f>IF(O389&lt;&gt;"ACTIVE","NOT_RATED",IF(AND(Z389&gt;=4.8,AB389&gt;=0.97,AC389&gt;=0.93,AD389=0),"ELITE",IF(AND(Z389&gt;=4.6,AB389&gt;=0.94,AC389&gt;=0.88),"HIGH_PERFORMER",IF(OR(Z389&lt;4.2,AB389&lt;0.85,AD389&gt;=2),"AT_RISK","STANDARD"))))</x:f>
        <x:v>NOT_RATED</x:v>
      </x:c>
      <x:c r="AF389" s="15" t="n">
        <x:v>45927</x:v>
      </x:c>
      <x:c r="AG389" t="str">
        <x:v>VERIFIED</x:v>
      </x:c>
      <x:c r="AH389" t="str">
        <x:v>COMPLETE</x:v>
      </x:c>
      <x:c r="AI389" t="str">
        <x:v>Sam Taylor</x:v>
      </x:c>
      <x:c r="AJ389" t="str">
        <x:v>SIBLING</x:v>
      </x:c>
      <x:c r="AK389" t="str">
        <x:v>+1 (212) 555-0132</x:v>
      </x:c>
    </x:row>
    <x:row r="390" ht="18" customHeight="1">
      <x:c r="A390" t="str">
        <x:v>DHR-00389</x:v>
      </x:c>
      <x:c r="B390" t="str">
        <x:v>Mia Wilson</x:v>
      </x:c>
      <x:c r="C390" t="str">
        <x:v>https://api.dicebear.com/9.x/adventurer/png?seed=DHR-00389-Mia%20Wilson&amp;size=256&amp;radius=50&amp;backgroundColor=b6e3f4,c0aede,d1d4f9,ffd5dc,ffdfbf</x:v>
      </x:c>
      <x:c r="D390" t="str">
        <x:v>mia.wilson.389@example.com</x:v>
      </x:c>
      <x:c r="E390" t="str">
        <x:v>+1 (212) 555-0188</x:v>
      </x:c>
      <x:c r="F390" t="str">
        <x:v>New York, NY</x:v>
      </x:c>
      <x:c r="G390" t="str">
        <x:v>New York</x:v>
      </x:c>
      <x:c r="H390" t="str">
        <x:v>NY</x:v>
      </x:c>
      <x:c r="I390" s="18" t="str">
        <x:v>10001</x:v>
      </x:c>
      <x:c r="J390" s="15" t="n">
        <x:v>27872.58415320602</x:v>
      </x:c>
      <x:c r="K390" t="n">
        <x:f>INT((DATE(2025,12,31)-J390)/365.25)</x:f>
        <x:v>49</x:v>
      </x:c>
      <x:c r="L390" t="str">
        <x:f>IF(K390&lt;25,"18-24",IF(K390&lt;35,"25-34",IF(K390&lt;45,"35-44",IF(K390&lt;55,"45-54","55+"))))</x:f>
        <x:v>45-54</x:v>
      </x:c>
      <x:c r="M390" s="15" t="n">
        <x:v>44803.442053287035</x:v>
      </x:c>
      <x:c r="N390" t="n">
        <x:f>(YEAR(DATE(2025,12,31))-YEAR(M390))*12+MONTH(DATE(2025,12,31))-MONTH(M390)</x:f>
        <x:v>40</x:v>
      </x:c>
      <x:c r="O390" t="str">
        <x:v>ACTIVE</x:v>
      </x:c>
      <x:c r="P390" t="str">
        <x:v>INDEPENDENT_CONTRACTOR</x:v>
      </x:c>
      <x:c r="Q390" t="str">
        <x:v>BICYCLE</x:v>
      </x:c>
      <x:c r="R390" t="str">
        <x:v>FLEXIBLE</x:v>
      </x:c>
      <x:c r="S390" t="n">
        <x:v>9</x:v>
      </x:c>
      <x:c r="T390" t="str">
        <x:v>CLEARED</x:v>
      </x:c>
      <x:c r="U390" t="str">
        <x:v>NOT_REQUIRED</x:v>
      </x:c>
      <x:c r="V390" s="16" t="n">
        <x:v>0.919</x:v>
      </x:c>
      <x:c r="W390" t="str">
        <x:v>Vietnamese</x:v>
      </x:c>
      <x:c r="X390"/>
      <x:c r="Y390" t="n">
        <x:v>1024</x:v>
      </x:c>
      <x:c r="Z390" s="17" t="n">
        <x:v>4.49</x:v>
      </x:c>
      <x:c r="AA390" s="16" t="n">
        <x:v>0.7461</x:v>
      </x:c>
      <x:c r="AB390" s="16" t="n">
        <x:v>0.9906</x:v>
      </x:c>
      <x:c r="AC390" s="16" t="n">
        <x:v>0.9196</x:v>
      </x:c>
      <x:c r="AD390" t="n">
        <x:v>0</x:v>
      </x:c>
      <x:c r="AE390" t="str">
        <x:f>IF(O390&lt;&gt;"ACTIVE","NOT_RATED",IF(AND(Z390&gt;=4.8,AB390&gt;=0.97,AC390&gt;=0.93,AD390=0),"ELITE",IF(AND(Z390&gt;=4.6,AB390&gt;=0.94,AC390&gt;=0.88),"HIGH_PERFORMER",IF(OR(Z390&lt;4.2,AB390&lt;0.85,AD390&gt;=2),"AT_RISK","STANDARD"))))</x:f>
        <x:v>STANDARD</x:v>
      </x:c>
      <x:c r="AF390" s="15" t="n">
        <x:v>46015</x:v>
      </x:c>
      <x:c r="AG390" t="str">
        <x:v>VERIFIED</x:v>
      </x:c>
      <x:c r="AH390" t="str">
        <x:v>COMPLETE</x:v>
      </x:c>
      <x:c r="AI390" t="str">
        <x:v>Riley Young</x:v>
      </x:c>
      <x:c r="AJ390" t="str">
        <x:v>SIBLING</x:v>
      </x:c>
      <x:c r="AK390" t="str">
        <x:v>+1 (212) 555-0139</x:v>
      </x:c>
    </x:row>
    <x:row r="391" ht="18" customHeight="1">
      <x:c r="A391" t="str">
        <x:v>DHR-00390</x:v>
      </x:c>
      <x:c r="B391" t="str">
        <x:v>Mia Young</x:v>
      </x:c>
      <x:c r="C391" t="str">
        <x:v>https://api.dicebear.com/9.x/adventurer/png?seed=DHR-00390-Mia%20Young&amp;size=256&amp;radius=50&amp;backgroundColor=b6e3f4,c0aede,d1d4f9,ffd5dc,ffdfbf</x:v>
      </x:c>
      <x:c r="D391" t="str">
        <x:v>mia.young.390@example.com</x:v>
      </x:c>
      <x:c r="E391" t="str">
        <x:v>+1 (312) 555-0189</x:v>
      </x:c>
      <x:c r="F391" t="str">
        <x:v>Chicago, IL</x:v>
      </x:c>
      <x:c r="G391" t="str">
        <x:v>Chicago</x:v>
      </x:c>
      <x:c r="H391" t="str">
        <x:v>IL</x:v>
      </x:c>
      <x:c r="I391" s="18" t="str">
        <x:v>60601</x:v>
      </x:c>
      <x:c r="J391" s="15" t="n">
        <x:v>27899.170443587962</x:v>
      </x:c>
      <x:c r="K391" t="n">
        <x:f>INT((DATE(2025,12,31)-J391)/365.25)</x:f>
        <x:v>49</x:v>
      </x:c>
      <x:c r="L391" t="str">
        <x:f>IF(K391&lt;25,"18-24",IF(K391&lt;35,"25-34",IF(K391&lt;45,"35-44",IF(K391&lt;55,"45-54","55+"))))</x:f>
        <x:v>45-54</x:v>
      </x:c>
      <x:c r="M391" s="15" t="n">
        <x:v>44392.1067256713</x:v>
      </x:c>
      <x:c r="N391" t="n">
        <x:f>(YEAR(DATE(2025,12,31))-YEAR(M391))*12+MONTH(DATE(2025,12,31))-MONTH(M391)</x:f>
        <x:v>53</x:v>
      </x:c>
      <x:c r="O391" t="str">
        <x:v>ACTIVE</x:v>
      </x:c>
      <x:c r="P391" t="str">
        <x:v>INDEPENDENT_CONTRACTOR</x:v>
      </x:c>
      <x:c r="Q391" t="str">
        <x:v>CAR</x:v>
      </x:c>
      <x:c r="R391" t="str">
        <x:v>FLEXIBLE</x:v>
      </x:c>
      <x:c r="S391" t="n">
        <x:v>44</x:v>
      </x:c>
      <x:c r="T391" t="str">
        <x:v>CLEARED</x:v>
      </x:c>
      <x:c r="U391" t="str">
        <x:v>VALID</x:v>
      </x:c>
      <x:c r="V391" s="16" t="n">
        <x:v>0.9632</x:v>
      </x:c>
      <x:c r="W391" t="str">
        <x:v>English</x:v>
      </x:c>
      <x:c r="X391"/>
      <x:c r="Y391" t="n">
        <x:v>5743</x:v>
      </x:c>
      <x:c r="Z391" s="17" t="n">
        <x:v>4.39</x:v>
      </x:c>
      <x:c r="AA391" s="16" t="n">
        <x:v>0.7706</x:v>
      </x:c>
      <x:c r="AB391" s="16" t="n">
        <x:v>0.9725</x:v>
      </x:c>
      <x:c r="AC391" s="16" t="n">
        <x:v>0.9005</x:v>
      </x:c>
      <x:c r="AD391" t="n">
        <x:v>3</x:v>
      </x:c>
      <x:c r="AE391" t="str">
        <x:f>IF(O391&lt;&gt;"ACTIVE","NOT_RATED",IF(AND(Z391&gt;=4.8,AB391&gt;=0.97,AC391&gt;=0.93,AD391=0),"ELITE",IF(AND(Z391&gt;=4.6,AB391&gt;=0.94,AC391&gt;=0.88),"HIGH_PERFORMER",IF(OR(Z391&lt;4.2,AB391&lt;0.85,AD391&gt;=2),"AT_RISK","STANDARD"))))</x:f>
        <x:v>AT_RISK</x:v>
      </x:c>
      <x:c r="AF391" s="15" t="n">
        <x:v>46008</x:v>
      </x:c>
      <x:c r="AG391" t="str">
        <x:v>VERIFIED</x:v>
      </x:c>
      <x:c r="AH391" t="str">
        <x:v>COMPLETE</x:v>
      </x:c>
      <x:c r="AI391" t="str">
        <x:v>Morgan Jones</x:v>
      </x:c>
      <x:c r="AJ391" t="str">
        <x:v>SPOUSE_PARTNER</x:v>
      </x:c>
      <x:c r="AK391" t="str">
        <x:v>+1 (312) 555-0146</x:v>
      </x:c>
    </x:row>
    <x:row r="392" ht="18" customHeight="1">
      <x:c r="A392" t="str">
        <x:v>DHR-00391</x:v>
      </x:c>
      <x:c r="B392" t="str">
        <x:v>Morgan Brown</x:v>
      </x:c>
      <x:c r="C392" t="str">
        <x:v>https://api.dicebear.com/9.x/adventurer/png?seed=DHR-00391-Morgan%20Brown&amp;size=256&amp;radius=50&amp;backgroundColor=b6e3f4,c0aede,d1d4f9,ffd5dc,ffdfbf</x:v>
      </x:c>
      <x:c r="D392" t="str">
        <x:v>morgan.brown.391@example.com</x:v>
      </x:c>
      <x:c r="E392" t="str">
        <x:v>+1 (404) 555-0190</x:v>
      </x:c>
      <x:c r="F392" t="str">
        <x:v>Atlanta, GA</x:v>
      </x:c>
      <x:c r="G392" t="str">
        <x:v>Atlanta</x:v>
      </x:c>
      <x:c r="H392" t="str">
        <x:v>GA</x:v>
      </x:c>
      <x:c r="I392" s="18" t="str">
        <x:v>30303</x:v>
      </x:c>
      <x:c r="J392" s="15" t="n">
        <x:v>24218.20341375</x:v>
      </x:c>
      <x:c r="K392" t="n">
        <x:f>INT((DATE(2025,12,31)-J392)/365.25)</x:f>
        <x:v>59</x:v>
      </x:c>
      <x:c r="L392" t="str">
        <x:f>IF(K392&lt;25,"18-24",IF(K392&lt;35,"25-34",IF(K392&lt;45,"35-44",IF(K392&lt;55,"45-54","55+"))))</x:f>
        <x:v>55+</x:v>
      </x:c>
      <x:c r="M392" s="15" t="n">
        <x:v>45026.00566954861</x:v>
      </x:c>
      <x:c r="N392" t="n">
        <x:f>(YEAR(DATE(2025,12,31))-YEAR(M392))*12+MONTH(DATE(2025,12,31))-MONTH(M392)</x:f>
        <x:v>32</x:v>
      </x:c>
      <x:c r="O392" t="str">
        <x:v>ACTIVE</x:v>
      </x:c>
      <x:c r="P392" t="str">
        <x:v>INDEPENDENT_CONTRACTOR</x:v>
      </x:c>
      <x:c r="Q392" t="str">
        <x:v>BICYCLE</x:v>
      </x:c>
      <x:c r="R392" t="str">
        <x:v>DINNER</x:v>
      </x:c>
      <x:c r="S392" t="n">
        <x:v>23</x:v>
      </x:c>
      <x:c r="T392" t="str">
        <x:v>CLEARED</x:v>
      </x:c>
      <x:c r="U392" t="str">
        <x:v>NOT_REQUIRED</x:v>
      </x:c>
      <x:c r="V392" s="16" t="n">
        <x:v>0.9703</x:v>
      </x:c>
      <x:c r="W392" t="str">
        <x:v>English</x:v>
      </x:c>
      <x:c r="X392"/>
      <x:c r="Y392" t="n">
        <x:v>2186</x:v>
      </x:c>
      <x:c r="Z392" s="17" t="n">
        <x:v>4.9</x:v>
      </x:c>
      <x:c r="AA392" s="16" t="n">
        <x:v>0.7033</x:v>
      </x:c>
      <x:c r="AB392" s="16" t="n">
        <x:v>0.8957</x:v>
      </x:c>
      <x:c r="AC392" s="16" t="n">
        <x:v>0.9502</x:v>
      </x:c>
      <x:c r="AD392" t="n">
        <x:v>0</x:v>
      </x:c>
      <x:c r="AE392" t="str">
        <x:f>IF(O392&lt;&gt;"ACTIVE","NOT_RATED",IF(AND(Z392&gt;=4.8,AB392&gt;=0.97,AC392&gt;=0.93,AD392=0),"ELITE",IF(AND(Z392&gt;=4.6,AB392&gt;=0.94,AC392&gt;=0.88),"HIGH_PERFORMER",IF(OR(Z392&lt;4.2,AB392&lt;0.85,AD392&gt;=2),"AT_RISK","STANDARD"))))</x:f>
        <x:v>STANDARD</x:v>
      </x:c>
      <x:c r="AF392" s="15" t="n">
        <x:v>46013</x:v>
      </x:c>
      <x:c r="AG392" t="str">
        <x:v>VERIFIED</x:v>
      </x:c>
      <x:c r="AH392" t="str">
        <x:v>COMPLETE</x:v>
      </x:c>
      <x:c r="AI392" t="str">
        <x:v>Cameron Clark</x:v>
      </x:c>
      <x:c r="AJ392" t="str">
        <x:v>SIBLING</x:v>
      </x:c>
      <x:c r="AK392" t="str">
        <x:v>+1 (404) 555-0153</x:v>
      </x:c>
    </x:row>
    <x:row r="393" ht="18" customHeight="1">
      <x:c r="A393" t="str">
        <x:v>DHR-00392</x:v>
      </x:c>
      <x:c r="B393" t="str">
        <x:v>Morgan Clark</x:v>
      </x:c>
      <x:c r="C393" t="str">
        <x:v>https://api.dicebear.com/9.x/adventurer/png?seed=DHR-00392-Morgan%20Clark&amp;size=256&amp;radius=50&amp;backgroundColor=b6e3f4,c0aede,d1d4f9,ffd5dc,ffdfbf</x:v>
      </x:c>
      <x:c r="D393" t="str">
        <x:v>morgan.clark.392@example.com</x:v>
      </x:c>
      <x:c r="E393" t="str">
        <x:v>+1 (614) 555-0191</x:v>
      </x:c>
      <x:c r="F393" t="str">
        <x:v>Columbus, OH</x:v>
      </x:c>
      <x:c r="G393" t="str">
        <x:v>Columbus</x:v>
      </x:c>
      <x:c r="H393" t="str">
        <x:v>OH</x:v>
      </x:c>
      <x:c r="I393" s="18" t="str">
        <x:v>43215</x:v>
      </x:c>
      <x:c r="J393" s="15" t="n">
        <x:v>25680.902462962964</x:v>
      </x:c>
      <x:c r="K393" t="n">
        <x:f>INT((DATE(2025,12,31)-J393)/365.25)</x:f>
        <x:v>55</x:v>
      </x:c>
      <x:c r="L393" t="str">
        <x:f>IF(K393&lt;25,"18-24",IF(K393&lt;35,"25-34",IF(K393&lt;45,"35-44",IF(K393&lt;55,"45-54","55+"))))</x:f>
        <x:v>55+</x:v>
      </x:c>
      <x:c r="M393" s="15" t="n">
        <x:v>43639.26536898148</x:v>
      </x:c>
      <x:c r="N393" t="n">
        <x:f>(YEAR(DATE(2025,12,31))-YEAR(M393))*12+MONTH(DATE(2025,12,31))-MONTH(M393)</x:f>
        <x:v>78</x:v>
      </x:c>
      <x:c r="O393" t="str">
        <x:v>ACTIVE</x:v>
      </x:c>
      <x:c r="P393" t="str">
        <x:v>INDEPENDENT_CONTRACTOR</x:v>
      </x:c>
      <x:c r="Q393" t="str">
        <x:v>BICYCLE</x:v>
      </x:c>
      <x:c r="R393" t="str">
        <x:v>FLEXIBLE</x:v>
      </x:c>
      <x:c r="S393" t="n">
        <x:v>20</x:v>
      </x:c>
      <x:c r="T393" t="str">
        <x:v>CLEARED</x:v>
      </x:c>
      <x:c r="U393" t="str">
        <x:v>NOT_REQUIRED</x:v>
      </x:c>
      <x:c r="V393" s="16" t="n">
        <x:v>0.9131</x:v>
      </x:c>
      <x:c r="W393" t="str">
        <x:v>Vietnamese</x:v>
      </x:c>
      <x:c r="X393" t="str">
        <x:v>Mandarin</x:v>
      </x:c>
      <x:c r="Y393" t="n">
        <x:v>3513</x:v>
      </x:c>
      <x:c r="Z393" s="17" t="n">
        <x:v>4.24</x:v>
      </x:c>
      <x:c r="AA393" s="16" t="n">
        <x:v>0.9844</x:v>
      </x:c>
      <x:c r="AB393" s="16" t="n">
        <x:v>0.9876</x:v>
      </x:c>
      <x:c r="AC393" s="16" t="n">
        <x:v>0.9055</x:v>
      </x:c>
      <x:c r="AD393" t="n">
        <x:v>0</x:v>
      </x:c>
      <x:c r="AE393" t="str">
        <x:f>IF(O393&lt;&gt;"ACTIVE","NOT_RATED",IF(AND(Z393&gt;=4.8,AB393&gt;=0.97,AC393&gt;=0.93,AD393=0),"ELITE",IF(AND(Z393&gt;=4.6,AB393&gt;=0.94,AC393&gt;=0.88),"HIGH_PERFORMER",IF(OR(Z393&lt;4.2,AB393&lt;0.85,AD393&gt;=2),"AT_RISK","STANDARD"))))</x:f>
        <x:v>STANDARD</x:v>
      </x:c>
      <x:c r="AF393" s="15" t="n">
        <x:v>46015</x:v>
      </x:c>
      <x:c r="AG393" t="str">
        <x:v>VERIFIED</x:v>
      </x:c>
      <x:c r="AH393" t="str">
        <x:v>COMPLETE</x:v>
      </x:c>
      <x:c r="AI393" t="str">
        <x:v>Jesse Anderson</x:v>
      </x:c>
      <x:c r="AJ393" t="str">
        <x:v>SIBLING</x:v>
      </x:c>
      <x:c r="AK393" t="str">
        <x:v>+1 (614) 555-0160</x:v>
      </x:c>
    </x:row>
    <x:row r="394" ht="18" customHeight="1">
      <x:c r="A394" t="str">
        <x:v>DHR-00393</x:v>
      </x:c>
      <x:c r="B394" t="str">
        <x:v>Morgan Davis</x:v>
      </x:c>
      <x:c r="C394" t="str">
        <x:v>https://api.dicebear.com/9.x/adventurer/png?seed=DHR-00393-Morgan%20Davis&amp;size=256&amp;radius=50&amp;backgroundColor=b6e3f4,c0aede,d1d4f9,ffd5dc,ffdfbf</x:v>
      </x:c>
      <x:c r="D394" t="str">
        <x:v>morgan.davis.393@example.com</x:v>
      </x:c>
      <x:c r="E394" t="str">
        <x:v>+1 (415) 555-0192</x:v>
      </x:c>
      <x:c r="F394" t="str">
        <x:v>San Francisco, CA</x:v>
      </x:c>
      <x:c r="G394" t="str">
        <x:v>San Francisco</x:v>
      </x:c>
      <x:c r="H394" t="str">
        <x:v>CA</x:v>
      </x:c>
      <x:c r="I394" s="18" t="str">
        <x:v>94103</x:v>
      </x:c>
      <x:c r="J394" s="15" t="n">
        <x:v>30441.226441296298</x:v>
      </x:c>
      <x:c r="K394" t="n">
        <x:f>INT((DATE(2025,12,31)-J394)/365.25)</x:f>
        <x:v>42</x:v>
      </x:c>
      <x:c r="L394" t="str">
        <x:f>IF(K394&lt;25,"18-24",IF(K394&lt;35,"25-34",IF(K394&lt;45,"35-44",IF(K394&lt;55,"45-54","55+"))))</x:f>
        <x:v>35-44</x:v>
      </x:c>
      <x:c r="M394" s="15" t="n">
        <x:v>44101.34670289352</x:v>
      </x:c>
      <x:c r="N394" t="n">
        <x:f>(YEAR(DATE(2025,12,31))-YEAR(M394))*12+MONTH(DATE(2025,12,31))-MONTH(M394)</x:f>
        <x:v>63</x:v>
      </x:c>
      <x:c r="O394" t="str">
        <x:v>ACTIVE</x:v>
      </x:c>
      <x:c r="P394" t="str">
        <x:v>INDEPENDENT_CONTRACTOR</x:v>
      </x:c>
      <x:c r="Q394" t="str">
        <x:v>CAR</x:v>
      </x:c>
      <x:c r="R394" t="str">
        <x:v>DINNER</x:v>
      </x:c>
      <x:c r="S394" t="n">
        <x:v>11</x:v>
      </x:c>
      <x:c r="T394" t="str">
        <x:v>CLEARED</x:v>
      </x:c>
      <x:c r="U394" t="str">
        <x:v>VALID</x:v>
      </x:c>
      <x:c r="V394" s="16" t="n">
        <x:v>0.8006</x:v>
      </x:c>
      <x:c r="W394" t="str">
        <x:v>English</x:v>
      </x:c>
      <x:c r="X394"/>
      <x:c r="Y394" t="n">
        <x:v>1397</x:v>
      </x:c>
      <x:c r="Z394" s="17" t="n">
        <x:v>4.37</x:v>
      </x:c>
      <x:c r="AA394" s="16" t="n">
        <x:v>0.99</x:v>
      </x:c>
      <x:c r="AB394" s="16" t="n">
        <x:v>0.888</x:v>
      </x:c>
      <x:c r="AC394" s="16" t="n">
        <x:v>0.9082</x:v>
      </x:c>
      <x:c r="AD394" t="n">
        <x:v>0</x:v>
      </x:c>
      <x:c r="AE394" t="str">
        <x:f>IF(O394&lt;&gt;"ACTIVE","NOT_RATED",IF(AND(Z394&gt;=4.8,AB394&gt;=0.97,AC394&gt;=0.93,AD394=0),"ELITE",IF(AND(Z394&gt;=4.6,AB394&gt;=0.94,AC394&gt;=0.88),"HIGH_PERFORMER",IF(OR(Z394&lt;4.2,AB394&lt;0.85,AD394&gt;=2),"AT_RISK","STANDARD"))))</x:f>
        <x:v>STANDARD</x:v>
      </x:c>
      <x:c r="AF394" s="15" t="n">
        <x:v>46022</x:v>
      </x:c>
      <x:c r="AG394" t="str">
        <x:v>VERIFIED</x:v>
      </x:c>
      <x:c r="AH394" t="str">
        <x:v>COMPLETE</x:v>
      </x:c>
      <x:c r="AI394" t="str">
        <x:v>Ethan Davis</x:v>
      </x:c>
      <x:c r="AJ394" t="str">
        <x:v>SIBLING</x:v>
      </x:c>
      <x:c r="AK394" t="str">
        <x:v>+1 (415) 555-0167</x:v>
      </x:c>
    </x:row>
    <x:row r="395" ht="18" customHeight="1">
      <x:c r="A395" t="str">
        <x:v>DHR-00394</x:v>
      </x:c>
      <x:c r="B395" t="str">
        <x:v>Morgan Garcia</x:v>
      </x:c>
      <x:c r="C395" t="str">
        <x:v>https://api.dicebear.com/9.x/adventurer/png?seed=DHR-00394-Morgan%20Garcia&amp;size=256&amp;radius=50&amp;backgroundColor=b6e3f4,c0aede,d1d4f9,ffd5dc,ffdfbf</x:v>
      </x:c>
      <x:c r="D395" t="str">
        <x:v>morgan.garcia.394@example.com</x:v>
      </x:c>
      <x:c r="E395" t="str">
        <x:v>+1 (312) 555-0193</x:v>
      </x:c>
      <x:c r="F395" t="str">
        <x:v>Chicago, IL</x:v>
      </x:c>
      <x:c r="G395" t="str">
        <x:v>Chicago</x:v>
      </x:c>
      <x:c r="H395" t="str">
        <x:v>IL</x:v>
      </x:c>
      <x:c r="I395" s="18" t="str">
        <x:v>60601</x:v>
      </x:c>
      <x:c r="J395" s="15" t="n">
        <x:v>26619.25910809028</x:v>
      </x:c>
      <x:c r="K395" t="n">
        <x:f>INT((DATE(2025,12,31)-J395)/365.25)</x:f>
        <x:v>53</x:v>
      </x:c>
      <x:c r="L395" t="str">
        <x:f>IF(K395&lt;25,"18-24",IF(K395&lt;35,"25-34",IF(K395&lt;45,"35-44",IF(K395&lt;55,"45-54","55+"))))</x:f>
        <x:v>45-54</x:v>
      </x:c>
      <x:c r="M395" s="15" t="n">
        <x:v>44191.27339606482</x:v>
      </x:c>
      <x:c r="N395" t="n">
        <x:f>(YEAR(DATE(2025,12,31))-YEAR(M395))*12+MONTH(DATE(2025,12,31))-MONTH(M395)</x:f>
        <x:v>60</x:v>
      </x:c>
      <x:c r="O395" t="str">
        <x:v>ACTIVE</x:v>
      </x:c>
      <x:c r="P395" t="str">
        <x:v>INDEPENDENT_CONTRACTOR</x:v>
      </x:c>
      <x:c r="Q395" t="str">
        <x:v>CAR</x:v>
      </x:c>
      <x:c r="R395" t="str">
        <x:v>DINNER</x:v>
      </x:c>
      <x:c r="S395" t="n">
        <x:v>20</x:v>
      </x:c>
      <x:c r="T395" t="str">
        <x:v>CLEARED</x:v>
      </x:c>
      <x:c r="U395" t="str">
        <x:v>VALID</x:v>
      </x:c>
      <x:c r="V395" s="16" t="n">
        <x:v>0.8688</x:v>
      </x:c>
      <x:c r="W395" t="str">
        <x:v>French</x:v>
      </x:c>
      <x:c r="X395"/>
      <x:c r="Y395" t="n">
        <x:v>3929</x:v>
      </x:c>
      <x:c r="Z395" s="17" t="n">
        <x:v>4.73</x:v>
      </x:c>
      <x:c r="AA395" s="16" t="n">
        <x:v>0.9125</x:v>
      </x:c>
      <x:c r="AB395" s="16" t="n">
        <x:v>0.9498</x:v>
      </x:c>
      <x:c r="AC395" s="16" t="n">
        <x:v>0.9282</x:v>
      </x:c>
      <x:c r="AD395" t="n">
        <x:v>0</x:v>
      </x:c>
      <x:c r="AE395" t="str">
        <x:f>IF(O395&lt;&gt;"ACTIVE","NOT_RATED",IF(AND(Z395&gt;=4.8,AB395&gt;=0.97,AC395&gt;=0.93,AD395=0),"ELITE",IF(AND(Z395&gt;=4.6,AB395&gt;=0.94,AC395&gt;=0.88),"HIGH_PERFORMER",IF(OR(Z395&lt;4.2,AB395&lt;0.85,AD395&gt;=2),"AT_RISK","STANDARD"))))</x:f>
        <x:v>HIGH_PERFORMER</x:v>
      </x:c>
      <x:c r="AF395" s="15" t="n">
        <x:v>46010</x:v>
      </x:c>
      <x:c r="AG395" t="str">
        <x:v>VERIFIED</x:v>
      </x:c>
      <x:c r="AH395" t="str">
        <x:v>COMPLETE</x:v>
      </x:c>
      <x:c r="AI395" t="str">
        <x:v>Ethan Johnson</x:v>
      </x:c>
      <x:c r="AJ395" t="str">
        <x:v>SPOUSE_PARTNER</x:v>
      </x:c>
      <x:c r="AK395" t="str">
        <x:v>+1 (312) 555-0174</x:v>
      </x:c>
    </x:row>
    <x:row r="396" ht="18" customHeight="1">
      <x:c r="A396" t="str">
        <x:v>DHR-00395</x:v>
      </x:c>
      <x:c r="B396" t="str">
        <x:v>Morgan Harris</x:v>
      </x:c>
      <x:c r="C396" t="str">
        <x:v>https://api.dicebear.com/9.x/adventurer/png?seed=DHR-00395-Morgan%20Harris&amp;size=256&amp;radius=50&amp;backgroundColor=b6e3f4,c0aede,d1d4f9,ffd5dc,ffdfbf</x:v>
      </x:c>
      <x:c r="D396" t="str">
        <x:v>morgan.harris.395@example.com</x:v>
      </x:c>
      <x:c r="E396" t="str">
        <x:v>+1 (713) 555-0194</x:v>
      </x:c>
      <x:c r="F396" t="str">
        <x:v>Houston, TX</x:v>
      </x:c>
      <x:c r="G396" t="str">
        <x:v>Houston</x:v>
      </x:c>
      <x:c r="H396" t="str">
        <x:v>TX</x:v>
      </x:c>
      <x:c r="I396" s="18" t="str">
        <x:v>77002</x:v>
      </x:c>
      <x:c r="J396" s="15" t="n">
        <x:v>26544.319865914353</x:v>
      </x:c>
      <x:c r="K396" t="n">
        <x:f>INT((DATE(2025,12,31)-J396)/365.25)</x:f>
        <x:v>53</x:v>
      </x:c>
      <x:c r="L396" t="str">
        <x:f>IF(K396&lt;25,"18-24",IF(K396&lt;35,"25-34",IF(K396&lt;45,"35-44",IF(K396&lt;55,"45-54","55+"))))</x:f>
        <x:v>45-54</x:v>
      </x:c>
      <x:c r="M396" s="15" t="n">
        <x:v>43500.781707152775</x:v>
      </x:c>
      <x:c r="N396" t="n">
        <x:f>(YEAR(DATE(2025,12,31))-YEAR(M396))*12+MONTH(DATE(2025,12,31))-MONTH(M396)</x:f>
        <x:v>82</x:v>
      </x:c>
      <x:c r="O396" t="str">
        <x:v>ACTIVE</x:v>
      </x:c>
      <x:c r="P396" t="str">
        <x:v>INDEPENDENT_CONTRACTOR</x:v>
      </x:c>
      <x:c r="Q396" t="str">
        <x:v>CAR</x:v>
      </x:c>
      <x:c r="R396" t="str">
        <x:v>DINNER</x:v>
      </x:c>
      <x:c r="S396" t="n">
        <x:v>14</x:v>
      </x:c>
      <x:c r="T396" t="str">
        <x:v>PENDING</x:v>
      </x:c>
      <x:c r="U396" t="str">
        <x:v>VALID</x:v>
      </x:c>
      <x:c r="V396" s="16" t="n">
        <x:v>0.8628</x:v>
      </x:c>
      <x:c r="W396" t="str">
        <x:v>English</x:v>
      </x:c>
      <x:c r="X396"/>
      <x:c r="Y396" t="n">
        <x:v>3108</x:v>
      </x:c>
      <x:c r="Z396" s="17" t="n">
        <x:v>4.83</x:v>
      </x:c>
      <x:c r="AA396" s="16" t="n">
        <x:v>0.9742</x:v>
      </x:c>
      <x:c r="AB396" s="16" t="n">
        <x:v>0.9342</x:v>
      </x:c>
      <x:c r="AC396" s="16" t="n">
        <x:v>0.9468</x:v>
      </x:c>
      <x:c r="AD396" t="n">
        <x:v>0</x:v>
      </x:c>
      <x:c r="AE396" t="str">
        <x:f>IF(O396&lt;&gt;"ACTIVE","NOT_RATED",IF(AND(Z396&gt;=4.8,AB396&gt;=0.97,AC396&gt;=0.93,AD396=0),"ELITE",IF(AND(Z396&gt;=4.6,AB396&gt;=0.94,AC396&gt;=0.88),"HIGH_PERFORMER",IF(OR(Z396&lt;4.2,AB396&lt;0.85,AD396&gt;=2),"AT_RISK","STANDARD"))))</x:f>
        <x:v>STANDARD</x:v>
      </x:c>
      <x:c r="AF396" s="15" t="n">
        <x:v>46015</x:v>
      </x:c>
      <x:c r="AG396" t="str">
        <x:v>VERIFIED</x:v>
      </x:c>
      <x:c r="AH396" t="str">
        <x:v>COMPLETE</x:v>
      </x:c>
      <x:c r="AI396" t="str">
        <x:v>Casey Johnson</x:v>
      </x:c>
      <x:c r="AJ396" t="str">
        <x:v>PARENT</x:v>
      </x:c>
      <x:c r="AK396" t="str">
        <x:v>+1 (713) 555-0181</x:v>
      </x:c>
    </x:row>
    <x:row r="397" ht="18" customHeight="1">
      <x:c r="A397" t="str">
        <x:v>DHR-00396</x:v>
      </x:c>
      <x:c r="B397" t="str">
        <x:v>Morgan Jackson</x:v>
      </x:c>
      <x:c r="C397" t="str">
        <x:v>https://api.dicebear.com/9.x/adventurer/png?seed=DHR-00396-Morgan%20Jackson&amp;size=256&amp;radius=50&amp;backgroundColor=b6e3f4,c0aede,d1d4f9,ffd5dc,ffdfbf</x:v>
      </x:c>
      <x:c r="D397" t="str">
        <x:v>morgan.jackson.396@example.com</x:v>
      </x:c>
      <x:c r="E397" t="str">
        <x:v>+1 (305) 555-0195</x:v>
      </x:c>
      <x:c r="F397" t="str">
        <x:v>Miami, FL</x:v>
      </x:c>
      <x:c r="G397" t="str">
        <x:v>Miami</x:v>
      </x:c>
      <x:c r="H397" t="str">
        <x:v>FL</x:v>
      </x:c>
      <x:c r="I397" s="18" t="str">
        <x:v>33130</x:v>
      </x:c>
      <x:c r="J397" s="15" t="n">
        <x:v>34608.27433803241</x:v>
      </x:c>
      <x:c r="K397" t="n">
        <x:f>INT((DATE(2025,12,31)-J397)/365.25)</x:f>
        <x:v>31</x:v>
      </x:c>
      <x:c r="L397" t="str">
        <x:f>IF(K397&lt;25,"18-24",IF(K397&lt;35,"25-34",IF(K397&lt;45,"35-44",IF(K397&lt;55,"45-54","55+"))))</x:f>
        <x:v>25-34</x:v>
      </x:c>
      <x:c r="M397" s="15" t="n">
        <x:v>43715.57183861111</x:v>
      </x:c>
      <x:c r="N397" t="n">
        <x:f>(YEAR(DATE(2025,12,31))-YEAR(M397))*12+MONTH(DATE(2025,12,31))-MONTH(M397)</x:f>
        <x:v>75</x:v>
      </x:c>
      <x:c r="O397" t="str">
        <x:v>ACTIVE</x:v>
      </x:c>
      <x:c r="P397" t="str">
        <x:v>INDEPENDENT_CONTRACTOR</x:v>
      </x:c>
      <x:c r="Q397" t="str">
        <x:v>CAR</x:v>
      </x:c>
      <x:c r="R397" t="str">
        <x:v>FLEXIBLE</x:v>
      </x:c>
      <x:c r="S397" t="n">
        <x:v>44</x:v>
      </x:c>
      <x:c r="T397" t="str">
        <x:v>CLEARED</x:v>
      </x:c>
      <x:c r="U397" t="str">
        <x:v>VALID</x:v>
      </x:c>
      <x:c r="V397" s="16" t="n">
        <x:v>0.8064</x:v>
      </x:c>
      <x:c r="W397" t="str">
        <x:v>English</x:v>
      </x:c>
      <x:c r="X397"/>
      <x:c r="Y397" t="n">
        <x:v>12487</x:v>
      </x:c>
      <x:c r="Z397" s="17" t="n">
        <x:v>4.41</x:v>
      </x:c>
      <x:c r="AA397" s="16" t="n">
        <x:v>0.7112</x:v>
      </x:c>
      <x:c r="AB397" s="16" t="n">
        <x:v>0.9591</x:v>
      </x:c>
      <x:c r="AC397" s="16" t="n">
        <x:v>0.9327</x:v>
      </x:c>
      <x:c r="AD397" t="n">
        <x:v>0</x:v>
      </x:c>
      <x:c r="AE397" t="str">
        <x:f>IF(O397&lt;&gt;"ACTIVE","NOT_RATED",IF(AND(Z397&gt;=4.8,AB397&gt;=0.97,AC397&gt;=0.93,AD397=0),"ELITE",IF(AND(Z397&gt;=4.6,AB397&gt;=0.94,AC397&gt;=0.88),"HIGH_PERFORMER",IF(OR(Z397&lt;4.2,AB397&lt;0.85,AD397&gt;=2),"AT_RISK","STANDARD"))))</x:f>
        <x:v>STANDARD</x:v>
      </x:c>
      <x:c r="AF397" s="15" t="n">
        <x:v>46010</x:v>
      </x:c>
      <x:c r="AG397" t="str">
        <x:v>VERIFIED</x:v>
      </x:c>
      <x:c r="AH397" t="str">
        <x:v>COMPLETE</x:v>
      </x:c>
      <x:c r="AI397" t="str">
        <x:v>Sofia Clark</x:v>
      </x:c>
      <x:c r="AJ397" t="str">
        <x:v>SIBLING</x:v>
      </x:c>
      <x:c r="AK397" t="str">
        <x:v>+1 (305) 555-0188</x:v>
      </x:c>
    </x:row>
    <x:row r="398" ht="18" customHeight="1">
      <x:c r="A398" t="str">
        <x:v>DHR-00397</x:v>
      </x:c>
      <x:c r="B398" t="str">
        <x:v>Morgan Johnson</x:v>
      </x:c>
      <x:c r="C398" t="str">
        <x:v>https://api.dicebear.com/9.x/adventurer/png?seed=DHR-00397-Morgan%20Johnson&amp;size=256&amp;radius=50&amp;backgroundColor=b6e3f4,c0aede,d1d4f9,ffd5dc,ffdfbf</x:v>
      </x:c>
      <x:c r="D398" t="str">
        <x:v>morgan.johnson.397@example.com</x:v>
      </x:c>
      <x:c r="E398" t="str">
        <x:v>+1 (704) 555-0196</x:v>
      </x:c>
      <x:c r="F398" t="str">
        <x:v>Charlotte, NC</x:v>
      </x:c>
      <x:c r="G398" t="str">
        <x:v>Charlotte</x:v>
      </x:c>
      <x:c r="H398" t="str">
        <x:v>NC</x:v>
      </x:c>
      <x:c r="I398" s="18" t="str">
        <x:v>28202</x:v>
      </x:c>
      <x:c r="J398" s="15" t="n">
        <x:v>34368.48162518519</x:v>
      </x:c>
      <x:c r="K398" t="n">
        <x:f>INT((DATE(2025,12,31)-J398)/365.25)</x:f>
        <x:v>31</x:v>
      </x:c>
      <x:c r="L398" t="str">
        <x:f>IF(K398&lt;25,"18-24",IF(K398&lt;35,"25-34",IF(K398&lt;45,"35-44",IF(K398&lt;55,"45-54","55+"))))</x:f>
        <x:v>25-34</x:v>
      </x:c>
      <x:c r="M398" s="15" t="n">
        <x:v>44652.53281064815</x:v>
      </x:c>
      <x:c r="N398" t="n">
        <x:f>(YEAR(DATE(2025,12,31))-YEAR(M398))*12+MONTH(DATE(2025,12,31))-MONTH(M398)</x:f>
        <x:v>44</x:v>
      </x:c>
      <x:c r="O398" t="str">
        <x:v>ACTIVE</x:v>
      </x:c>
      <x:c r="P398" t="str">
        <x:v>INDEPENDENT_CONTRACTOR</x:v>
      </x:c>
      <x:c r="Q398" t="str">
        <x:v>CAR</x:v>
      </x:c>
      <x:c r="R398" t="str">
        <x:v>DINNER</x:v>
      </x:c>
      <x:c r="S398" t="n">
        <x:v>15</x:v>
      </x:c>
      <x:c r="T398" t="str">
        <x:v>CLEARED</x:v>
      </x:c>
      <x:c r="U398" t="str">
        <x:v>VALID</x:v>
      </x:c>
      <x:c r="V398" s="16" t="n">
        <x:v>0.8166</x:v>
      </x:c>
      <x:c r="W398" t="str">
        <x:v>English</x:v>
      </x:c>
      <x:c r="X398"/>
      <x:c r="Y398" t="n">
        <x:v>1883</x:v>
      </x:c>
      <x:c r="Z398" s="17" t="n">
        <x:v>4.95</x:v>
      </x:c>
      <x:c r="AA398" s="16" t="n">
        <x:v>0.7471</x:v>
      </x:c>
      <x:c r="AB398" s="16" t="n">
        <x:v>0.9865</x:v>
      </x:c>
      <x:c r="AC398" s="16" t="n">
        <x:v>0.8643</x:v>
      </x:c>
      <x:c r="AD398" t="n">
        <x:v>0</x:v>
      </x:c>
      <x:c r="AE398" t="str">
        <x:f>IF(O398&lt;&gt;"ACTIVE","NOT_RATED",IF(AND(Z398&gt;=4.8,AB398&gt;=0.97,AC398&gt;=0.93,AD398=0),"ELITE",IF(AND(Z398&gt;=4.6,AB398&gt;=0.94,AC398&gt;=0.88),"HIGH_PERFORMER",IF(OR(Z398&lt;4.2,AB398&lt;0.85,AD398&gt;=2),"AT_RISK","STANDARD"))))</x:f>
        <x:v>STANDARD</x:v>
      </x:c>
      <x:c r="AF398" s="15" t="n">
        <x:v>46013</x:v>
      </x:c>
      <x:c r="AG398" t="str">
        <x:v>VERIFIED</x:v>
      </x:c>
      <x:c r="AH398" t="str">
        <x:v>COMPLETE</x:v>
      </x:c>
      <x:c r="AI398" t="str">
        <x:v>Liam Moore</x:v>
      </x:c>
      <x:c r="AJ398" t="str">
        <x:v>FRIEND</x:v>
      </x:c>
      <x:c r="AK398" t="str">
        <x:v>+1 (704) 555-0195</x:v>
      </x:c>
    </x:row>
    <x:row r="399" ht="18" customHeight="1">
      <x:c r="A399" t="str">
        <x:v>DHR-00398</x:v>
      </x:c>
      <x:c r="B399" t="str">
        <x:v>Morgan Jones</x:v>
      </x:c>
      <x:c r="C399" t="str">
        <x:v>https://api.dicebear.com/9.x/adventurer/png?seed=DHR-00398-Morgan%20Jones&amp;size=256&amp;radius=50&amp;backgroundColor=b6e3f4,c0aede,d1d4f9,ffd5dc,ffdfbf</x:v>
      </x:c>
      <x:c r="D399" t="str">
        <x:v>morgan.jones.398@example.com</x:v>
      </x:c>
      <x:c r="E399" t="str">
        <x:v>+1 (212) 555-0197</x:v>
      </x:c>
      <x:c r="F399" t="str">
        <x:v>New York, NY</x:v>
      </x:c>
      <x:c r="G399" t="str">
        <x:v>New York</x:v>
      </x:c>
      <x:c r="H399" t="str">
        <x:v>NY</x:v>
      </x:c>
      <x:c r="I399" s="18" t="str">
        <x:v>10001</x:v>
      </x:c>
      <x:c r="J399" s="15" t="n">
        <x:v>35264.701691030095</x:v>
      </x:c>
      <x:c r="K399" t="n">
        <x:f>INT((DATE(2025,12,31)-J399)/365.25)</x:f>
        <x:v>29</x:v>
      </x:c>
      <x:c r="L399" t="str">
        <x:f>IF(K399&lt;25,"18-24",IF(K399&lt;35,"25-34",IF(K399&lt;45,"35-44",IF(K399&lt;55,"45-54","55+"))))</x:f>
        <x:v>25-34</x:v>
      </x:c>
      <x:c r="M399" s="15" t="n">
        <x:v>44541.841185335645</x:v>
      </x:c>
      <x:c r="N399" t="n">
        <x:f>(YEAR(DATE(2025,12,31))-YEAR(M399))*12+MONTH(DATE(2025,12,31))-MONTH(M399)</x:f>
        <x:v>48</x:v>
      </x:c>
      <x:c r="O399" t="str">
        <x:v>ACTIVE</x:v>
      </x:c>
      <x:c r="P399" t="str">
        <x:v>INDEPENDENT_CONTRACTOR</x:v>
      </x:c>
      <x:c r="Q399" t="str">
        <x:v>CAR</x:v>
      </x:c>
      <x:c r="R399" t="str">
        <x:v>DINNER</x:v>
      </x:c>
      <x:c r="S399" t="n">
        <x:v>25</x:v>
      </x:c>
      <x:c r="T399" t="str">
        <x:v>CLEARED</x:v>
      </x:c>
      <x:c r="U399" t="str">
        <x:v>VALID</x:v>
      </x:c>
      <x:c r="V399" s="16" t="n">
        <x:v>0.8132</x:v>
      </x:c>
      <x:c r="W399" t="str">
        <x:v>Spanish</x:v>
      </x:c>
      <x:c r="X399" t="str">
        <x:v>English</x:v>
      </x:c>
      <x:c r="Y399" t="n">
        <x:v>3447</x:v>
      </x:c>
      <x:c r="Z399" s="17" t="n">
        <x:v>4.59</x:v>
      </x:c>
      <x:c r="AA399" s="16" t="n">
        <x:v>0.831</x:v>
      </x:c>
      <x:c r="AB399" s="16" t="n">
        <x:v>0.998</x:v>
      </x:c>
      <x:c r="AC399" s="16" t="n">
        <x:v>0.9367</x:v>
      </x:c>
      <x:c r="AD399" t="n">
        <x:v>0</x:v>
      </x:c>
      <x:c r="AE399" t="str">
        <x:f>IF(O399&lt;&gt;"ACTIVE","NOT_RATED",IF(AND(Z399&gt;=4.8,AB399&gt;=0.97,AC399&gt;=0.93,AD399=0),"ELITE",IF(AND(Z399&gt;=4.6,AB399&gt;=0.94,AC399&gt;=0.88),"HIGH_PERFORMER",IF(OR(Z399&lt;4.2,AB399&lt;0.85,AD399&gt;=2),"AT_RISK","STANDARD"))))</x:f>
        <x:v>STANDARD</x:v>
      </x:c>
      <x:c r="AF399" s="15" t="n">
        <x:v>46013</x:v>
      </x:c>
      <x:c r="AG399" t="str">
        <x:v>VERIFIED</x:v>
      </x:c>
      <x:c r="AH399" t="str">
        <x:v>COMPLETE</x:v>
      </x:c>
      <x:c r="AI399" t="str">
        <x:v>Emma Thompson</x:v>
      </x:c>
      <x:c r="AJ399" t="str">
        <x:v>PARENT</x:v>
      </x:c>
      <x:c r="AK399" t="str">
        <x:v>+1 (212) 555-0102</x:v>
      </x:c>
    </x:row>
    <x:row r="400" ht="18" customHeight="1">
      <x:c r="A400" t="str">
        <x:v>DHR-00399</x:v>
      </x:c>
      <x:c r="B400" t="str">
        <x:v>Morgan Lee</x:v>
      </x:c>
      <x:c r="C400" t="str">
        <x:v>https://api.dicebear.com/9.x/adventurer/png?seed=DHR-00399-Morgan%20Lee&amp;size=256&amp;radius=50&amp;backgroundColor=b6e3f4,c0aede,d1d4f9,ffd5dc,ffdfbf</x:v>
      </x:c>
      <x:c r="D400" t="str">
        <x:v>morgan.lee.399@example.com</x:v>
      </x:c>
      <x:c r="E400" t="str">
        <x:v>+1 (713) 555-0198</x:v>
      </x:c>
      <x:c r="F400" t="str">
        <x:v>Houston, TX</x:v>
      </x:c>
      <x:c r="G400" t="str">
        <x:v>Houston</x:v>
      </x:c>
      <x:c r="H400" t="str">
        <x:v>TX</x:v>
      </x:c>
      <x:c r="I400" s="18" t="str">
        <x:v>77002</x:v>
      </x:c>
      <x:c r="J400" s="15" t="n">
        <x:v>32584.812322256945</x:v>
      </x:c>
      <x:c r="K400" t="n">
        <x:f>INT((DATE(2025,12,31)-J400)/365.25)</x:f>
        <x:v>36</x:v>
      </x:c>
      <x:c r="L400" t="str">
        <x:f>IF(K400&lt;25,"18-24",IF(K400&lt;35,"25-34",IF(K400&lt;45,"35-44",IF(K400&lt;55,"45-54","55+"))))</x:f>
        <x:v>35-44</x:v>
      </x:c>
      <x:c r="M400" s="15" t="n">
        <x:v>45021.65931604167</x:v>
      </x:c>
      <x:c r="N400" t="n">
        <x:f>(YEAR(DATE(2025,12,31))-YEAR(M400))*12+MONTH(DATE(2025,12,31))-MONTH(M400)</x:f>
        <x:v>32</x:v>
      </x:c>
      <x:c r="O400" t="str">
        <x:v>ACTIVE</x:v>
      </x:c>
      <x:c r="P400" t="str">
        <x:v>INDEPENDENT_CONTRACTOR</x:v>
      </x:c>
      <x:c r="Q400" t="str">
        <x:v>CAR</x:v>
      </x:c>
      <x:c r="R400" t="str">
        <x:v>DINNER</x:v>
      </x:c>
      <x:c r="S400" t="n">
        <x:v>11</x:v>
      </x:c>
      <x:c r="T400" t="str">
        <x:v>CLEARED</x:v>
      </x:c>
      <x:c r="U400" t="str">
        <x:v>VALID</x:v>
      </x:c>
      <x:c r="V400" s="16" t="n">
        <x:v>0.8663</x:v>
      </x:c>
      <x:c r="W400" t="str">
        <x:v>English</x:v>
      </x:c>
      <x:c r="X400"/>
      <x:c r="Y400" t="n">
        <x:v>1491</x:v>
      </x:c>
      <x:c r="Z400" s="17" t="n">
        <x:v>4.38</x:v>
      </x:c>
      <x:c r="AA400" s="16" t="n">
        <x:v>0.7728</x:v>
      </x:c>
      <x:c r="AB400" s="16" t="n">
        <x:v>0.8928</x:v>
      </x:c>
      <x:c r="AC400" s="16" t="n">
        <x:v>0.849</x:v>
      </x:c>
      <x:c r="AD400" t="n">
        <x:v>0</x:v>
      </x:c>
      <x:c r="AE400" t="str">
        <x:f>IF(O400&lt;&gt;"ACTIVE","NOT_RATED",IF(AND(Z400&gt;=4.8,AB400&gt;=0.97,AC400&gt;=0.93,AD400=0),"ELITE",IF(AND(Z400&gt;=4.6,AB400&gt;=0.94,AC400&gt;=0.88),"HIGH_PERFORMER",IF(OR(Z400&lt;4.2,AB400&lt;0.85,AD400&gt;=2),"AT_RISK","STANDARD"))))</x:f>
        <x:v>STANDARD</x:v>
      </x:c>
      <x:c r="AF400" s="15" t="n">
        <x:v>46014</x:v>
      </x:c>
      <x:c r="AG400" t="str">
        <x:v>PENDING</x:v>
      </x:c>
      <x:c r="AH400" t="str">
        <x:v>COMPLETE</x:v>
      </x:c>
      <x:c r="AI400" t="str">
        <x:v>Sam Jones</x:v>
      </x:c>
      <x:c r="AJ400" t="str">
        <x:v>PARENT</x:v>
      </x:c>
      <x:c r="AK400" t="str">
        <x:v>+1 (713) 555-0109</x:v>
      </x:c>
    </x:row>
    <x:row r="401" ht="18" customHeight="1">
      <x:c r="A401" t="str">
        <x:v>DHR-00400</x:v>
      </x:c>
      <x:c r="B401" t="str">
        <x:v>Morgan Lewis</x:v>
      </x:c>
      <x:c r="C401" t="str">
        <x:v>https://api.dicebear.com/9.x/adventurer/png?seed=DHR-00400-Morgan%20Lewis&amp;size=256&amp;radius=50&amp;backgroundColor=b6e3f4,c0aede,d1d4f9,ffd5dc,ffdfbf</x:v>
      </x:c>
      <x:c r="D401" t="str">
        <x:v>morgan.lewis.400@example.com</x:v>
      </x:c>
      <x:c r="E401" t="str">
        <x:v>+1 (408) 555-0199</x:v>
      </x:c>
      <x:c r="F401" t="str">
        <x:v>San Jose, CA</x:v>
      </x:c>
      <x:c r="G401" t="str">
        <x:v>San Jose</x:v>
      </x:c>
      <x:c r="H401" t="str">
        <x:v>CA</x:v>
      </x:c>
      <x:c r="I401" s="18" t="str">
        <x:v>95113</x:v>
      </x:c>
      <x:c r="J401" s="15" t="n">
        <x:v>24240.793834074073</x:v>
      </x:c>
      <x:c r="K401" t="n">
        <x:f>INT((DATE(2025,12,31)-J401)/365.25)</x:f>
        <x:v>59</x:v>
      </x:c>
      <x:c r="L401" t="str">
        <x:f>IF(K401&lt;25,"18-24",IF(K401&lt;35,"25-34",IF(K401&lt;45,"35-44",IF(K401&lt;55,"45-54","55+"))))</x:f>
        <x:v>55+</x:v>
      </x:c>
      <x:c r="M401" s="15" t="n">
        <x:v>45676.760192037036</x:v>
      </x:c>
      <x:c r="N401" t="n">
        <x:f>(YEAR(DATE(2025,12,31))-YEAR(M401))*12+MONTH(DATE(2025,12,31))-MONTH(M401)</x:f>
        <x:v>11</x:v>
      </x:c>
      <x:c r="O401" t="str">
        <x:v>ACTIVE</x:v>
      </x:c>
      <x:c r="P401" t="str">
        <x:v>INDEPENDENT_CONTRACTOR</x:v>
      </x:c>
      <x:c r="Q401" t="str">
        <x:v>CAR</x:v>
      </x:c>
      <x:c r="R401" t="str">
        <x:v>DINNER</x:v>
      </x:c>
      <x:c r="S401" t="n">
        <x:v>34</x:v>
      </x:c>
      <x:c r="T401" t="str">
        <x:v>CLEARED</x:v>
      </x:c>
      <x:c r="U401" t="str">
        <x:v>VALID</x:v>
      </x:c>
      <x:c r="V401" s="16" t="n">
        <x:v>0.9719</x:v>
      </x:c>
      <x:c r="W401" t="str">
        <x:v>Portuguese</x:v>
      </x:c>
      <x:c r="X401"/>
      <x:c r="Y401" t="n">
        <x:v>829</x:v>
      </x:c>
      <x:c r="Z401" s="17" t="n">
        <x:v>4.89</x:v>
      </x:c>
      <x:c r="AA401" s="16" t="n">
        <x:v>0.8272</x:v>
      </x:c>
      <x:c r="AB401" s="16" t="n">
        <x:v>0.9279</x:v>
      </x:c>
      <x:c r="AC401" s="16" t="n">
        <x:v>0.9184</x:v>
      </x:c>
      <x:c r="AD401" t="n">
        <x:v>0</x:v>
      </x:c>
      <x:c r="AE401" t="str">
        <x:f>IF(O401&lt;&gt;"ACTIVE","NOT_RATED",IF(AND(Z401&gt;=4.8,AB401&gt;=0.97,AC401&gt;=0.93,AD401=0),"ELITE",IF(AND(Z401&gt;=4.6,AB401&gt;=0.94,AC401&gt;=0.88),"HIGH_PERFORMER",IF(OR(Z401&lt;4.2,AB401&lt;0.85,AD401&gt;=2),"AT_RISK","STANDARD"))))</x:f>
        <x:v>STANDARD</x:v>
      </x:c>
      <x:c r="AF401" s="15" t="n">
        <x:v>46015</x:v>
      </x:c>
      <x:c r="AG401" t="str">
        <x:v>VERIFIED</x:v>
      </x:c>
      <x:c r="AH401" t="str">
        <x:v>COMPLETE</x:v>
      </x:c>
      <x:c r="AI401" t="str">
        <x:v>Drew Garcia</x:v>
      </x:c>
      <x:c r="AJ401" t="str">
        <x:v>SPOUSE_PARTNER</x:v>
      </x:c>
      <x:c r="AK401" t="str">
        <x:v>+1 (408) 555-0116</x:v>
      </x:c>
    </x:row>
    <x:row r="402" ht="18" customHeight="1">
      <x:c r="A402" t="str">
        <x:v>DHR-00401</x:v>
      </x:c>
      <x:c r="B402" t="str">
        <x:v>Morgan Martin</x:v>
      </x:c>
      <x:c r="C402" t="str">
        <x:v>https://api.dicebear.com/9.x/adventurer/png?seed=DHR-00401-Morgan%20Martin&amp;size=256&amp;radius=50&amp;backgroundColor=b6e3f4,c0aede,d1d4f9,ffd5dc,ffdfbf</x:v>
      </x:c>
      <x:c r="D402" t="str">
        <x:v>morgan.martin.401@example.com</x:v>
      </x:c>
      <x:c r="E402" t="str">
        <x:v>+1 (213) 555-0100</x:v>
      </x:c>
      <x:c r="F402" t="str">
        <x:v>Los Angeles, CA</x:v>
      </x:c>
      <x:c r="G402" t="str">
        <x:v>Los Angeles</x:v>
      </x:c>
      <x:c r="H402" t="str">
        <x:v>CA</x:v>
      </x:c>
      <x:c r="I402" s="18" t="str">
        <x:v>90012</x:v>
      </x:c>
      <x:c r="J402" s="15" t="n">
        <x:v>32222.794069652777</x:v>
      </x:c>
      <x:c r="K402" t="n">
        <x:f>INT((DATE(2025,12,31)-J402)/365.25)</x:f>
        <x:v>37</x:v>
      </x:c>
      <x:c r="L402" t="str">
        <x:f>IF(K402&lt;25,"18-24",IF(K402&lt;35,"25-34",IF(K402&lt;45,"35-44",IF(K402&lt;55,"45-54","55+"))))</x:f>
        <x:v>35-44</x:v>
      </x:c>
      <x:c r="M402" s="15" t="n">
        <x:v>44230.531734791664</x:v>
      </x:c>
      <x:c r="N402" t="n">
        <x:f>(YEAR(DATE(2025,12,31))-YEAR(M402))*12+MONTH(DATE(2025,12,31))-MONTH(M402)</x:f>
        <x:v>58</x:v>
      </x:c>
      <x:c r="O402" t="str">
        <x:v>ACTIVE</x:v>
      </x:c>
      <x:c r="P402" t="str">
        <x:v>INDEPENDENT_CONTRACTOR</x:v>
      </x:c>
      <x:c r="Q402" t="str">
        <x:v>CAR</x:v>
      </x:c>
      <x:c r="R402" t="str">
        <x:v>DINNER</x:v>
      </x:c>
      <x:c r="S402" t="n">
        <x:v>25</x:v>
      </x:c>
      <x:c r="T402" t="str">
        <x:v>CLEARED</x:v>
      </x:c>
      <x:c r="U402" t="str">
        <x:v>VALID</x:v>
      </x:c>
      <x:c r="V402" s="16" t="n">
        <x:v>0.9188</x:v>
      </x:c>
      <x:c r="W402" t="str">
        <x:v>English</x:v>
      </x:c>
      <x:c r="X402"/>
      <x:c r="Y402" t="n">
        <x:v>4034</x:v>
      </x:c>
      <x:c r="Z402" s="17" t="n">
        <x:v>4.61</x:v>
      </x:c>
      <x:c r="AA402" s="16" t="n">
        <x:v>0.8624</x:v>
      </x:c>
      <x:c r="AB402" s="16" t="n">
        <x:v>0.9631</x:v>
      </x:c>
      <x:c r="AC402" s="16" t="n">
        <x:v>0.9608</x:v>
      </x:c>
      <x:c r="AD402" t="n">
        <x:v>1</x:v>
      </x:c>
      <x:c r="AE402" t="str">
        <x:f>IF(O402&lt;&gt;"ACTIVE","NOT_RATED",IF(AND(Z402&gt;=4.8,AB402&gt;=0.97,AC402&gt;=0.93,AD402=0),"ELITE",IF(AND(Z402&gt;=4.6,AB402&gt;=0.94,AC402&gt;=0.88),"HIGH_PERFORMER",IF(OR(Z402&lt;4.2,AB402&lt;0.85,AD402&gt;=2),"AT_RISK","STANDARD"))))</x:f>
        <x:v>HIGH_PERFORMER</x:v>
      </x:c>
      <x:c r="AF402" s="15" t="n">
        <x:v>46020</x:v>
      </x:c>
      <x:c r="AG402" t="str">
        <x:v>VERIFIED</x:v>
      </x:c>
      <x:c r="AH402" t="str">
        <x:v>COMPLETE</x:v>
      </x:c>
      <x:c r="AI402" t="str">
        <x:v>Jordan Brown</x:v>
      </x:c>
      <x:c r="AJ402" t="str">
        <x:v>SPOUSE_PARTNER</x:v>
      </x:c>
      <x:c r="AK402" t="str">
        <x:v>+1 (213) 555-0123</x:v>
      </x:c>
    </x:row>
    <x:row r="403" ht="18" customHeight="1">
      <x:c r="A403" t="str">
        <x:v>DHR-00402</x:v>
      </x:c>
      <x:c r="B403" t="str">
        <x:v>Morgan Martinez</x:v>
      </x:c>
      <x:c r="C403" t="str">
        <x:v>https://api.dicebear.com/9.x/adventurer/png?seed=DHR-00402-Morgan%20Martinez&amp;size=256&amp;radius=50&amp;backgroundColor=b6e3f4,c0aede,d1d4f9,ffd5dc,ffdfbf</x:v>
      </x:c>
      <x:c r="D403" t="str">
        <x:v>morgan.martinez.402@example.com</x:v>
      </x:c>
      <x:c r="E403" t="str">
        <x:v>+1 (512) 555-0101</x:v>
      </x:c>
      <x:c r="F403" t="str">
        <x:v>Austin, TX</x:v>
      </x:c>
      <x:c r="G403" t="str">
        <x:v>Austin</x:v>
      </x:c>
      <x:c r="H403" t="str">
        <x:v>TX</x:v>
      </x:c>
      <x:c r="I403" s="18" t="str">
        <x:v>78701</x:v>
      </x:c>
      <x:c r="J403" s="15" t="n">
        <x:v>26151.675768368055</x:v>
      </x:c>
      <x:c r="K403" t="n">
        <x:f>INT((DATE(2025,12,31)-J403)/365.25)</x:f>
        <x:v>54</x:v>
      </x:c>
      <x:c r="L403" t="str">
        <x:f>IF(K403&lt;25,"18-24",IF(K403&lt;35,"25-34",IF(K403&lt;45,"35-44",IF(K403&lt;55,"45-54","55+"))))</x:f>
        <x:v>45-54</x:v>
      </x:c>
      <x:c r="M403" s="15" t="n">
        <x:v>44740.147174108795</x:v>
      </x:c>
      <x:c r="N403" t="n">
        <x:f>(YEAR(DATE(2025,12,31))-YEAR(M403))*12+MONTH(DATE(2025,12,31))-MONTH(M403)</x:f>
        <x:v>42</x:v>
      </x:c>
      <x:c r="O403" t="str">
        <x:v>ACTIVE</x:v>
      </x:c>
      <x:c r="P403" t="str">
        <x:v>INDEPENDENT_CONTRACTOR</x:v>
      </x:c>
      <x:c r="Q403" t="str">
        <x:v>CAR</x:v>
      </x:c>
      <x:c r="R403" t="str">
        <x:v>DINNER</x:v>
      </x:c>
      <x:c r="S403" t="n">
        <x:v>27</x:v>
      </x:c>
      <x:c r="T403" t="str">
        <x:v>CLEARED</x:v>
      </x:c>
      <x:c r="U403" t="str">
        <x:v>VALID</x:v>
      </x:c>
      <x:c r="V403" s="16" t="n">
        <x:v>0.8095</x:v>
      </x:c>
      <x:c r="W403" t="str">
        <x:v>English</x:v>
      </x:c>
      <x:c r="X403"/>
      <x:c r="Y403" t="n">
        <x:v>2892</x:v>
      </x:c>
      <x:c r="Z403" s="17" t="n">
        <x:v>4.39</x:v>
      </x:c>
      <x:c r="AA403" s="16" t="n">
        <x:v>0.6088</x:v>
      </x:c>
      <x:c r="AB403" s="16" t="n">
        <x:v>0.9081</x:v>
      </x:c>
      <x:c r="AC403" s="16" t="n">
        <x:v>0.9078</x:v>
      </x:c>
      <x:c r="AD403" t="n">
        <x:v>0</x:v>
      </x:c>
      <x:c r="AE403" t="str">
        <x:f>IF(O403&lt;&gt;"ACTIVE","NOT_RATED",IF(AND(Z403&gt;=4.8,AB403&gt;=0.97,AC403&gt;=0.93,AD403=0),"ELITE",IF(AND(Z403&gt;=4.6,AB403&gt;=0.94,AC403&gt;=0.88),"HIGH_PERFORMER",IF(OR(Z403&lt;4.2,AB403&lt;0.85,AD403&gt;=2),"AT_RISK","STANDARD"))))</x:f>
        <x:v>STANDARD</x:v>
      </x:c>
      <x:c r="AF403" s="15" t="n">
        <x:v>46010</x:v>
      </x:c>
      <x:c r="AG403" t="str">
        <x:v>VERIFIED</x:v>
      </x:c>
      <x:c r="AH403" t="str">
        <x:v>COMPLETE</x:v>
      </x:c>
      <x:c r="AI403" t="str">
        <x:v>Jamie Walker</x:v>
      </x:c>
      <x:c r="AJ403" t="str">
        <x:v>SPOUSE_PARTNER</x:v>
      </x:c>
      <x:c r="AK403" t="str">
        <x:v>+1 (512) 555-0130</x:v>
      </x:c>
    </x:row>
    <x:row r="404" ht="18" customHeight="1">
      <x:c r="A404" t="str">
        <x:v>DHR-00403</x:v>
      </x:c>
      <x:c r="B404" t="str">
        <x:v>Morgan Miller</x:v>
      </x:c>
      <x:c r="C404" t="str">
        <x:v>https://api.dicebear.com/9.x/adventurer/png?seed=DHR-00403-Morgan%20Miller&amp;size=256&amp;radius=50&amp;backgroundColor=b6e3f4,c0aede,d1d4f9,ffd5dc,ffdfbf</x:v>
      </x:c>
      <x:c r="D404" t="str">
        <x:v>morgan.miller.403@example.com</x:v>
      </x:c>
      <x:c r="E404" t="str">
        <x:v>+1 (503) 555-0102</x:v>
      </x:c>
      <x:c r="F404" t="str">
        <x:v>Portland, OR</x:v>
      </x:c>
      <x:c r="G404" t="str">
        <x:v>Portland</x:v>
      </x:c>
      <x:c r="H404" t="str">
        <x:v>OR</x:v>
      </x:c>
      <x:c r="I404" s="18" t="str">
        <x:v>97205</x:v>
      </x:c>
      <x:c r="J404" s="15" t="n">
        <x:v>37383.8488872338</x:v>
      </x:c>
      <x:c r="K404" t="n">
        <x:f>INT((DATE(2025,12,31)-J404)/365.25)</x:f>
        <x:v>23</x:v>
      </x:c>
      <x:c r="L404" t="str">
        <x:f>IF(K404&lt;25,"18-24",IF(K404&lt;35,"25-34",IF(K404&lt;45,"35-44",IF(K404&lt;55,"45-54","55+"))))</x:f>
        <x:v>18-24</x:v>
      </x:c>
      <x:c r="M404" s="15" t="n">
        <x:v>45989.68140555556</x:v>
      </x:c>
      <x:c r="N404" t="n">
        <x:f>(YEAR(DATE(2025,12,31))-YEAR(M404))*12+MONTH(DATE(2025,12,31))-MONTH(M404)</x:f>
        <x:v>1</x:v>
      </x:c>
      <x:c r="O404" t="str">
        <x:v>ACTIVE</x:v>
      </x:c>
      <x:c r="P404" t="str">
        <x:v>INDEPENDENT_CONTRACTOR</x:v>
      </x:c>
      <x:c r="Q404" t="str">
        <x:v>BICYCLE</x:v>
      </x:c>
      <x:c r="R404" t="str">
        <x:v>FLEXIBLE</x:v>
      </x:c>
      <x:c r="S404" t="n">
        <x:v>48</x:v>
      </x:c>
      <x:c r="T404" t="str">
        <x:v>CLEARED</x:v>
      </x:c>
      <x:c r="U404" t="str">
        <x:v>NOT_REQUIRED</x:v>
      </x:c>
      <x:c r="V404" s="16" t="n">
        <x:v>0.9357</x:v>
      </x:c>
      <x:c r="W404" t="str">
        <x:v>English</x:v>
      </x:c>
      <x:c r="X404"/>
      <x:c r="Y404" t="n">
        <x:v>165</x:v>
      </x:c>
      <x:c r="Z404" s="17" t="n">
        <x:v>4.24</x:v>
      </x:c>
      <x:c r="AA404" s="16" t="n">
        <x:v>0.7568</x:v>
      </x:c>
      <x:c r="AB404" s="16" t="n">
        <x:v>0.9186</x:v>
      </x:c>
      <x:c r="AC404" s="16" t="n">
        <x:v>0.8769</x:v>
      </x:c>
      <x:c r="AD404" t="n">
        <x:v>0</x:v>
      </x:c>
      <x:c r="AE404" t="str">
        <x:f>IF(O404&lt;&gt;"ACTIVE","NOT_RATED",IF(AND(Z404&gt;=4.8,AB404&gt;=0.97,AC404&gt;=0.93,AD404=0),"ELITE",IF(AND(Z404&gt;=4.6,AB404&gt;=0.94,AC404&gt;=0.88),"HIGH_PERFORMER",IF(OR(Z404&lt;4.2,AB404&lt;0.85,AD404&gt;=2),"AT_RISK","STANDARD"))))</x:f>
        <x:v>STANDARD</x:v>
      </x:c>
      <x:c r="AF404" s="15" t="n">
        <x:v>46019</x:v>
      </x:c>
      <x:c r="AG404" t="str">
        <x:v>VERIFIED</x:v>
      </x:c>
      <x:c r="AH404" t="str">
        <x:v>COMPLETE</x:v>
      </x:c>
      <x:c r="AI404" t="str">
        <x:v>Drew Lewis</x:v>
      </x:c>
      <x:c r="AJ404" t="str">
        <x:v>PARENT</x:v>
      </x:c>
      <x:c r="AK404" t="str">
        <x:v>+1 (503) 555-0137</x:v>
      </x:c>
    </x:row>
    <x:row r="405" ht="18" customHeight="1">
      <x:c r="A405" t="str">
        <x:v>DHR-00404</x:v>
      </x:c>
      <x:c r="B405" t="str">
        <x:v>Morgan Moore</x:v>
      </x:c>
      <x:c r="C405" t="str">
        <x:v>https://api.dicebear.com/9.x/adventurer/png?seed=DHR-00404-Morgan%20Moore&amp;size=256&amp;radius=50&amp;backgroundColor=b6e3f4,c0aede,d1d4f9,ffd5dc,ffdfbf</x:v>
      </x:c>
      <x:c r="D405" t="str">
        <x:v>morgan.moore.404@example.com</x:v>
      </x:c>
      <x:c r="E405" t="str">
        <x:v>+1 (512) 555-0103</x:v>
      </x:c>
      <x:c r="F405" t="str">
        <x:v>Austin, TX</x:v>
      </x:c>
      <x:c r="G405" t="str">
        <x:v>Austin</x:v>
      </x:c>
      <x:c r="H405" t="str">
        <x:v>TX</x:v>
      </x:c>
      <x:c r="I405" s="18" t="str">
        <x:v>78701</x:v>
      </x:c>
      <x:c r="J405" s="15" t="n">
        <x:v>28270.027896493055</x:v>
      </x:c>
      <x:c r="K405" t="n">
        <x:f>INT((DATE(2025,12,31)-J405)/365.25)</x:f>
        <x:v>48</x:v>
      </x:c>
      <x:c r="L405" t="str">
        <x:f>IF(K405&lt;25,"18-24",IF(K405&lt;35,"25-34",IF(K405&lt;45,"35-44",IF(K405&lt;55,"45-54","55+"))))</x:f>
        <x:v>45-54</x:v>
      </x:c>
      <x:c r="M405" s="15" t="n">
        <x:v>45890.506437627315</x:v>
      </x:c>
      <x:c r="N405" t="n">
        <x:f>(YEAR(DATE(2025,12,31))-YEAR(M405))*12+MONTH(DATE(2025,12,31))-MONTH(M405)</x:f>
        <x:v>4</x:v>
      </x:c>
      <x:c r="O405" t="str">
        <x:v>ACTIVE</x:v>
      </x:c>
      <x:c r="P405" t="str">
        <x:v>INDEPENDENT_CONTRACTOR</x:v>
      </x:c>
      <x:c r="Q405" t="str">
        <x:v>CAR</x:v>
      </x:c>
      <x:c r="R405" t="str">
        <x:v>LUNCH</x:v>
      </x:c>
      <x:c r="S405" t="n">
        <x:v>18</x:v>
      </x:c>
      <x:c r="T405" t="str">
        <x:v>CLEARED</x:v>
      </x:c>
      <x:c r="U405" t="str">
        <x:v>VALID</x:v>
      </x:c>
      <x:c r="V405" s="16" t="n">
        <x:v>0.933</x:v>
      </x:c>
      <x:c r="W405" t="str">
        <x:v>English</x:v>
      </x:c>
      <x:c r="X405"/>
      <x:c r="Y405" t="n">
        <x:v>192</x:v>
      </x:c>
      <x:c r="Z405" s="17" t="n">
        <x:v>4.64</x:v>
      </x:c>
      <x:c r="AA405" s="16" t="n">
        <x:v>0.8357</x:v>
      </x:c>
      <x:c r="AB405" s="16" t="n">
        <x:v>0.8688</x:v>
      </x:c>
      <x:c r="AC405" s="16" t="n">
        <x:v>0.9651</x:v>
      </x:c>
      <x:c r="AD405" t="n">
        <x:v>0</x:v>
      </x:c>
      <x:c r="AE405" t="str">
        <x:f>IF(O405&lt;&gt;"ACTIVE","NOT_RATED",IF(AND(Z405&gt;=4.8,AB405&gt;=0.97,AC405&gt;=0.93,AD405=0),"ELITE",IF(AND(Z405&gt;=4.6,AB405&gt;=0.94,AC405&gt;=0.88),"HIGH_PERFORMER",IF(OR(Z405&lt;4.2,AB405&lt;0.85,AD405&gt;=2),"AT_RISK","STANDARD"))))</x:f>
        <x:v>STANDARD</x:v>
      </x:c>
      <x:c r="AF405" s="15" t="n">
        <x:v>46013</x:v>
      </x:c>
      <x:c r="AG405" t="str">
        <x:v>VERIFIED</x:v>
      </x:c>
      <x:c r="AH405" t="str">
        <x:v>COMPLETE</x:v>
      </x:c>
      <x:c r="AI405" t="str">
        <x:v>Jordan Taylor</x:v>
      </x:c>
      <x:c r="AJ405" t="str">
        <x:v>SIBLING</x:v>
      </x:c>
      <x:c r="AK405" t="str">
        <x:v>+1 (512) 555-0144</x:v>
      </x:c>
    </x:row>
    <x:row r="406" ht="18" customHeight="1">
      <x:c r="A406" t="str">
        <x:v>DHR-00405</x:v>
      </x:c>
      <x:c r="B406" t="str">
        <x:v>Morgan Perez</x:v>
      </x:c>
      <x:c r="C406" t="str">
        <x:v>https://api.dicebear.com/9.x/adventurer/png?seed=DHR-00405-Morgan%20Perez&amp;size=256&amp;radius=50&amp;backgroundColor=b6e3f4,c0aede,d1d4f9,ffd5dc,ffdfbf</x:v>
      </x:c>
      <x:c r="D406" t="str">
        <x:v>morgan.perez.405@example.com</x:v>
      </x:c>
      <x:c r="E406" t="str">
        <x:v>+1 (212) 555-0104</x:v>
      </x:c>
      <x:c r="F406" t="str">
        <x:v>New York, NY</x:v>
      </x:c>
      <x:c r="G406" t="str">
        <x:v>New York</x:v>
      </x:c>
      <x:c r="H406" t="str">
        <x:v>NY</x:v>
      </x:c>
      <x:c r="I406" s="18" t="str">
        <x:v>10001</x:v>
      </x:c>
      <x:c r="J406" s="15" t="n">
        <x:v>32826.12717827546</x:v>
      </x:c>
      <x:c r="K406" t="n">
        <x:f>INT((DATE(2025,12,31)-J406)/365.25)</x:f>
        <x:v>36</x:v>
      </x:c>
      <x:c r="L406" t="str">
        <x:f>IF(K406&lt;25,"18-24",IF(K406&lt;35,"25-34",IF(K406&lt;45,"35-44",IF(K406&lt;55,"45-54","55+"))))</x:f>
        <x:v>35-44</x:v>
      </x:c>
      <x:c r="M406" s="15" t="n">
        <x:v>45715.20377201389</x:v>
      </x:c>
      <x:c r="N406" t="n">
        <x:f>(YEAR(DATE(2025,12,31))-YEAR(M406))*12+MONTH(DATE(2025,12,31))-MONTH(M406)</x:f>
        <x:v>10</x:v>
      </x:c>
      <x:c r="O406" t="str">
        <x:v>ACTIVE</x:v>
      </x:c>
      <x:c r="P406" t="str">
        <x:v>INDEPENDENT_CONTRACTOR</x:v>
      </x:c>
      <x:c r="Q406" t="str">
        <x:v>CAR</x:v>
      </x:c>
      <x:c r="R406" t="str">
        <x:v>FLEXIBLE</x:v>
      </x:c>
      <x:c r="S406" t="n">
        <x:v>22</x:v>
      </x:c>
      <x:c r="T406" t="str">
        <x:v>CLEARED</x:v>
      </x:c>
      <x:c r="U406" t="str">
        <x:v>VALID</x:v>
      </x:c>
      <x:c r="V406" s="16" t="n">
        <x:v>0.8077</x:v>
      </x:c>
      <x:c r="W406" t="str">
        <x:v>Spanish</x:v>
      </x:c>
      <x:c r="X406"/>
      <x:c r="Y406" t="n">
        <x:v>1014</x:v>
      </x:c>
      <x:c r="Z406" s="17" t="n">
        <x:v>4.41</x:v>
      </x:c>
      <x:c r="AA406" s="16" t="n">
        <x:v>0.8992</x:v>
      </x:c>
      <x:c r="AB406" s="16" t="n">
        <x:v>0.9475</x:v>
      </x:c>
      <x:c r="AC406" s="16" t="n">
        <x:v>0.95</x:v>
      </x:c>
      <x:c r="AD406" t="n">
        <x:v>0</x:v>
      </x:c>
      <x:c r="AE406" t="str">
        <x:f>IF(O406&lt;&gt;"ACTIVE","NOT_RATED",IF(AND(Z406&gt;=4.8,AB406&gt;=0.97,AC406&gt;=0.93,AD406=0),"ELITE",IF(AND(Z406&gt;=4.6,AB406&gt;=0.94,AC406&gt;=0.88),"HIGH_PERFORMER",IF(OR(Z406&lt;4.2,AB406&lt;0.85,AD406&gt;=2),"AT_RISK","STANDARD"))))</x:f>
        <x:v>STANDARD</x:v>
      </x:c>
      <x:c r="AF406" s="15" t="n">
        <x:v>46014</x:v>
      </x:c>
      <x:c r="AG406" t="str">
        <x:v>VERIFIED</x:v>
      </x:c>
      <x:c r="AH406" t="str">
        <x:v>COMPLETE</x:v>
      </x:c>
      <x:c r="AI406" t="str">
        <x:v>Jordan Taylor</x:v>
      </x:c>
      <x:c r="AJ406" t="str">
        <x:v>SPOUSE_PARTNER</x:v>
      </x:c>
      <x:c r="AK406" t="str">
        <x:v>+1 (212) 555-0151</x:v>
      </x:c>
    </x:row>
    <x:row r="407" ht="18" customHeight="1">
      <x:c r="A407" t="str">
        <x:v>DHR-00406</x:v>
      </x:c>
      <x:c r="B407" t="str">
        <x:v>Morgan Taylor</x:v>
      </x:c>
      <x:c r="C407" t="str">
        <x:v>https://api.dicebear.com/9.x/adventurer/png?seed=DHR-00406-Morgan%20Taylor&amp;size=256&amp;radius=50&amp;backgroundColor=b6e3f4,c0aede,d1d4f9,ffd5dc,ffdfbf</x:v>
      </x:c>
      <x:c r="D407" t="str">
        <x:v>morgan.taylor.406@example.com</x:v>
      </x:c>
      <x:c r="E407" t="str">
        <x:v>+1 (619) 555-0105</x:v>
      </x:c>
      <x:c r="F407" t="str">
        <x:v>San Diego, CA</x:v>
      </x:c>
      <x:c r="G407" t="str">
        <x:v>San Diego</x:v>
      </x:c>
      <x:c r="H407" t="str">
        <x:v>CA</x:v>
      </x:c>
      <x:c r="I407" s="18" t="str">
        <x:v>92101</x:v>
      </x:c>
      <x:c r="J407" s="15" t="n">
        <x:v>36909.757330625</x:v>
      </x:c>
      <x:c r="K407" t="n">
        <x:f>INT((DATE(2025,12,31)-J407)/365.25)</x:f>
        <x:v>24</x:v>
      </x:c>
      <x:c r="L407" t="str">
        <x:f>IF(K407&lt;25,"18-24",IF(K407&lt;35,"25-34",IF(K407&lt;45,"35-44",IF(K407&lt;55,"45-54","55+"))))</x:f>
        <x:v>18-24</x:v>
      </x:c>
      <x:c r="M407" s="15" t="n">
        <x:v>44849.671198819444</x:v>
      </x:c>
      <x:c r="N407" t="n">
        <x:f>(YEAR(DATE(2025,12,31))-YEAR(M407))*12+MONTH(DATE(2025,12,31))-MONTH(M407)</x:f>
        <x:v>38</x:v>
      </x:c>
      <x:c r="O407" t="str">
        <x:v>ACTIVE</x:v>
      </x:c>
      <x:c r="P407" t="str">
        <x:v>INDEPENDENT_CONTRACTOR</x:v>
      </x:c>
      <x:c r="Q407" t="str">
        <x:v>CAR</x:v>
      </x:c>
      <x:c r="R407" t="str">
        <x:v>LUNCH</x:v>
      </x:c>
      <x:c r="S407" t="n">
        <x:v>36</x:v>
      </x:c>
      <x:c r="T407" t="str">
        <x:v>CLEARED</x:v>
      </x:c>
      <x:c r="U407" t="str">
        <x:v>VALID</x:v>
      </x:c>
      <x:c r="V407" s="16" t="n">
        <x:v>0.9571</x:v>
      </x:c>
      <x:c r="W407" t="str">
        <x:v>English</x:v>
      </x:c>
      <x:c r="X407" t="str">
        <x:v>Vietnamese</x:v>
      </x:c>
      <x:c r="Y407" t="n">
        <x:v>5071</x:v>
      </x:c>
      <x:c r="Z407" s="17" t="n">
        <x:v>4.48</x:v>
      </x:c>
      <x:c r="AA407" s="16" t="n">
        <x:v>0.9226</x:v>
      </x:c>
      <x:c r="AB407" s="16" t="n">
        <x:v>0.9193</x:v>
      </x:c>
      <x:c r="AC407" s="16" t="n">
        <x:v>0.8191</x:v>
      </x:c>
      <x:c r="AD407" t="n">
        <x:v>0</x:v>
      </x:c>
      <x:c r="AE407" t="str">
        <x:f>IF(O407&lt;&gt;"ACTIVE","NOT_RATED",IF(AND(Z407&gt;=4.8,AB407&gt;=0.97,AC407&gt;=0.93,AD407=0),"ELITE",IF(AND(Z407&gt;=4.6,AB407&gt;=0.94,AC407&gt;=0.88),"HIGH_PERFORMER",IF(OR(Z407&lt;4.2,AB407&lt;0.85,AD407&gt;=2),"AT_RISK","STANDARD"))))</x:f>
        <x:v>STANDARD</x:v>
      </x:c>
      <x:c r="AF407" s="15" t="n">
        <x:v>46010</x:v>
      </x:c>
      <x:c r="AG407" t="str">
        <x:v>VERIFIED</x:v>
      </x:c>
      <x:c r="AH407" t="str">
        <x:v>COMPLETE</x:v>
      </x:c>
      <x:c r="AI407" t="str">
        <x:v>Alex Thomas</x:v>
      </x:c>
      <x:c r="AJ407" t="str">
        <x:v>SPOUSE_PARTNER</x:v>
      </x:c>
      <x:c r="AK407" t="str">
        <x:v>+1 (619) 555-0158</x:v>
      </x:c>
    </x:row>
    <x:row r="408" ht="18" customHeight="1">
      <x:c r="A408" t="str">
        <x:v>DHR-00407</x:v>
      </x:c>
      <x:c r="B408" t="str">
        <x:v>Morgan Thomas</x:v>
      </x:c>
      <x:c r="C408" t="str">
        <x:v>https://api.dicebear.com/9.x/adventurer/png?seed=DHR-00407-Morgan%20Thomas&amp;size=256&amp;radius=50&amp;backgroundColor=b6e3f4,c0aede,d1d4f9,ffd5dc,ffdfbf</x:v>
      </x:c>
      <x:c r="D408" t="str">
        <x:v>morgan.thomas.407@example.com</x:v>
      </x:c>
      <x:c r="E408" t="str">
        <x:v>+1 (212) 555-0106</x:v>
      </x:c>
      <x:c r="F408" t="str">
        <x:v>New York, NY</x:v>
      </x:c>
      <x:c r="G408" t="str">
        <x:v>New York</x:v>
      </x:c>
      <x:c r="H408" t="str">
        <x:v>NY</x:v>
      </x:c>
      <x:c r="I408" s="18" t="str">
        <x:v>10001</x:v>
      </x:c>
      <x:c r="J408" s="15" t="n">
        <x:v>24292.81782761574</x:v>
      </x:c>
      <x:c r="K408" t="n">
        <x:f>INT((DATE(2025,12,31)-J408)/365.25)</x:f>
        <x:v>59</x:v>
      </x:c>
      <x:c r="L408" t="str">
        <x:f>IF(K408&lt;25,"18-24",IF(K408&lt;35,"25-34",IF(K408&lt;45,"35-44",IF(K408&lt;55,"45-54","55+"))))</x:f>
        <x:v>55+</x:v>
      </x:c>
      <x:c r="M408" s="15" t="n">
        <x:v>45306.7571833912</x:v>
      </x:c>
      <x:c r="N408" t="n">
        <x:f>(YEAR(DATE(2025,12,31))-YEAR(M408))*12+MONTH(DATE(2025,12,31))-MONTH(M408)</x:f>
        <x:v>23</x:v>
      </x:c>
      <x:c r="O408" t="str">
        <x:v>ACTIVE</x:v>
      </x:c>
      <x:c r="P408" t="str">
        <x:v>INDEPENDENT_CONTRACTOR</x:v>
      </x:c>
      <x:c r="Q408" t="str">
        <x:v>CAR</x:v>
      </x:c>
      <x:c r="R408" t="str">
        <x:v>FLEXIBLE</x:v>
      </x:c>
      <x:c r="S408" t="n">
        <x:v>22</x:v>
      </x:c>
      <x:c r="T408" t="str">
        <x:v>CLEARED</x:v>
      </x:c>
      <x:c r="U408" t="str">
        <x:v>VALID</x:v>
      </x:c>
      <x:c r="V408" s="16" t="n">
        <x:v>0.8436</x:v>
      </x:c>
      <x:c r="W408" t="str">
        <x:v>Spanish</x:v>
      </x:c>
      <x:c r="X408" t="str">
        <x:v>English</x:v>
      </x:c>
      <x:c r="Y408" t="n">
        <x:v>1344</x:v>
      </x:c>
      <x:c r="Z408" s="17" t="n">
        <x:v>4.76</x:v>
      </x:c>
      <x:c r="AA408" s="16" t="n">
        <x:v>0.7115</x:v>
      </x:c>
      <x:c r="AB408" s="16" t="n">
        <x:v>0.9173</x:v>
      </x:c>
      <x:c r="AC408" s="16" t="n">
        <x:v>0.9158</x:v>
      </x:c>
      <x:c r="AD408" t="n">
        <x:v>0</x:v>
      </x:c>
      <x:c r="AE408" t="str">
        <x:f>IF(O408&lt;&gt;"ACTIVE","NOT_RATED",IF(AND(Z408&gt;=4.8,AB408&gt;=0.97,AC408&gt;=0.93,AD408=0),"ELITE",IF(AND(Z408&gt;=4.6,AB408&gt;=0.94,AC408&gt;=0.88),"HIGH_PERFORMER",IF(OR(Z408&lt;4.2,AB408&lt;0.85,AD408&gt;=2),"AT_RISK","STANDARD"))))</x:f>
        <x:v>STANDARD</x:v>
      </x:c>
      <x:c r="AF408" s="15" t="n">
        <x:v>46022</x:v>
      </x:c>
      <x:c r="AG408" t="str">
        <x:v>VERIFIED</x:v>
      </x:c>
      <x:c r="AH408" t="str">
        <x:v>COMPLETE</x:v>
      </x:c>
      <x:c r="AI408" t="str">
        <x:v>Drew Perez</x:v>
      </x:c>
      <x:c r="AJ408" t="str">
        <x:v>SPOUSE_PARTNER</x:v>
      </x:c>
      <x:c r="AK408" t="str">
        <x:v>+1 (212) 555-0165</x:v>
      </x:c>
    </x:row>
    <x:row r="409" ht="18" customHeight="1">
      <x:c r="A409" t="str">
        <x:v>DHR-00408</x:v>
      </x:c>
      <x:c r="B409" t="str">
        <x:v>Morgan Walker</x:v>
      </x:c>
      <x:c r="C409" t="str">
        <x:v>https://api.dicebear.com/9.x/adventurer/png?seed=DHR-00408-Morgan%20Walker&amp;size=256&amp;radius=50&amp;backgroundColor=b6e3f4,c0aede,d1d4f9,ffd5dc,ffdfbf</x:v>
      </x:c>
      <x:c r="D409" t="str">
        <x:v>morgan.walker.408@example.com</x:v>
      </x:c>
      <x:c r="E409" t="str">
        <x:v>+1 (303) 555-0107</x:v>
      </x:c>
      <x:c r="F409" t="str">
        <x:v>Denver, CO</x:v>
      </x:c>
      <x:c r="G409" t="str">
        <x:v>Denver</x:v>
      </x:c>
      <x:c r="H409" t="str">
        <x:v>CO</x:v>
      </x:c>
      <x:c r="I409" s="18" t="str">
        <x:v>80202</x:v>
      </x:c>
      <x:c r="J409" s="15" t="n">
        <x:v>31041.078818483795</x:v>
      </x:c>
      <x:c r="K409" t="n">
        <x:f>INT((DATE(2025,12,31)-J409)/365.25)</x:f>
        <x:v>41</x:v>
      </x:c>
      <x:c r="L409" t="str">
        <x:f>IF(K409&lt;25,"18-24",IF(K409&lt;35,"25-34",IF(K409&lt;45,"35-44",IF(K409&lt;55,"45-54","55+"))))</x:f>
        <x:v>35-44</x:v>
      </x:c>
      <x:c r="M409" s="15" t="n">
        <x:v>45660.66619332176</x:v>
      </x:c>
      <x:c r="N409" t="n">
        <x:f>(YEAR(DATE(2025,12,31))-YEAR(M409))*12+MONTH(DATE(2025,12,31))-MONTH(M409)</x:f>
        <x:v>11</x:v>
      </x:c>
      <x:c r="O409" t="str">
        <x:v>ACTIVE</x:v>
      </x:c>
      <x:c r="P409" t="str">
        <x:v>INDEPENDENT_CONTRACTOR</x:v>
      </x:c>
      <x:c r="Q409" t="str">
        <x:v>SCOOTER</x:v>
      </x:c>
      <x:c r="R409" t="str">
        <x:v>FLEXIBLE</x:v>
      </x:c>
      <x:c r="S409" t="n">
        <x:v>46</x:v>
      </x:c>
      <x:c r="T409" t="str">
        <x:v>CLEARED</x:v>
      </x:c>
      <x:c r="U409" t="str">
        <x:v>VALID</x:v>
      </x:c>
      <x:c r="V409" s="16" t="n">
        <x:v>0.9281</x:v>
      </x:c>
      <x:c r="W409" t="str">
        <x:v>English</x:v>
      </x:c>
      <x:c r="X409"/>
      <x:c r="Y409" t="n">
        <x:v>1863</x:v>
      </x:c>
      <x:c r="Z409" s="17" t="n">
        <x:v>4.53</x:v>
      </x:c>
      <x:c r="AA409" s="16" t="n">
        <x:v>0.7331</x:v>
      </x:c>
      <x:c r="AB409" s="16" t="n">
        <x:v>0.8827</x:v>
      </x:c>
      <x:c r="AC409" s="16" t="n">
        <x:v>0.9558</x:v>
      </x:c>
      <x:c r="AD409" t="n">
        <x:v>0</x:v>
      </x:c>
      <x:c r="AE409" t="str">
        <x:f>IF(O409&lt;&gt;"ACTIVE","NOT_RATED",IF(AND(Z409&gt;=4.8,AB409&gt;=0.97,AC409&gt;=0.93,AD409=0),"ELITE",IF(AND(Z409&gt;=4.6,AB409&gt;=0.94,AC409&gt;=0.88),"HIGH_PERFORMER",IF(OR(Z409&lt;4.2,AB409&lt;0.85,AD409&gt;=2),"AT_RISK","STANDARD"))))</x:f>
        <x:v>STANDARD</x:v>
      </x:c>
      <x:c r="AF409" s="15" t="n">
        <x:v>46015</x:v>
      </x:c>
      <x:c r="AG409" t="str">
        <x:v>VERIFIED</x:v>
      </x:c>
      <x:c r="AH409" t="str">
        <x:v>COMPLETE</x:v>
      </x:c>
      <x:c r="AI409" t="str">
        <x:v>Sofia Moore</x:v>
      </x:c>
      <x:c r="AJ409" t="str">
        <x:v>SPOUSE_PARTNER</x:v>
      </x:c>
      <x:c r="AK409" t="str">
        <x:v>+1 (303) 555-0172</x:v>
      </x:c>
    </x:row>
    <x:row r="410" ht="18" customHeight="1">
      <x:c r="A410" t="str">
        <x:v>DHR-00409</x:v>
      </x:c>
      <x:c r="B410" t="str">
        <x:v>Morgan White</x:v>
      </x:c>
      <x:c r="C410" t="str">
        <x:v>https://api.dicebear.com/9.x/adventurer/png?seed=DHR-00409-Morgan%20White&amp;size=256&amp;radius=50&amp;backgroundColor=b6e3f4,c0aede,d1d4f9,ffd5dc,ffdfbf</x:v>
      </x:c>
      <x:c r="D410" t="str">
        <x:v>morgan.white.409@example.com</x:v>
      </x:c>
      <x:c r="E410" t="str">
        <x:v>+1 (214) 555-0108</x:v>
      </x:c>
      <x:c r="F410" t="str">
        <x:v>Dallas, TX</x:v>
      </x:c>
      <x:c r="G410" t="str">
        <x:v>Dallas</x:v>
      </x:c>
      <x:c r="H410" t="str">
        <x:v>TX</x:v>
      </x:c>
      <x:c r="I410" s="18" t="str">
        <x:v>75201</x:v>
      </x:c>
      <x:c r="J410" s="15" t="n">
        <x:v>27212.977102928242</x:v>
      </x:c>
      <x:c r="K410" t="n">
        <x:f>INT((DATE(2025,12,31)-J410)/365.25)</x:f>
        <x:v>51</x:v>
      </x:c>
      <x:c r="L410" t="str">
        <x:f>IF(K410&lt;25,"18-24",IF(K410&lt;35,"25-34",IF(K410&lt;45,"35-44",IF(K410&lt;55,"45-54","55+"))))</x:f>
        <x:v>45-54</x:v>
      </x:c>
      <x:c r="M410" s="15" t="n">
        <x:v>43664.87623393519</x:v>
      </x:c>
      <x:c r="N410" t="n">
        <x:f>(YEAR(DATE(2025,12,31))-YEAR(M410))*12+MONTH(DATE(2025,12,31))-MONTH(M410)</x:f>
        <x:v>77</x:v>
      </x:c>
      <x:c r="O410" t="str">
        <x:v>ACTIVE</x:v>
      </x:c>
      <x:c r="P410" t="str">
        <x:v>INDEPENDENT_CONTRACTOR</x:v>
      </x:c>
      <x:c r="Q410" t="str">
        <x:v>CAR</x:v>
      </x:c>
      <x:c r="R410" t="str">
        <x:v>WEEKENDS</x:v>
      </x:c>
      <x:c r="S410" t="n">
        <x:v>42</x:v>
      </x:c>
      <x:c r="T410" t="str">
        <x:v>CLEARED</x:v>
      </x:c>
      <x:c r="U410" t="str">
        <x:v>VALID</x:v>
      </x:c>
      <x:c r="V410" s="16" t="n">
        <x:v>0.8</x:v>
      </x:c>
      <x:c r="W410" t="str">
        <x:v>English</x:v>
      </x:c>
      <x:c r="X410"/>
      <x:c r="Y410" t="n">
        <x:v>9017</x:v>
      </x:c>
      <x:c r="Z410" s="17" t="n">
        <x:v>4.36</x:v>
      </x:c>
      <x:c r="AA410" s="16" t="n">
        <x:v>0.8262</x:v>
      </x:c>
      <x:c r="AB410" s="16" t="n">
        <x:v>0.9416</x:v>
      </x:c>
      <x:c r="AC410" s="16" t="n">
        <x:v>0.8373</x:v>
      </x:c>
      <x:c r="AD410" t="n">
        <x:v>0</x:v>
      </x:c>
      <x:c r="AE410" t="str">
        <x:f>IF(O410&lt;&gt;"ACTIVE","NOT_RATED",IF(AND(Z410&gt;=4.8,AB410&gt;=0.97,AC410&gt;=0.93,AD410=0),"ELITE",IF(AND(Z410&gt;=4.6,AB410&gt;=0.94,AC410&gt;=0.88),"HIGH_PERFORMER",IF(OR(Z410&lt;4.2,AB410&lt;0.85,AD410&gt;=2),"AT_RISK","STANDARD"))))</x:f>
        <x:v>STANDARD</x:v>
      </x:c>
      <x:c r="AF410" s="15" t="n">
        <x:v>46010</x:v>
      </x:c>
      <x:c r="AG410" t="str">
        <x:v>VERIFIED</x:v>
      </x:c>
      <x:c r="AH410" t="str">
        <x:v>COMPLETE</x:v>
      </x:c>
      <x:c r="AI410" t="str">
        <x:v>Ava Rodriguez</x:v>
      </x:c>
      <x:c r="AJ410" t="str">
        <x:v>PARENT</x:v>
      </x:c>
      <x:c r="AK410" t="str">
        <x:v>+1 (214) 555-0179</x:v>
      </x:c>
    </x:row>
    <x:row r="411" ht="18" customHeight="1">
      <x:c r="A411" t="str">
        <x:v>DHR-00410</x:v>
      </x:c>
      <x:c r="B411" t="str">
        <x:v>Morgan Williams</x:v>
      </x:c>
      <x:c r="C411" t="str">
        <x:v>https://api.dicebear.com/9.x/adventurer/png?seed=DHR-00410-Morgan%20Williams&amp;size=256&amp;radius=50&amp;backgroundColor=b6e3f4,c0aede,d1d4f9,ffd5dc,ffdfbf</x:v>
      </x:c>
      <x:c r="D411" t="str">
        <x:v>morgan.williams.410@example.com</x:v>
      </x:c>
      <x:c r="E411" t="str">
        <x:v>+1 (212) 555-0109</x:v>
      </x:c>
      <x:c r="F411" t="str">
        <x:v>New York, NY</x:v>
      </x:c>
      <x:c r="G411" t="str">
        <x:v>New York</x:v>
      </x:c>
      <x:c r="H411" t="str">
        <x:v>NY</x:v>
      </x:c>
      <x:c r="I411" s="18" t="str">
        <x:v>10001</x:v>
      </x:c>
      <x:c r="J411" s="15" t="n">
        <x:v>38367.48320326389</x:v>
      </x:c>
      <x:c r="K411" t="n">
        <x:f>INT((DATE(2025,12,31)-J411)/365.25)</x:f>
        <x:v>20</x:v>
      </x:c>
      <x:c r="L411" t="str">
        <x:f>IF(K411&lt;25,"18-24",IF(K411&lt;35,"25-34",IF(K411&lt;45,"35-44",IF(K411&lt;55,"45-54","55+"))))</x:f>
        <x:v>18-24</x:v>
      </x:c>
      <x:c r="M411" s="15" t="n">
        <x:v>45149.067418796294</x:v>
      </x:c>
      <x:c r="N411" t="n">
        <x:f>(YEAR(DATE(2025,12,31))-YEAR(M411))*12+MONTH(DATE(2025,12,31))-MONTH(M411)</x:f>
        <x:v>28</x:v>
      </x:c>
      <x:c r="O411" t="str">
        <x:v>ACTIVE</x:v>
      </x:c>
      <x:c r="P411" t="str">
        <x:v>INDEPENDENT_CONTRACTOR</x:v>
      </x:c>
      <x:c r="Q411" t="str">
        <x:v>CAR</x:v>
      </x:c>
      <x:c r="R411" t="str">
        <x:v>LUNCH</x:v>
      </x:c>
      <x:c r="S411" t="n">
        <x:v>32</x:v>
      </x:c>
      <x:c r="T411" t="str">
        <x:v>CLEARED</x:v>
      </x:c>
      <x:c r="U411" t="str">
        <x:v>VALID</x:v>
      </x:c>
      <x:c r="V411" s="16" t="n">
        <x:v>0.8395</x:v>
      </x:c>
      <x:c r="W411" t="str">
        <x:v>English</x:v>
      </x:c>
      <x:c r="X411" t="str">
        <x:v>Vietnamese</x:v>
      </x:c>
      <x:c r="Y411" t="n">
        <x:v>3182</x:v>
      </x:c>
      <x:c r="Z411" s="17" t="n">
        <x:v>4.18</x:v>
      </x:c>
      <x:c r="AA411" s="16" t="n">
        <x:v>0.6621</x:v>
      </x:c>
      <x:c r="AB411" s="16" t="n">
        <x:v>0.8852</x:v>
      </x:c>
      <x:c r="AC411" s="16" t="n">
        <x:v>0.9793</x:v>
      </x:c>
      <x:c r="AD411" t="n">
        <x:v>0</x:v>
      </x:c>
      <x:c r="AE411" t="str">
        <x:f>IF(O411&lt;&gt;"ACTIVE","NOT_RATED",IF(AND(Z411&gt;=4.8,AB411&gt;=0.97,AC411&gt;=0.93,AD411=0),"ELITE",IF(AND(Z411&gt;=4.6,AB411&gt;=0.94,AC411&gt;=0.88),"HIGH_PERFORMER",IF(OR(Z411&lt;4.2,AB411&lt;0.85,AD411&gt;=2),"AT_RISK","STANDARD"))))</x:f>
        <x:v>AT_RISK</x:v>
      </x:c>
      <x:c r="AF411" s="15" t="n">
        <x:v>46009</x:v>
      </x:c>
      <x:c r="AG411" t="str">
        <x:v>VERIFIED</x:v>
      </x:c>
      <x:c r="AH411" t="str">
        <x:v>COMPLETE</x:v>
      </x:c>
      <x:c r="AI411" t="str">
        <x:v>Hayden Davis</x:v>
      </x:c>
      <x:c r="AJ411" t="str">
        <x:v>PARENT</x:v>
      </x:c>
      <x:c r="AK411" t="str">
        <x:v>+1 (212) 555-0186</x:v>
      </x:c>
    </x:row>
    <x:row r="412" ht="18" customHeight="1">
      <x:c r="A412" t="str">
        <x:v>DHR-00411</x:v>
      </x:c>
      <x:c r="B412" t="str">
        <x:v>Morgan Wilson</x:v>
      </x:c>
      <x:c r="C412" t="str">
        <x:v>https://api.dicebear.com/9.x/adventurer/png?seed=DHR-00411-Morgan%20Wilson&amp;size=256&amp;radius=50&amp;backgroundColor=b6e3f4,c0aede,d1d4f9,ffd5dc,ffdfbf</x:v>
      </x:c>
      <x:c r="D412" t="str">
        <x:v>morgan.wilson.411@example.com</x:v>
      </x:c>
      <x:c r="E412" t="str">
        <x:v>+1 (213) 555-0110</x:v>
      </x:c>
      <x:c r="F412" t="str">
        <x:v>Los Angeles, CA</x:v>
      </x:c>
      <x:c r="G412" t="str">
        <x:v>Los Angeles</x:v>
      </x:c>
      <x:c r="H412" t="str">
        <x:v>CA</x:v>
      </x:c>
      <x:c r="I412" s="18" t="str">
        <x:v>90012</x:v>
      </x:c>
      <x:c r="J412" s="15" t="n">
        <x:v>26341.74721599537</x:v>
      </x:c>
      <x:c r="K412" t="n">
        <x:f>INT((DATE(2025,12,31)-J412)/365.25)</x:f>
        <x:v>53</x:v>
      </x:c>
      <x:c r="L412" t="str">
        <x:f>IF(K412&lt;25,"18-24",IF(K412&lt;35,"25-34",IF(K412&lt;45,"35-44",IF(K412&lt;55,"45-54","55+"))))</x:f>
        <x:v>45-54</x:v>
      </x:c>
      <x:c r="M412" s="15" t="n">
        <x:v>44709.53231306713</x:v>
      </x:c>
      <x:c r="N412" t="n">
        <x:f>(YEAR(DATE(2025,12,31))-YEAR(M412))*12+MONTH(DATE(2025,12,31))-MONTH(M412)</x:f>
        <x:v>43</x:v>
      </x:c>
      <x:c r="O412" t="str">
        <x:v>ACTIVE</x:v>
      </x:c>
      <x:c r="P412" t="str">
        <x:v>INDEPENDENT_CONTRACTOR</x:v>
      </x:c>
      <x:c r="Q412" t="str">
        <x:v>CAR</x:v>
      </x:c>
      <x:c r="R412" t="str">
        <x:v>WEEKENDS</x:v>
      </x:c>
      <x:c r="S412" t="n">
        <x:v>24</x:v>
      </x:c>
      <x:c r="T412" t="str">
        <x:v>CLEARED</x:v>
      </x:c>
      <x:c r="U412" t="str">
        <x:v>VALID</x:v>
      </x:c>
      <x:c r="V412" s="16" t="n">
        <x:v>0.8578</x:v>
      </x:c>
      <x:c r="W412" t="str">
        <x:v>English</x:v>
      </x:c>
      <x:c r="X412" t="str">
        <x:v>French</x:v>
      </x:c>
      <x:c r="Y412" t="n">
        <x:v>4165</x:v>
      </x:c>
      <x:c r="Z412" s="17" t="n">
        <x:v>4.74</x:v>
      </x:c>
      <x:c r="AA412" s="16" t="n">
        <x:v>0.8656</x:v>
      </x:c>
      <x:c r="AB412" s="16" t="n">
        <x:v>0.9757</x:v>
      </x:c>
      <x:c r="AC412" s="16" t="n">
        <x:v>0.8544</x:v>
      </x:c>
      <x:c r="AD412" t="n">
        <x:v>0</x:v>
      </x:c>
      <x:c r="AE412" t="str">
        <x:f>IF(O412&lt;&gt;"ACTIVE","NOT_RATED",IF(AND(Z412&gt;=4.8,AB412&gt;=0.97,AC412&gt;=0.93,AD412=0),"ELITE",IF(AND(Z412&gt;=4.6,AB412&gt;=0.94,AC412&gt;=0.88),"HIGH_PERFORMER",IF(OR(Z412&lt;4.2,AB412&lt;0.85,AD412&gt;=2),"AT_RISK","STANDARD"))))</x:f>
        <x:v>STANDARD</x:v>
      </x:c>
      <x:c r="AF412" s="15" t="n">
        <x:v>46022</x:v>
      </x:c>
      <x:c r="AG412" t="str">
        <x:v>PENDING</x:v>
      </x:c>
      <x:c r="AH412" t="str">
        <x:v>COMPLETE</x:v>
      </x:c>
      <x:c r="AI412" t="str">
        <x:v>Cameron Johnson</x:v>
      </x:c>
      <x:c r="AJ412" t="str">
        <x:v>FRIEND</x:v>
      </x:c>
      <x:c r="AK412" t="str">
        <x:v>+1 (213) 555-0193</x:v>
      </x:c>
    </x:row>
    <x:row r="413" ht="18" customHeight="1">
      <x:c r="A413" t="str">
        <x:v>DHR-00412</x:v>
      </x:c>
      <x:c r="B413" t="str">
        <x:v>Morgan Young</x:v>
      </x:c>
      <x:c r="C413" t="str">
        <x:v>https://api.dicebear.com/9.x/adventurer/png?seed=DHR-00412-Morgan%20Young&amp;size=256&amp;radius=50&amp;backgroundColor=b6e3f4,c0aede,d1d4f9,ffd5dc,ffdfbf</x:v>
      </x:c>
      <x:c r="D413" t="str">
        <x:v>morgan.young.412@example.com</x:v>
      </x:c>
      <x:c r="E413" t="str">
        <x:v>+1 (214) 555-0111</x:v>
      </x:c>
      <x:c r="F413" t="str">
        <x:v>Dallas, TX</x:v>
      </x:c>
      <x:c r="G413" t="str">
        <x:v>Dallas</x:v>
      </x:c>
      <x:c r="H413" t="str">
        <x:v>TX</x:v>
      </x:c>
      <x:c r="I413" s="18" t="str">
        <x:v>75201</x:v>
      </x:c>
      <x:c r="J413" s="15" t="n">
        <x:v>37303.26885017361</x:v>
      </x:c>
      <x:c r="K413" t="n">
        <x:f>INT((DATE(2025,12,31)-J413)/365.25)</x:f>
        <x:v>23</x:v>
      </x:c>
      <x:c r="L413" t="str">
        <x:f>IF(K413&lt;25,"18-24",IF(K413&lt;35,"25-34",IF(K413&lt;45,"35-44",IF(K413&lt;55,"45-54","55+"))))</x:f>
        <x:v>18-24</x:v>
      </x:c>
      <x:c r="M413" s="15" t="n">
        <x:v>45326.79333302083</x:v>
      </x:c>
      <x:c r="N413" t="n">
        <x:f>(YEAR(DATE(2025,12,31))-YEAR(M413))*12+MONTH(DATE(2025,12,31))-MONTH(M413)</x:f>
        <x:v>22</x:v>
      </x:c>
      <x:c r="O413" t="str">
        <x:v>ACTIVE</x:v>
      </x:c>
      <x:c r="P413" t="str">
        <x:v>INDEPENDENT_CONTRACTOR</x:v>
      </x:c>
      <x:c r="Q413" t="str">
        <x:v>E_BIKE</x:v>
      </x:c>
      <x:c r="R413" t="str">
        <x:v>DINNER</x:v>
      </x:c>
      <x:c r="S413" t="n">
        <x:v>39</x:v>
      </x:c>
      <x:c r="T413" t="str">
        <x:v>CLEARED</x:v>
      </x:c>
      <x:c r="U413" t="str">
        <x:v>NOT_REQUIRED</x:v>
      </x:c>
      <x:c r="V413" s="16" t="n">
        <x:v>0.8197</x:v>
      </x:c>
      <x:c r="W413" t="str">
        <x:v>English</x:v>
      </x:c>
      <x:c r="X413"/>
      <x:c r="Y413" t="n">
        <x:v>2353</x:v>
      </x:c>
      <x:c r="Z413" s="17" t="n">
        <x:v>4.34</x:v>
      </x:c>
      <x:c r="AA413" s="16" t="n">
        <x:v>0.91</x:v>
      </x:c>
      <x:c r="AB413" s="16" t="n">
        <x:v>0.897</x:v>
      </x:c>
      <x:c r="AC413" s="16" t="n">
        <x:v>0.9154</x:v>
      </x:c>
      <x:c r="AD413" t="n">
        <x:v>0</x:v>
      </x:c>
      <x:c r="AE413" t="str">
        <x:f>IF(O413&lt;&gt;"ACTIVE","NOT_RATED",IF(AND(Z413&gt;=4.8,AB413&gt;=0.97,AC413&gt;=0.93,AD413=0),"ELITE",IF(AND(Z413&gt;=4.6,AB413&gt;=0.94,AC413&gt;=0.88),"HIGH_PERFORMER",IF(OR(Z413&lt;4.2,AB413&lt;0.85,AD413&gt;=2),"AT_RISK","STANDARD"))))</x:f>
        <x:v>STANDARD</x:v>
      </x:c>
      <x:c r="AF413" s="15" t="n">
        <x:v>46020</x:v>
      </x:c>
      <x:c r="AG413" t="str">
        <x:v>VERIFIED</x:v>
      </x:c>
      <x:c r="AH413" t="str">
        <x:v>COMPLETE</x:v>
      </x:c>
      <x:c r="AI413" t="str">
        <x:v>Devin Thompson</x:v>
      </x:c>
      <x:c r="AJ413" t="str">
        <x:v>FRIEND</x:v>
      </x:c>
      <x:c r="AK413" t="str">
        <x:v>+1 (214) 555-0100</x:v>
      </x:c>
    </x:row>
    <x:row r="414" ht="18" customHeight="1">
      <x:c r="A414" t="str">
        <x:v>DHR-00413</x:v>
      </x:c>
      <x:c r="B414" t="str">
        <x:v>Noah Anderson</x:v>
      </x:c>
      <x:c r="C414" t="str">
        <x:v>https://api.dicebear.com/9.x/adventurer/png?seed=DHR-00413-Noah%20Anderson&amp;size=256&amp;radius=50&amp;backgroundColor=b6e3f4,c0aede,d1d4f9,ffd5dc,ffdfbf</x:v>
      </x:c>
      <x:c r="D414" t="str">
        <x:v>noah.anderson.413@example.com</x:v>
      </x:c>
      <x:c r="E414" t="str">
        <x:v>+1 (702) 555-0112</x:v>
      </x:c>
      <x:c r="F414" t="str">
        <x:v>Las Vegas, NV</x:v>
      </x:c>
      <x:c r="G414" t="str">
        <x:v>Las Vegas</x:v>
      </x:c>
      <x:c r="H414" t="str">
        <x:v>NV</x:v>
      </x:c>
      <x:c r="I414" s="18" t="str">
        <x:v>89101</x:v>
      </x:c>
      <x:c r="J414" s="15" t="n">
        <x:v>26468.18130162037</x:v>
      </x:c>
      <x:c r="K414" t="n">
        <x:f>INT((DATE(2025,12,31)-J414)/365.25)</x:f>
        <x:v>53</x:v>
      </x:c>
      <x:c r="L414" t="str">
        <x:f>IF(K414&lt;25,"18-24",IF(K414&lt;35,"25-34",IF(K414&lt;45,"35-44",IF(K414&lt;55,"45-54","55+"))))</x:f>
        <x:v>45-54</x:v>
      </x:c>
      <x:c r="M414" s="15" t="n">
        <x:v>43785.856510694444</x:v>
      </x:c>
      <x:c r="N414" t="n">
        <x:f>(YEAR(DATE(2025,12,31))-YEAR(M414))*12+MONTH(DATE(2025,12,31))-MONTH(M414)</x:f>
        <x:v>73</x:v>
      </x:c>
      <x:c r="O414" t="str">
        <x:v>ACTIVE</x:v>
      </x:c>
      <x:c r="P414" t="str">
        <x:v>INDEPENDENT_CONTRACTOR</x:v>
      </x:c>
      <x:c r="Q414" t="str">
        <x:v>MOTORCYCLE</x:v>
      </x:c>
      <x:c r="R414" t="str">
        <x:v>WEEKENDS</x:v>
      </x:c>
      <x:c r="S414" t="n">
        <x:v>11</x:v>
      </x:c>
      <x:c r="T414" t="str">
        <x:v>CLEARED</x:v>
      </x:c>
      <x:c r="U414" t="str">
        <x:v>VALID</x:v>
      </x:c>
      <x:c r="V414" s="16" t="n">
        <x:v>0.9726</x:v>
      </x:c>
      <x:c r="W414" t="str">
        <x:v>Spanish</x:v>
      </x:c>
      <x:c r="X414" t="str">
        <x:v>English</x:v>
      </x:c>
      <x:c r="Y414" t="n">
        <x:v>2236</x:v>
      </x:c>
      <x:c r="Z414" s="17" t="n">
        <x:v>4.3</x:v>
      </x:c>
      <x:c r="AA414" s="16" t="n">
        <x:v>0.862</x:v>
      </x:c>
      <x:c r="AB414" s="16" t="n">
        <x:v>0.9177</x:v>
      </x:c>
      <x:c r="AC414" s="16" t="n">
        <x:v>0.9716</x:v>
      </x:c>
      <x:c r="AD414" t="n">
        <x:v>0</x:v>
      </x:c>
      <x:c r="AE414" t="str">
        <x:f>IF(O414&lt;&gt;"ACTIVE","NOT_RATED",IF(AND(Z414&gt;=4.8,AB414&gt;=0.97,AC414&gt;=0.93,AD414=0),"ELITE",IF(AND(Z414&gt;=4.6,AB414&gt;=0.94,AC414&gt;=0.88),"HIGH_PERFORMER",IF(OR(Z414&lt;4.2,AB414&lt;0.85,AD414&gt;=2),"AT_RISK","STANDARD"))))</x:f>
        <x:v>STANDARD</x:v>
      </x:c>
      <x:c r="AF414" s="15" t="n">
        <x:v>46018</x:v>
      </x:c>
      <x:c r="AG414" t="str">
        <x:v>VERIFIED</x:v>
      </x:c>
      <x:c r="AH414" t="str">
        <x:v>COMPLETE</x:v>
      </x:c>
      <x:c r="AI414" t="str">
        <x:v>Olivia Walker</x:v>
      </x:c>
      <x:c r="AJ414" t="str">
        <x:v>SPOUSE_PARTNER</x:v>
      </x:c>
      <x:c r="AK414" t="str">
        <x:v>+1 (702) 555-0107</x:v>
      </x:c>
    </x:row>
    <x:row r="415" ht="18" customHeight="1">
      <x:c r="A415" t="str">
        <x:v>DHR-00414</x:v>
      </x:c>
      <x:c r="B415" t="str">
        <x:v>Noah Brown</x:v>
      </x:c>
      <x:c r="C415" t="str">
        <x:v>https://api.dicebear.com/9.x/adventurer/png?seed=DHR-00414-Noah%20Brown&amp;size=256&amp;radius=50&amp;backgroundColor=b6e3f4,c0aede,d1d4f9,ffd5dc,ffdfbf</x:v>
      </x:c>
      <x:c r="D415" t="str">
        <x:v>noah.brown.414@example.com</x:v>
      </x:c>
      <x:c r="E415" t="str">
        <x:v>+1 (215) 555-0113</x:v>
      </x:c>
      <x:c r="F415" t="str">
        <x:v>Philadelphia, PA</x:v>
      </x:c>
      <x:c r="G415" t="str">
        <x:v>Philadelphia</x:v>
      </x:c>
      <x:c r="H415" t="str">
        <x:v>PA</x:v>
      </x:c>
      <x:c r="I415" s="18" t="str">
        <x:v>19103</x:v>
      </x:c>
      <x:c r="J415" s="15" t="n">
        <x:v>32770.008605752315</x:v>
      </x:c>
      <x:c r="K415" t="n">
        <x:f>INT((DATE(2025,12,31)-J415)/365.25)</x:f>
        <x:v>36</x:v>
      </x:c>
      <x:c r="L415" t="str">
        <x:f>IF(K415&lt;25,"18-24",IF(K415&lt;35,"25-34",IF(K415&lt;45,"35-44",IF(K415&lt;55,"45-54","55+"))))</x:f>
        <x:v>35-44</x:v>
      </x:c>
      <x:c r="M415" s="15" t="n">
        <x:v>45702.0313193287</x:v>
      </x:c>
      <x:c r="N415" t="n">
        <x:f>(YEAR(DATE(2025,12,31))-YEAR(M415))*12+MONTH(DATE(2025,12,31))-MONTH(M415)</x:f>
        <x:v>10</x:v>
      </x:c>
      <x:c r="O415" t="str">
        <x:v>PAUSED</x:v>
      </x:c>
      <x:c r="P415" t="str">
        <x:v>INDEPENDENT_CONTRACTOR</x:v>
      </x:c>
      <x:c r="Q415" t="str">
        <x:v>CAR</x:v>
      </x:c>
      <x:c r="R415" t="str">
        <x:v>FLEXIBLE</x:v>
      </x:c>
      <x:c r="S415" t="n">
        <x:v>18</x:v>
      </x:c>
      <x:c r="T415" t="str">
        <x:v>CLEARED</x:v>
      </x:c>
      <x:c r="U415" t="str">
        <x:v>VALID</x:v>
      </x:c>
      <x:c r="V415" s="16" t="n">
        <x:v>0.9381</x:v>
      </x:c>
      <x:c r="W415" t="str">
        <x:v>English</x:v>
      </x:c>
      <x:c r="X415" t="str">
        <x:v>French</x:v>
      </x:c>
      <x:c r="Y415" t="n">
        <x:v>639</x:v>
      </x:c>
      <x:c r="Z415" s="17" t="n">
        <x:v>4.6</x:v>
      </x:c>
      <x:c r="AA415" s="16" t="n">
        <x:v>0.837</x:v>
      </x:c>
      <x:c r="AB415" s="16" t="n">
        <x:v>0.9137</x:v>
      </x:c>
      <x:c r="AC415" s="16" t="n">
        <x:v>0.972</x:v>
      </x:c>
      <x:c r="AD415" t="n">
        <x:v>0</x:v>
      </x:c>
      <x:c r="AE415" t="str">
        <x:f>IF(O415&lt;&gt;"ACTIVE","NOT_RATED",IF(AND(Z415&gt;=4.8,AB415&gt;=0.97,AC415&gt;=0.93,AD415=0),"ELITE",IF(AND(Z415&gt;=4.6,AB415&gt;=0.94,AC415&gt;=0.88),"HIGH_PERFORMER",IF(OR(Z415&lt;4.2,AB415&lt;0.85,AD415&gt;=2),"AT_RISK","STANDARD"))))</x:f>
        <x:v>NOT_RATED</x:v>
      </x:c>
      <x:c r="AF415" s="15" t="n">
        <x:v>45999</x:v>
      </x:c>
      <x:c r="AG415" t="str">
        <x:v>VERIFIED</x:v>
      </x:c>
      <x:c r="AH415" t="str">
        <x:v>COMPLETE</x:v>
      </x:c>
      <x:c r="AI415" t="str">
        <x:v>Noah Walker</x:v>
      </x:c>
      <x:c r="AJ415" t="str">
        <x:v>PARENT</x:v>
      </x:c>
      <x:c r="AK415" t="str">
        <x:v>+1 (215) 555-0114</x:v>
      </x:c>
    </x:row>
    <x:row r="416" ht="18" customHeight="1">
      <x:c r="A416" t="str">
        <x:v>DHR-00415</x:v>
      </x:c>
      <x:c r="B416" t="str">
        <x:v>Noah Clark</x:v>
      </x:c>
      <x:c r="C416" t="str">
        <x:v>https://api.dicebear.com/9.x/adventurer/png?seed=DHR-00415-Noah%20Clark&amp;size=256&amp;radius=50&amp;backgroundColor=b6e3f4,c0aede,d1d4f9,ffd5dc,ffdfbf</x:v>
      </x:c>
      <x:c r="D416" t="str">
        <x:v>noah.clark.415@example.com</x:v>
      </x:c>
      <x:c r="E416" t="str">
        <x:v>+1 (704) 555-0114</x:v>
      </x:c>
      <x:c r="F416" t="str">
        <x:v>Charlotte, NC</x:v>
      </x:c>
      <x:c r="G416" t="str">
        <x:v>Charlotte</x:v>
      </x:c>
      <x:c r="H416" t="str">
        <x:v>NC</x:v>
      </x:c>
      <x:c r="I416" s="18" t="str">
        <x:v>28202</x:v>
      </x:c>
      <x:c r="J416" s="15" t="n">
        <x:v>29238.0459771875</x:v>
      </x:c>
      <x:c r="K416" t="n">
        <x:f>INT((DATE(2025,12,31)-J416)/365.25)</x:f>
        <x:v>45</x:v>
      </x:c>
      <x:c r="L416" t="str">
        <x:f>IF(K416&lt;25,"18-24",IF(K416&lt;35,"25-34",IF(K416&lt;45,"35-44",IF(K416&lt;55,"45-54","55+"))))</x:f>
        <x:v>45-54</x:v>
      </x:c>
      <x:c r="M416" s="15" t="n">
        <x:v>45976.04713126158</x:v>
      </x:c>
      <x:c r="N416" t="n">
        <x:f>(YEAR(DATE(2025,12,31))-YEAR(M416))*12+MONTH(DATE(2025,12,31))-MONTH(M416)</x:f>
        <x:v>1</x:v>
      </x:c>
      <x:c r="O416" t="str">
        <x:v>ACTIVE</x:v>
      </x:c>
      <x:c r="P416" t="str">
        <x:v>INDEPENDENT_CONTRACTOR</x:v>
      </x:c>
      <x:c r="Q416" t="str">
        <x:v>CAR</x:v>
      </x:c>
      <x:c r="R416" t="str">
        <x:v>WEEKENDS</x:v>
      </x:c>
      <x:c r="S416" t="n">
        <x:v>39</x:v>
      </x:c>
      <x:c r="T416" t="str">
        <x:v>CLEARED</x:v>
      </x:c>
      <x:c r="U416" t="str">
        <x:v>VALID</x:v>
      </x:c>
      <x:c r="V416" s="16" t="n">
        <x:v>0.8794</x:v>
      </x:c>
      <x:c r="W416" t="str">
        <x:v>English</x:v>
      </x:c>
      <x:c r="X416"/>
      <x:c r="Y416" t="n">
        <x:v>161</x:v>
      </x:c>
      <x:c r="Z416" s="17" t="n">
        <x:v>4.53</x:v>
      </x:c>
      <x:c r="AA416" s="16" t="n">
        <x:v>0.5634</x:v>
      </x:c>
      <x:c r="AB416" s="16" t="n">
        <x:v>0.8864</x:v>
      </x:c>
      <x:c r="AC416" s="16" t="n">
        <x:v>0.8499</x:v>
      </x:c>
      <x:c r="AD416" t="n">
        <x:v>1</x:v>
      </x:c>
      <x:c r="AE416" t="str">
        <x:f>IF(O416&lt;&gt;"ACTIVE","NOT_RATED",IF(AND(Z416&gt;=4.8,AB416&gt;=0.97,AC416&gt;=0.93,AD416=0),"ELITE",IF(AND(Z416&gt;=4.6,AB416&gt;=0.94,AC416&gt;=0.88),"HIGH_PERFORMER",IF(OR(Z416&lt;4.2,AB416&lt;0.85,AD416&gt;=2),"AT_RISK","STANDARD"))))</x:f>
        <x:v>STANDARD</x:v>
      </x:c>
      <x:c r="AF416" s="15" t="n">
        <x:v>46020</x:v>
      </x:c>
      <x:c r="AG416" t="str">
        <x:v>VERIFIED</x:v>
      </x:c>
      <x:c r="AH416" t="str">
        <x:v>COMPLETE</x:v>
      </x:c>
      <x:c r="AI416" t="str">
        <x:v>Taylor Garcia</x:v>
      </x:c>
      <x:c r="AJ416" t="str">
        <x:v>OTHER</x:v>
      </x:c>
      <x:c r="AK416" t="str">
        <x:v>+1 (704) 555-0121</x:v>
      </x:c>
    </x:row>
    <x:row r="417" ht="18" customHeight="1">
      <x:c r="A417" t="str">
        <x:v>DHR-00416</x:v>
      </x:c>
      <x:c r="B417" t="str">
        <x:v>Noah Davis</x:v>
      </x:c>
      <x:c r="C417" t="str">
        <x:v>https://api.dicebear.com/9.x/adventurer/png?seed=DHR-00416-Noah%20Davis&amp;size=256&amp;radius=50&amp;backgroundColor=b6e3f4,c0aede,d1d4f9,ffd5dc,ffdfbf</x:v>
      </x:c>
      <x:c r="D417" t="str">
        <x:v>noah.davis.416@example.com</x:v>
      </x:c>
      <x:c r="E417" t="str">
        <x:v>+1 (206) 555-0115</x:v>
      </x:c>
      <x:c r="F417" t="str">
        <x:v>Seattle, WA</x:v>
      </x:c>
      <x:c r="G417" t="str">
        <x:v>Seattle</x:v>
      </x:c>
      <x:c r="H417" t="str">
        <x:v>WA</x:v>
      </x:c>
      <x:c r="I417" s="18" t="str">
        <x:v>98101</x:v>
      </x:c>
      <x:c r="J417" s="15" t="n">
        <x:v>36192.76045681713</x:v>
      </x:c>
      <x:c r="K417" t="n">
        <x:f>INT((DATE(2025,12,31)-J417)/365.25)</x:f>
        <x:v>26</x:v>
      </x:c>
      <x:c r="L417" t="str">
        <x:f>IF(K417&lt;25,"18-24",IF(K417&lt;35,"25-34",IF(K417&lt;45,"35-44",IF(K417&lt;55,"45-54","55+"))))</x:f>
        <x:v>25-34</x:v>
      </x:c>
      <x:c r="M417" s="15" t="n">
        <x:v>45033.76299364583</x:v>
      </x:c>
      <x:c r="N417" t="n">
        <x:f>(YEAR(DATE(2025,12,31))-YEAR(M417))*12+MONTH(DATE(2025,12,31))-MONTH(M417)</x:f>
        <x:v>32</x:v>
      </x:c>
      <x:c r="O417" t="str">
        <x:v>ACTIVE</x:v>
      </x:c>
      <x:c r="P417" t="str">
        <x:v>INDEPENDENT_CONTRACTOR</x:v>
      </x:c>
      <x:c r="Q417" t="str">
        <x:v>BICYCLE</x:v>
      </x:c>
      <x:c r="R417" t="str">
        <x:v>LUNCH</x:v>
      </x:c>
      <x:c r="S417" t="n">
        <x:v>18</x:v>
      </x:c>
      <x:c r="T417" t="str">
        <x:v>CLEARED</x:v>
      </x:c>
      <x:c r="U417" t="str">
        <x:v>NOT_REQUIRED</x:v>
      </x:c>
      <x:c r="V417" s="16" t="n">
        <x:v>0.8048</x:v>
      </x:c>
      <x:c r="W417" t="str">
        <x:v>English</x:v>
      </x:c>
      <x:c r="X417"/>
      <x:c r="Y417" t="n">
        <x:v>1810</x:v>
      </x:c>
      <x:c r="Z417" s="17" t="n">
        <x:v>4.87</x:v>
      </x:c>
      <x:c r="AA417" s="16" t="n">
        <x:v>0.7398</x:v>
      </x:c>
      <x:c r="AB417" s="16" t="n">
        <x:v>0.9206</x:v>
      </x:c>
      <x:c r="AC417" s="16" t="n">
        <x:v>0.9393</x:v>
      </x:c>
      <x:c r="AD417" t="n">
        <x:v>1</x:v>
      </x:c>
      <x:c r="AE417" t="str">
        <x:f>IF(O417&lt;&gt;"ACTIVE","NOT_RATED",IF(AND(Z417&gt;=4.8,AB417&gt;=0.97,AC417&gt;=0.93,AD417=0),"ELITE",IF(AND(Z417&gt;=4.6,AB417&gt;=0.94,AC417&gt;=0.88),"HIGH_PERFORMER",IF(OR(Z417&lt;4.2,AB417&lt;0.85,AD417&gt;=2),"AT_RISK","STANDARD"))))</x:f>
        <x:v>STANDARD</x:v>
      </x:c>
      <x:c r="AF417" s="15" t="n">
        <x:v>46013</x:v>
      </x:c>
      <x:c r="AG417" t="str">
        <x:v>VERIFIED</x:v>
      </x:c>
      <x:c r="AH417" t="str">
        <x:v>COMPLETE</x:v>
      </x:c>
      <x:c r="AI417" t="str">
        <x:v>Jordan Brown</x:v>
      </x:c>
      <x:c r="AJ417" t="str">
        <x:v>SPOUSE_PARTNER</x:v>
      </x:c>
      <x:c r="AK417" t="str">
        <x:v>+1 (206) 555-0128</x:v>
      </x:c>
    </x:row>
    <x:row r="418" ht="18" customHeight="1">
      <x:c r="A418" t="str">
        <x:v>DHR-00417</x:v>
      </x:c>
      <x:c r="B418" t="str">
        <x:v>Noah Garcia</x:v>
      </x:c>
      <x:c r="C418" t="str">
        <x:v>https://api.dicebear.com/9.x/adventurer/png?seed=DHR-00417-Noah%20Garcia&amp;size=256&amp;radius=50&amp;backgroundColor=b6e3f4,c0aede,d1d4f9,ffd5dc,ffdfbf</x:v>
      </x:c>
      <x:c r="D418" t="str">
        <x:v>noah.garcia.417@example.com</x:v>
      </x:c>
      <x:c r="E418" t="str">
        <x:v>+1 (213) 555-0116</x:v>
      </x:c>
      <x:c r="F418" t="str">
        <x:v>Los Angeles, CA</x:v>
      </x:c>
      <x:c r="G418" t="str">
        <x:v>Los Angeles</x:v>
      </x:c>
      <x:c r="H418" t="str">
        <x:v>CA</x:v>
      </x:c>
      <x:c r="I418" s="18" t="str">
        <x:v>90012</x:v>
      </x:c>
      <x:c r="J418" s="15" t="n">
        <x:v>35306.30210555556</x:v>
      </x:c>
      <x:c r="K418" t="n">
        <x:f>INT((DATE(2025,12,31)-J418)/365.25)</x:f>
        <x:v>29</x:v>
      </x:c>
      <x:c r="L418" t="str">
        <x:f>IF(K418&lt;25,"18-24",IF(K418&lt;35,"25-34",IF(K418&lt;45,"35-44",IF(K418&lt;55,"45-54","55+"))))</x:f>
        <x:v>25-34</x:v>
      </x:c>
      <x:c r="M418" s="15" t="n">
        <x:v>44259.57320962963</x:v>
      </x:c>
      <x:c r="N418" t="n">
        <x:f>(YEAR(DATE(2025,12,31))-YEAR(M418))*12+MONTH(DATE(2025,12,31))-MONTH(M418)</x:f>
        <x:v>57</x:v>
      </x:c>
      <x:c r="O418" t="str">
        <x:v>ACTIVE</x:v>
      </x:c>
      <x:c r="P418" t="str">
        <x:v>INDEPENDENT_CONTRACTOR</x:v>
      </x:c>
      <x:c r="Q418" t="str">
        <x:v>CAR</x:v>
      </x:c>
      <x:c r="R418" t="str">
        <x:v>DINNER</x:v>
      </x:c>
      <x:c r="S418" t="n">
        <x:v>17</x:v>
      </x:c>
      <x:c r="T418" t="str">
        <x:v>CLEARED</x:v>
      </x:c>
      <x:c r="U418" t="str">
        <x:v>VALID</x:v>
      </x:c>
      <x:c r="V418" s="16" t="n">
        <x:v>0.8239</x:v>
      </x:c>
      <x:c r="W418" t="str">
        <x:v>English</x:v>
      </x:c>
      <x:c r="X418" t="str">
        <x:v>Korean</x:v>
      </x:c>
      <x:c r="Y418" t="n">
        <x:v>3266</x:v>
      </x:c>
      <x:c r="Z418" s="17" t="n">
        <x:v>4.69</x:v>
      </x:c>
      <x:c r="AA418" s="16" t="n">
        <x:v>0.6656</x:v>
      </x:c>
      <x:c r="AB418" s="16" t="n">
        <x:v>0.9655</x:v>
      </x:c>
      <x:c r="AC418" s="16" t="n">
        <x:v>0.9699</x:v>
      </x:c>
      <x:c r="AD418" t="n">
        <x:v>0</x:v>
      </x:c>
      <x:c r="AE418" t="str">
        <x:f>IF(O418&lt;&gt;"ACTIVE","NOT_RATED",IF(AND(Z418&gt;=4.8,AB418&gt;=0.97,AC418&gt;=0.93,AD418=0),"ELITE",IF(AND(Z418&gt;=4.6,AB418&gt;=0.94,AC418&gt;=0.88),"HIGH_PERFORMER",IF(OR(Z418&lt;4.2,AB418&lt;0.85,AD418&gt;=2),"AT_RISK","STANDARD"))))</x:f>
        <x:v>HIGH_PERFORMER</x:v>
      </x:c>
      <x:c r="AF418" s="15" t="n">
        <x:v>46016</x:v>
      </x:c>
      <x:c r="AG418" t="str">
        <x:v>VERIFIED</x:v>
      </x:c>
      <x:c r="AH418" t="str">
        <x:v>COMPLETE</x:v>
      </x:c>
      <x:c r="AI418" t="str">
        <x:v>Devin Miller</x:v>
      </x:c>
      <x:c r="AJ418" t="str">
        <x:v>SPOUSE_PARTNER</x:v>
      </x:c>
      <x:c r="AK418" t="str">
        <x:v>+1 (213) 555-0135</x:v>
      </x:c>
    </x:row>
    <x:row r="419" ht="18" customHeight="1">
      <x:c r="A419" t="str">
        <x:v>DHR-00418</x:v>
      </x:c>
      <x:c r="B419" t="str">
        <x:v>Noah Harris</x:v>
      </x:c>
      <x:c r="C419" t="str">
        <x:v>https://api.dicebear.com/9.x/adventurer/png?seed=DHR-00418-Noah%20Harris&amp;size=256&amp;radius=50&amp;backgroundColor=b6e3f4,c0aede,d1d4f9,ffd5dc,ffdfbf</x:v>
      </x:c>
      <x:c r="D419" t="str">
        <x:v>noah.harris.418@example.com</x:v>
      </x:c>
      <x:c r="E419" t="str">
        <x:v>+1 (612) 555-0117</x:v>
      </x:c>
      <x:c r="F419" t="str">
        <x:v>Minneapolis, MN</x:v>
      </x:c>
      <x:c r="G419" t="str">
        <x:v>Minneapolis</x:v>
      </x:c>
      <x:c r="H419" t="str">
        <x:v>MN</x:v>
      </x:c>
      <x:c r="I419" s="18" t="str">
        <x:v>55401</x:v>
      </x:c>
      <x:c r="J419" s="15" t="n">
        <x:v>24032.2651721875</x:v>
      </x:c>
      <x:c r="K419" t="n">
        <x:f>INT((DATE(2025,12,31)-J419)/365.25)</x:f>
        <x:v>60</x:v>
      </x:c>
      <x:c r="L419" t="str">
        <x:f>IF(K419&lt;25,"18-24",IF(K419&lt;35,"25-34",IF(K419&lt;45,"35-44",IF(K419&lt;55,"45-54","55+"))))</x:f>
        <x:v>55+</x:v>
      </x:c>
      <x:c r="M419" s="15" t="n">
        <x:v>44530.30283219907</x:v>
      </x:c>
      <x:c r="N419" t="n">
        <x:f>(YEAR(DATE(2025,12,31))-YEAR(M419))*12+MONTH(DATE(2025,12,31))-MONTH(M419)</x:f>
        <x:v>49</x:v>
      </x:c>
      <x:c r="O419" t="str">
        <x:v>ACTIVE</x:v>
      </x:c>
      <x:c r="P419" t="str">
        <x:v>INDEPENDENT_CONTRACTOR</x:v>
      </x:c>
      <x:c r="Q419" t="str">
        <x:v>BICYCLE</x:v>
      </x:c>
      <x:c r="R419" t="str">
        <x:v>DINNER</x:v>
      </x:c>
      <x:c r="S419" t="n">
        <x:v>31</x:v>
      </x:c>
      <x:c r="T419" t="str">
        <x:v>CLEARED</x:v>
      </x:c>
      <x:c r="U419" t="str">
        <x:v>NOT_REQUIRED</x:v>
      </x:c>
      <x:c r="V419" s="16" t="n">
        <x:v>0.7874</x:v>
      </x:c>
      <x:c r="W419" t="str">
        <x:v>English</x:v>
      </x:c>
      <x:c r="X419"/>
      <x:c r="Y419" t="n">
        <x:v>3630</x:v>
      </x:c>
      <x:c r="Z419" s="17" t="n">
        <x:v>4.95</x:v>
      </x:c>
      <x:c r="AA419" s="16" t="n">
        <x:v>0.6369</x:v>
      </x:c>
      <x:c r="AB419" s="16" t="n">
        <x:v>0.9151</x:v>
      </x:c>
      <x:c r="AC419" s="16" t="n">
        <x:v>0.9032</x:v>
      </x:c>
      <x:c r="AD419" t="n">
        <x:v>0</x:v>
      </x:c>
      <x:c r="AE419" t="str">
        <x:f>IF(O419&lt;&gt;"ACTIVE","NOT_RATED",IF(AND(Z419&gt;=4.8,AB419&gt;=0.97,AC419&gt;=0.93,AD419=0),"ELITE",IF(AND(Z419&gt;=4.6,AB419&gt;=0.94,AC419&gt;=0.88),"HIGH_PERFORMER",IF(OR(Z419&lt;4.2,AB419&lt;0.85,AD419&gt;=2),"AT_RISK","STANDARD"))))</x:f>
        <x:v>STANDARD</x:v>
      </x:c>
      <x:c r="AF419" s="15" t="n">
        <x:v>46018</x:v>
      </x:c>
      <x:c r="AG419" t="str">
        <x:v>VERIFIED</x:v>
      </x:c>
      <x:c r="AH419" t="str">
        <x:v>COMPLETE</x:v>
      </x:c>
      <x:c r="AI419" t="str">
        <x:v>Cameron Lee</x:v>
      </x:c>
      <x:c r="AJ419" t="str">
        <x:v>SIBLING</x:v>
      </x:c>
      <x:c r="AK419" t="str">
        <x:v>+1 (612) 555-0142</x:v>
      </x:c>
    </x:row>
    <x:row r="420" ht="18" customHeight="1">
      <x:c r="A420" t="str">
        <x:v>DHR-00419</x:v>
      </x:c>
      <x:c r="B420" t="str">
        <x:v>Noah Johnson</x:v>
      </x:c>
      <x:c r="C420" t="str">
        <x:v>https://api.dicebear.com/9.x/adventurer/png?seed=DHR-00419-Noah%20Johnson&amp;size=256&amp;radius=50&amp;backgroundColor=b6e3f4,c0aede,d1d4f9,ffd5dc,ffdfbf</x:v>
      </x:c>
      <x:c r="D420" t="str">
        <x:v>noah.johnson.419@example.com</x:v>
      </x:c>
      <x:c r="E420" t="str">
        <x:v>+1 (305) 555-0118</x:v>
      </x:c>
      <x:c r="F420" t="str">
        <x:v>Miami, FL</x:v>
      </x:c>
      <x:c r="G420" t="str">
        <x:v>Miami</x:v>
      </x:c>
      <x:c r="H420" t="str">
        <x:v>FL</x:v>
      </x:c>
      <x:c r="I420" s="18" t="str">
        <x:v>33130</x:v>
      </x:c>
      <x:c r="J420" s="15" t="n">
        <x:v>35228.87781445602</x:v>
      </x:c>
      <x:c r="K420" t="n">
        <x:f>INT((DATE(2025,12,31)-J420)/365.25)</x:f>
        <x:v>29</x:v>
      </x:c>
      <x:c r="L420" t="str">
        <x:f>IF(K420&lt;25,"18-24",IF(K420&lt;35,"25-34",IF(K420&lt;45,"35-44",IF(K420&lt;55,"45-54","55+"))))</x:f>
        <x:v>25-34</x:v>
      </x:c>
      <x:c r="M420" s="15" t="n">
        <x:v>44394.88492408565</x:v>
      </x:c>
      <x:c r="N420" t="n">
        <x:f>(YEAR(DATE(2025,12,31))-YEAR(M420))*12+MONTH(DATE(2025,12,31))-MONTH(M420)</x:f>
        <x:v>53</x:v>
      </x:c>
      <x:c r="O420" t="str">
        <x:v>ACTIVE</x:v>
      </x:c>
      <x:c r="P420" t="str">
        <x:v>INDEPENDENT_CONTRACTOR</x:v>
      </x:c>
      <x:c r="Q420" t="str">
        <x:v>CAR</x:v>
      </x:c>
      <x:c r="R420" t="str">
        <x:v>WEEKENDS</x:v>
      </x:c>
      <x:c r="S420" t="n">
        <x:v>32</x:v>
      </x:c>
      <x:c r="T420" t="str">
        <x:v>CLEARED</x:v>
      </x:c>
      <x:c r="U420" t="str">
        <x:v>EXPIRING_SOON</x:v>
      </x:c>
      <x:c r="V420" s="16" t="n">
        <x:v>0.9842</x:v>
      </x:c>
      <x:c r="W420" t="str">
        <x:v>Spanish</x:v>
      </x:c>
      <x:c r="X420"/>
      <x:c r="Y420" t="n">
        <x:v>5232</x:v>
      </x:c>
      <x:c r="Z420" s="17" t="n">
        <x:v>4.91</x:v>
      </x:c>
      <x:c r="AA420" s="16" t="n">
        <x:v>0.8741</x:v>
      </x:c>
      <x:c r="AB420" s="16" t="n">
        <x:v>0.9198</x:v>
      </x:c>
      <x:c r="AC420" s="16" t="n">
        <x:v>0.9424</x:v>
      </x:c>
      <x:c r="AD420" t="n">
        <x:v>0</x:v>
      </x:c>
      <x:c r="AE420" t="str">
        <x:f>IF(O420&lt;&gt;"ACTIVE","NOT_RATED",IF(AND(Z420&gt;=4.8,AB420&gt;=0.97,AC420&gt;=0.93,AD420=0),"ELITE",IF(AND(Z420&gt;=4.6,AB420&gt;=0.94,AC420&gt;=0.88),"HIGH_PERFORMER",IF(OR(Z420&lt;4.2,AB420&lt;0.85,AD420&gt;=2),"AT_RISK","STANDARD"))))</x:f>
        <x:v>STANDARD</x:v>
      </x:c>
      <x:c r="AF420" s="15" t="n">
        <x:v>46022</x:v>
      </x:c>
      <x:c r="AG420" t="str">
        <x:v>VERIFIED</x:v>
      </x:c>
      <x:c r="AH420" t="str">
        <x:v>COMPLETE</x:v>
      </x:c>
      <x:c r="AI420" t="str">
        <x:v>Cameron Clark</x:v>
      </x:c>
      <x:c r="AJ420" t="str">
        <x:v>SPOUSE_PARTNER</x:v>
      </x:c>
      <x:c r="AK420" t="str">
        <x:v>+1 (305) 555-0149</x:v>
      </x:c>
    </x:row>
    <x:row r="421" ht="18" customHeight="1">
      <x:c r="A421" t="str">
        <x:v>DHR-00420</x:v>
      </x:c>
      <x:c r="B421" t="str">
        <x:v>Noah Jones</x:v>
      </x:c>
      <x:c r="C421" t="str">
        <x:v>https://api.dicebear.com/9.x/adventurer/png?seed=DHR-00420-Noah%20Jones&amp;size=256&amp;radius=50&amp;backgroundColor=b6e3f4,c0aede,d1d4f9,ffd5dc,ffdfbf</x:v>
      </x:c>
      <x:c r="D421" t="str">
        <x:v>noah.jones.420@example.com</x:v>
      </x:c>
      <x:c r="E421" t="str">
        <x:v>+1 (415) 555-0119</x:v>
      </x:c>
      <x:c r="F421" t="str">
        <x:v>San Francisco, CA</x:v>
      </x:c>
      <x:c r="G421" t="str">
        <x:v>San Francisco</x:v>
      </x:c>
      <x:c r="H421" t="str">
        <x:v>CA</x:v>
      </x:c>
      <x:c r="I421" s="18" t="str">
        <x:v>94103</x:v>
      </x:c>
      <x:c r="J421" s="15" t="n">
        <x:v>27776.20548519676</x:v>
      </x:c>
      <x:c r="K421" t="n">
        <x:f>INT((DATE(2025,12,31)-J421)/365.25)</x:f>
        <x:v>49</x:v>
      </x:c>
      <x:c r="L421" t="str">
        <x:f>IF(K421&lt;25,"18-24",IF(K421&lt;35,"25-34",IF(K421&lt;45,"35-44",IF(K421&lt;55,"45-54","55+"))))</x:f>
        <x:v>45-54</x:v>
      </x:c>
      <x:c r="M421" s="15" t="n">
        <x:v>45711.90274765046</x:v>
      </x:c>
      <x:c r="N421" t="n">
        <x:f>(YEAR(DATE(2025,12,31))-YEAR(M421))*12+MONTH(DATE(2025,12,31))-MONTH(M421)</x:f>
        <x:v>10</x:v>
      </x:c>
      <x:c r="O421" t="str">
        <x:v>ACTIVE</x:v>
      </x:c>
      <x:c r="P421" t="str">
        <x:v>INDEPENDENT_CONTRACTOR</x:v>
      </x:c>
      <x:c r="Q421" t="str">
        <x:v>CAR</x:v>
      </x:c>
      <x:c r="R421" t="str">
        <x:v>DINNER</x:v>
      </x:c>
      <x:c r="S421" t="n">
        <x:v>11</x:v>
      </x:c>
      <x:c r="T421" t="str">
        <x:v>CLEARED</x:v>
      </x:c>
      <x:c r="U421" t="str">
        <x:v>VALID</x:v>
      </x:c>
      <x:c r="V421" s="16" t="n">
        <x:v>0.9444</x:v>
      </x:c>
      <x:c r="W421" t="str">
        <x:v>English</x:v>
      </x:c>
      <x:c r="X421"/>
      <x:c r="Y421" t="n">
        <x:v>278</x:v>
      </x:c>
      <x:c r="Z421" s="17" t="n">
        <x:v>4.89</x:v>
      </x:c>
      <x:c r="AA421" s="16" t="n">
        <x:v>0.6973</x:v>
      </x:c>
      <x:c r="AB421" s="16" t="n">
        <x:v>0.925</x:v>
      </x:c>
      <x:c r="AC421" s="16" t="n">
        <x:v>0.8046</x:v>
      </x:c>
      <x:c r="AD421" t="n">
        <x:v>0</x:v>
      </x:c>
      <x:c r="AE421" t="str">
        <x:f>IF(O421&lt;&gt;"ACTIVE","NOT_RATED",IF(AND(Z421&gt;=4.8,AB421&gt;=0.97,AC421&gt;=0.93,AD421=0),"ELITE",IF(AND(Z421&gt;=4.6,AB421&gt;=0.94,AC421&gt;=0.88),"HIGH_PERFORMER",IF(OR(Z421&lt;4.2,AB421&lt;0.85,AD421&gt;=2),"AT_RISK","STANDARD"))))</x:f>
        <x:v>STANDARD</x:v>
      </x:c>
      <x:c r="AF421" s="15" t="n">
        <x:v>46019</x:v>
      </x:c>
      <x:c r="AG421" t="str">
        <x:v>VERIFIED</x:v>
      </x:c>
      <x:c r="AH421" t="str">
        <x:v>COMPLETE</x:v>
      </x:c>
      <x:c r="AI421" t="str">
        <x:v>Jesse Lewis</x:v>
      </x:c>
      <x:c r="AJ421" t="str">
        <x:v>SPOUSE_PARTNER</x:v>
      </x:c>
      <x:c r="AK421" t="str">
        <x:v>+1 (415) 555-0156</x:v>
      </x:c>
    </x:row>
    <x:row r="422" ht="18" customHeight="1">
      <x:c r="A422" t="str">
        <x:v>DHR-00421</x:v>
      </x:c>
      <x:c r="B422" t="str">
        <x:v>Noah Lee</x:v>
      </x:c>
      <x:c r="C422" t="str">
        <x:v>https://api.dicebear.com/9.x/adventurer/png?seed=DHR-00421-Noah%20Lee&amp;size=256&amp;radius=50&amp;backgroundColor=b6e3f4,c0aede,d1d4f9,ffd5dc,ffdfbf</x:v>
      </x:c>
      <x:c r="D422" t="str">
        <x:v>noah.lee.421@example.com</x:v>
      </x:c>
      <x:c r="E422" t="str">
        <x:v>+1 (713) 555-0120</x:v>
      </x:c>
      <x:c r="F422" t="str">
        <x:v>Houston, TX</x:v>
      </x:c>
      <x:c r="G422" t="str">
        <x:v>Houston</x:v>
      </x:c>
      <x:c r="H422" t="str">
        <x:v>TX</x:v>
      </x:c>
      <x:c r="I422" s="18" t="str">
        <x:v>77002</x:v>
      </x:c>
      <x:c r="J422" s="15" t="n">
        <x:v>23404.71027628472</x:v>
      </x:c>
      <x:c r="K422" t="n">
        <x:f>INT((DATE(2025,12,31)-J422)/365.25)</x:f>
        <x:v>61</x:v>
      </x:c>
      <x:c r="L422" t="str">
        <x:f>IF(K422&lt;25,"18-24",IF(K422&lt;35,"25-34",IF(K422&lt;45,"35-44",IF(K422&lt;55,"45-54","55+"))))</x:f>
        <x:v>55+</x:v>
      </x:c>
      <x:c r="M422" s="15" t="n">
        <x:v>45401.48534907407</x:v>
      </x:c>
      <x:c r="N422" t="n">
        <x:f>(YEAR(DATE(2025,12,31))-YEAR(M422))*12+MONTH(DATE(2025,12,31))-MONTH(M422)</x:f>
        <x:v>20</x:v>
      </x:c>
      <x:c r="O422" t="str">
        <x:v>ACTIVE</x:v>
      </x:c>
      <x:c r="P422" t="str">
        <x:v>INDEPENDENT_CONTRACTOR</x:v>
      </x:c>
      <x:c r="Q422" t="str">
        <x:v>BICYCLE</x:v>
      </x:c>
      <x:c r="R422" t="str">
        <x:v>WEEKENDS</x:v>
      </x:c>
      <x:c r="S422" t="n">
        <x:v>20</x:v>
      </x:c>
      <x:c r="T422" t="str">
        <x:v>CLEARED</x:v>
      </x:c>
      <x:c r="U422" t="str">
        <x:v>NOT_REQUIRED</x:v>
      </x:c>
      <x:c r="V422" s="16" t="n">
        <x:v>0.9044</x:v>
      </x:c>
      <x:c r="W422" t="str">
        <x:v>English</x:v>
      </x:c>
      <x:c r="X422" t="str">
        <x:v>Spanish</x:v>
      </x:c>
      <x:c r="Y422" t="n">
        <x:v>1223</x:v>
      </x:c>
      <x:c r="Z422" s="17" t="n">
        <x:v>4.62</x:v>
      </x:c>
      <x:c r="AA422" s="16" t="n">
        <x:v>0.6193</x:v>
      </x:c>
      <x:c r="AB422" s="16" t="n">
        <x:v>0.953</x:v>
      </x:c>
      <x:c r="AC422" s="16" t="n">
        <x:v>0.815</x:v>
      </x:c>
      <x:c r="AD422" t="n">
        <x:v>0</x:v>
      </x:c>
      <x:c r="AE422" t="str">
        <x:f>IF(O422&lt;&gt;"ACTIVE","NOT_RATED",IF(AND(Z422&gt;=4.8,AB422&gt;=0.97,AC422&gt;=0.93,AD422=0),"ELITE",IF(AND(Z422&gt;=4.6,AB422&gt;=0.94,AC422&gt;=0.88),"HIGH_PERFORMER",IF(OR(Z422&lt;4.2,AB422&lt;0.85,AD422&gt;=2),"AT_RISK","STANDARD"))))</x:f>
        <x:v>STANDARD</x:v>
      </x:c>
      <x:c r="AF422" s="15" t="n">
        <x:v>46013</x:v>
      </x:c>
      <x:c r="AG422" t="str">
        <x:v>VERIFIED</x:v>
      </x:c>
      <x:c r="AH422" t="str">
        <x:v>COMPLETE</x:v>
      </x:c>
      <x:c r="AI422" t="str">
        <x:v>Lucas Jones</x:v>
      </x:c>
      <x:c r="AJ422" t="str">
        <x:v>SIBLING</x:v>
      </x:c>
      <x:c r="AK422" t="str">
        <x:v>+1 (713) 555-0163</x:v>
      </x:c>
    </x:row>
    <x:row r="423" ht="18" customHeight="1">
      <x:c r="A423" t="str">
        <x:v>DHR-00422</x:v>
      </x:c>
      <x:c r="B423" t="str">
        <x:v>Noah Lewis</x:v>
      </x:c>
      <x:c r="C423" t="str">
        <x:v>https://api.dicebear.com/9.x/adventurer/png?seed=DHR-00422-Noah%20Lewis&amp;size=256&amp;radius=50&amp;backgroundColor=b6e3f4,c0aede,d1d4f9,ffd5dc,ffdfbf</x:v>
      </x:c>
      <x:c r="D423" t="str">
        <x:v>noah.lewis.422@example.com</x:v>
      </x:c>
      <x:c r="E423" t="str">
        <x:v>+1 (713) 555-0121</x:v>
      </x:c>
      <x:c r="F423" t="str">
        <x:v>Houston, TX</x:v>
      </x:c>
      <x:c r="G423" t="str">
        <x:v>Houston</x:v>
      </x:c>
      <x:c r="H423" t="str">
        <x:v>TX</x:v>
      </x:c>
      <x:c r="I423" s="18" t="str">
        <x:v>77002</x:v>
      </x:c>
      <x:c r="J423" s="15" t="n">
        <x:v>31443.49820991898</x:v>
      </x:c>
      <x:c r="K423" t="n">
        <x:f>INT((DATE(2025,12,31)-J423)/365.25)</x:f>
        <x:v>39</x:v>
      </x:c>
      <x:c r="L423" t="str">
        <x:f>IF(K423&lt;25,"18-24",IF(K423&lt;35,"25-34",IF(K423&lt;45,"35-44",IF(K423&lt;55,"45-54","55+"))))</x:f>
        <x:v>35-44</x:v>
      </x:c>
      <x:c r="M423" s="15" t="n">
        <x:v>44262.90301744213</x:v>
      </x:c>
      <x:c r="N423" t="n">
        <x:f>(YEAR(DATE(2025,12,31))-YEAR(M423))*12+MONTH(DATE(2025,12,31))-MONTH(M423)</x:f>
        <x:v>57</x:v>
      </x:c>
      <x:c r="O423" t="str">
        <x:v>OFFBOARDED</x:v>
      </x:c>
      <x:c r="P423" t="str">
        <x:v>INDEPENDENT_CONTRACTOR</x:v>
      </x:c>
      <x:c r="Q423" t="str">
        <x:v>CAR</x:v>
      </x:c>
      <x:c r="R423" t="str">
        <x:v>LUNCH</x:v>
      </x:c>
      <x:c r="S423" t="n">
        <x:v>34</x:v>
      </x:c>
      <x:c r="T423" t="str">
        <x:v>CLEARED</x:v>
      </x:c>
      <x:c r="U423" t="str">
        <x:v>VALID</x:v>
      </x:c>
      <x:c r="V423" s="16" t="n">
        <x:v>0.8592</x:v>
      </x:c>
      <x:c r="W423" t="str">
        <x:v>Mandarin</x:v>
      </x:c>
      <x:c r="X423"/>
      <x:c r="Y423" t="n">
        <x:v>4857</x:v>
      </x:c>
      <x:c r="Z423" s="17" t="n">
        <x:v>4.18</x:v>
      </x:c>
      <x:c r="AA423" s="16" t="n">
        <x:v>0.8436</x:v>
      </x:c>
      <x:c r="AB423" s="16" t="n">
        <x:v>0.9396</x:v>
      </x:c>
      <x:c r="AC423" s="16" t="n">
        <x:v>0.9501</x:v>
      </x:c>
      <x:c r="AD423" t="n">
        <x:v>1</x:v>
      </x:c>
      <x:c r="AE423" t="str">
        <x:f>IF(O423&lt;&gt;"ACTIVE","NOT_RATED",IF(AND(Z423&gt;=4.8,AB423&gt;=0.97,AC423&gt;=0.93,AD423=0),"ELITE",IF(AND(Z423&gt;=4.6,AB423&gt;=0.94,AC423&gt;=0.88),"HIGH_PERFORMER",IF(OR(Z423&lt;4.2,AB423&lt;0.85,AD423&gt;=2),"AT_RISK","STANDARD"))))</x:f>
        <x:v>NOT_RATED</x:v>
      </x:c>
      <x:c r="AF423" s="15" t="n">
        <x:v>45672</x:v>
      </x:c>
      <x:c r="AG423" t="str">
        <x:v>VERIFIED</x:v>
      </x:c>
      <x:c r="AH423" t="str">
        <x:v>COMPLETE</x:v>
      </x:c>
      <x:c r="AI423" t="str">
        <x:v>Drew Clark</x:v>
      </x:c>
      <x:c r="AJ423" t="str">
        <x:v>SIBLING</x:v>
      </x:c>
      <x:c r="AK423" t="str">
        <x:v>+1 (713) 555-0170</x:v>
      </x:c>
    </x:row>
    <x:row r="424" ht="18" customHeight="1">
      <x:c r="A424" t="str">
        <x:v>DHR-00423</x:v>
      </x:c>
      <x:c r="B424" t="str">
        <x:v>Noah Martin</x:v>
      </x:c>
      <x:c r="C424" t="str">
        <x:v>https://api.dicebear.com/9.x/adventurer/png?seed=DHR-00423-Noah%20Martin&amp;size=256&amp;radius=50&amp;backgroundColor=b6e3f4,c0aede,d1d4f9,ffd5dc,ffdfbf</x:v>
      </x:c>
      <x:c r="D424" t="str">
        <x:v>noah.martin.423@example.com</x:v>
      </x:c>
      <x:c r="E424" t="str">
        <x:v>+1 (215) 555-0122</x:v>
      </x:c>
      <x:c r="F424" t="str">
        <x:v>Philadelphia, PA</x:v>
      </x:c>
      <x:c r="G424" t="str">
        <x:v>Philadelphia</x:v>
      </x:c>
      <x:c r="H424" t="str">
        <x:v>PA</x:v>
      </x:c>
      <x:c r="I424" s="18" t="str">
        <x:v>19103</x:v>
      </x:c>
      <x:c r="J424" s="15" t="n">
        <x:v>34850.725444895834</x:v>
      </x:c>
      <x:c r="K424" t="n">
        <x:f>INT((DATE(2025,12,31)-J424)/365.25)</x:f>
        <x:v>30</x:v>
      </x:c>
      <x:c r="L424" t="str">
        <x:f>IF(K424&lt;25,"18-24",IF(K424&lt;35,"25-34",IF(K424&lt;45,"35-44",IF(K424&lt;55,"45-54","55+"))))</x:f>
        <x:v>25-34</x:v>
      </x:c>
      <x:c r="M424" s="15" t="n">
        <x:v>44230.16892451389</x:v>
      </x:c>
      <x:c r="N424" t="n">
        <x:f>(YEAR(DATE(2025,12,31))-YEAR(M424))*12+MONTH(DATE(2025,12,31))-MONTH(M424)</x:f>
        <x:v>58</x:v>
      </x:c>
      <x:c r="O424" t="str">
        <x:v>ACTIVE</x:v>
      </x:c>
      <x:c r="P424" t="str">
        <x:v>INDEPENDENT_CONTRACTOR</x:v>
      </x:c>
      <x:c r="Q424" t="str">
        <x:v>BICYCLE</x:v>
      </x:c>
      <x:c r="R424" t="str">
        <x:v>DINNER</x:v>
      </x:c>
      <x:c r="S424" t="n">
        <x:v>13</x:v>
      </x:c>
      <x:c r="T424" t="str">
        <x:v>PENDING</x:v>
      </x:c>
      <x:c r="U424" t="str">
        <x:v>NOT_REQUIRED</x:v>
      </x:c>
      <x:c r="V424" s="16" t="n">
        <x:v>0.9198</x:v>
      </x:c>
      <x:c r="W424" t="str">
        <x:v>Spanish</x:v>
      </x:c>
      <x:c r="X424"/>
      <x:c r="Y424" t="n">
        <x:v>1879</x:v>
      </x:c>
      <x:c r="Z424" s="17" t="n">
        <x:v>4.56</x:v>
      </x:c>
      <x:c r="AA424" s="16" t="n">
        <x:v>0.9716</x:v>
      </x:c>
      <x:c r="AB424" s="16" t="n">
        <x:v>0.9705</x:v>
      </x:c>
      <x:c r="AC424" s="16" t="n">
        <x:v>0.8343</x:v>
      </x:c>
      <x:c r="AD424" t="n">
        <x:v>0</x:v>
      </x:c>
      <x:c r="AE424" t="str">
        <x:f>IF(O424&lt;&gt;"ACTIVE","NOT_RATED",IF(AND(Z424&gt;=4.8,AB424&gt;=0.97,AC424&gt;=0.93,AD424=0),"ELITE",IF(AND(Z424&gt;=4.6,AB424&gt;=0.94,AC424&gt;=0.88),"HIGH_PERFORMER",IF(OR(Z424&lt;4.2,AB424&lt;0.85,AD424&gt;=2),"AT_RISK","STANDARD"))))</x:f>
        <x:v>STANDARD</x:v>
      </x:c>
      <x:c r="AF424" s="15" t="n">
        <x:v>46016</x:v>
      </x:c>
      <x:c r="AG424" t="str">
        <x:v>PENDING</x:v>
      </x:c>
      <x:c r="AH424" t="str">
        <x:v>COMPLETE</x:v>
      </x:c>
      <x:c r="AI424" t="str">
        <x:v>Lucas Lee</x:v>
      </x:c>
      <x:c r="AJ424" t="str">
        <x:v>SPOUSE_PARTNER</x:v>
      </x:c>
      <x:c r="AK424" t="str">
        <x:v>+1 (215) 555-0177</x:v>
      </x:c>
    </x:row>
    <x:row r="425" ht="18" customHeight="1">
      <x:c r="A425" t="str">
        <x:v>DHR-00424</x:v>
      </x:c>
      <x:c r="B425" t="str">
        <x:v>Noah Martinez</x:v>
      </x:c>
      <x:c r="C425" t="str">
        <x:v>https://api.dicebear.com/9.x/adventurer/png?seed=DHR-00424-Noah%20Martinez&amp;size=256&amp;radius=50&amp;backgroundColor=b6e3f4,c0aede,d1d4f9,ffd5dc,ffdfbf</x:v>
      </x:c>
      <x:c r="D425" t="str">
        <x:v>noah.martinez.424@example.com</x:v>
      </x:c>
      <x:c r="E425" t="str">
        <x:v>+1 (512) 555-0123</x:v>
      </x:c>
      <x:c r="F425" t="str">
        <x:v>Austin, TX</x:v>
      </x:c>
      <x:c r="G425" t="str">
        <x:v>Austin</x:v>
      </x:c>
      <x:c r="H425" t="str">
        <x:v>TX</x:v>
      </x:c>
      <x:c r="I425" s="18" t="str">
        <x:v>78701</x:v>
      </x:c>
      <x:c r="J425" s="15" t="n">
        <x:v>36256.212073055554</x:v>
      </x:c>
      <x:c r="K425" t="n">
        <x:f>INT((DATE(2025,12,31)-J425)/365.25)</x:f>
        <x:v>26</x:v>
      </x:c>
      <x:c r="L425" t="str">
        <x:f>IF(K425&lt;25,"18-24",IF(K425&lt;35,"25-34",IF(K425&lt;45,"35-44",IF(K425&lt;55,"45-54","55+"))))</x:f>
        <x:v>25-34</x:v>
      </x:c>
      <x:c r="M425" s="15" t="n">
        <x:v>45001.57542422454</x:v>
      </x:c>
      <x:c r="N425" t="n">
        <x:f>(YEAR(DATE(2025,12,31))-YEAR(M425))*12+MONTH(DATE(2025,12,31))-MONTH(M425)</x:f>
        <x:v>33</x:v>
      </x:c>
      <x:c r="O425" t="str">
        <x:v>ACTIVE</x:v>
      </x:c>
      <x:c r="P425" t="str">
        <x:v>INDEPENDENT_CONTRACTOR</x:v>
      </x:c>
      <x:c r="Q425" t="str">
        <x:v>CAR</x:v>
      </x:c>
      <x:c r="R425" t="str">
        <x:v>DINNER</x:v>
      </x:c>
      <x:c r="S425" t="n">
        <x:v>26</x:v>
      </x:c>
      <x:c r="T425" t="str">
        <x:v>CLEARED</x:v>
      </x:c>
      <x:c r="U425" t="str">
        <x:v>VALID</x:v>
      </x:c>
      <x:c r="V425" s="16" t="n">
        <x:v>0.899</x:v>
      </x:c>
      <x:c r="W425" t="str">
        <x:v>English</x:v>
      </x:c>
      <x:c r="X425"/>
      <x:c r="Y425" t="n">
        <x:v>2952</x:v>
      </x:c>
      <x:c r="Z425" s="17" t="n">
        <x:v>4.67</x:v>
      </x:c>
      <x:c r="AA425" s="16" t="n">
        <x:v>0.6198</x:v>
      </x:c>
      <x:c r="AB425" s="16" t="n">
        <x:v>0.915</x:v>
      </x:c>
      <x:c r="AC425" s="16" t="n">
        <x:v>0.9671</x:v>
      </x:c>
      <x:c r="AD425" t="n">
        <x:v>0</x:v>
      </x:c>
      <x:c r="AE425" t="str">
        <x:f>IF(O425&lt;&gt;"ACTIVE","NOT_RATED",IF(AND(Z425&gt;=4.8,AB425&gt;=0.97,AC425&gt;=0.93,AD425=0),"ELITE",IF(AND(Z425&gt;=4.6,AB425&gt;=0.94,AC425&gt;=0.88),"HIGH_PERFORMER",IF(OR(Z425&lt;4.2,AB425&lt;0.85,AD425&gt;=2),"AT_RISK","STANDARD"))))</x:f>
        <x:v>STANDARD</x:v>
      </x:c>
      <x:c r="AF425" s="15" t="n">
        <x:v>46015</x:v>
      </x:c>
      <x:c r="AG425" t="str">
        <x:v>ON_HOLD</x:v>
      </x:c>
      <x:c r="AH425" t="str">
        <x:v>PENDING</x:v>
      </x:c>
      <x:c r="AI425" t="str">
        <x:v>Hayden Martin</x:v>
      </x:c>
      <x:c r="AJ425" t="str">
        <x:v>OTHER</x:v>
      </x:c>
      <x:c r="AK425" t="str">
        <x:v>+1 (512) 555-0184</x:v>
      </x:c>
    </x:row>
    <x:row r="426" ht="18" customHeight="1">
      <x:c r="A426" t="str">
        <x:v>DHR-00425</x:v>
      </x:c>
      <x:c r="B426" t="str">
        <x:v>Noah Miller</x:v>
      </x:c>
      <x:c r="C426" t="str">
        <x:v>https://api.dicebear.com/9.x/adventurer/png?seed=DHR-00425-Noah%20Miller&amp;size=256&amp;radius=50&amp;backgroundColor=b6e3f4,c0aede,d1d4f9,ffd5dc,ffdfbf</x:v>
      </x:c>
      <x:c r="D426" t="str">
        <x:v>noah.miller.425@example.com</x:v>
      </x:c>
      <x:c r="E426" t="str">
        <x:v>+1 (619) 555-0124</x:v>
      </x:c>
      <x:c r="F426" t="str">
        <x:v>San Diego, CA</x:v>
      </x:c>
      <x:c r="G426" t="str">
        <x:v>San Diego</x:v>
      </x:c>
      <x:c r="H426" t="str">
        <x:v>CA</x:v>
      </x:c>
      <x:c r="I426" s="18" t="str">
        <x:v>92101</x:v>
      </x:c>
      <x:c r="J426" s="15" t="n">
        <x:v>35745.9701793287</x:v>
      </x:c>
      <x:c r="K426" t="n">
        <x:f>INT((DATE(2025,12,31)-J426)/365.25)</x:f>
        <x:v>28</x:v>
      </x:c>
      <x:c r="L426" t="str">
        <x:f>IF(K426&lt;25,"18-24",IF(K426&lt;35,"25-34",IF(K426&lt;45,"35-44",IF(K426&lt;55,"45-54","55+"))))</x:f>
        <x:v>25-34</x:v>
      </x:c>
      <x:c r="M426" s="15" t="n">
        <x:v>44099.201736979165</x:v>
      </x:c>
      <x:c r="N426" t="n">
        <x:f>(YEAR(DATE(2025,12,31))-YEAR(M426))*12+MONTH(DATE(2025,12,31))-MONTH(M426)</x:f>
        <x:v>63</x:v>
      </x:c>
      <x:c r="O426" t="str">
        <x:v>ACTIVE</x:v>
      </x:c>
      <x:c r="P426" t="str">
        <x:v>INDEPENDENT_CONTRACTOR</x:v>
      </x:c>
      <x:c r="Q426" t="str">
        <x:v>CAR</x:v>
      </x:c>
      <x:c r="R426" t="str">
        <x:v>WEEKENDS</x:v>
      </x:c>
      <x:c r="S426" t="n">
        <x:v>18</x:v>
      </x:c>
      <x:c r="T426" t="str">
        <x:v>REVIEW_REQUIRED</x:v>
      </x:c>
      <x:c r="U426" t="str">
        <x:v>VALID</x:v>
      </x:c>
      <x:c r="V426" s="16" t="n">
        <x:v>0.9029</x:v>
      </x:c>
      <x:c r="W426" t="str">
        <x:v>English</x:v>
      </x:c>
      <x:c r="X426"/>
      <x:c r="Y426" t="n">
        <x:v>2308</x:v>
      </x:c>
      <x:c r="Z426" s="17" t="n">
        <x:v>4.45</x:v>
      </x:c>
      <x:c r="AA426" s="16" t="n">
        <x:v>0.7866</x:v>
      </x:c>
      <x:c r="AB426" s="16" t="n">
        <x:v>0.998</x:v>
      </x:c>
      <x:c r="AC426" s="16" t="n">
        <x:v>0.9239</x:v>
      </x:c>
      <x:c r="AD426" t="n">
        <x:v>0</x:v>
      </x:c>
      <x:c r="AE426" t="str">
        <x:f>IF(O426&lt;&gt;"ACTIVE","NOT_RATED",IF(AND(Z426&gt;=4.8,AB426&gt;=0.97,AC426&gt;=0.93,AD426=0),"ELITE",IF(AND(Z426&gt;=4.6,AB426&gt;=0.94,AC426&gt;=0.88),"HIGH_PERFORMER",IF(OR(Z426&lt;4.2,AB426&lt;0.85,AD426&gt;=2),"AT_RISK","STANDARD"))))</x:f>
        <x:v>STANDARD</x:v>
      </x:c>
      <x:c r="AF426" s="15" t="n">
        <x:v>46009</x:v>
      </x:c>
      <x:c r="AG426" t="str">
        <x:v>VERIFIED</x:v>
      </x:c>
      <x:c r="AH426" t="str">
        <x:v>COMPLETE</x:v>
      </x:c>
      <x:c r="AI426" t="str">
        <x:v>Reese Anderson</x:v>
      </x:c>
      <x:c r="AJ426" t="str">
        <x:v>PARENT</x:v>
      </x:c>
      <x:c r="AK426" t="str">
        <x:v>+1 (619) 555-0191</x:v>
      </x:c>
    </x:row>
    <x:row r="427" ht="18" customHeight="1">
      <x:c r="A427" t="str">
        <x:v>DHR-00426</x:v>
      </x:c>
      <x:c r="B427" t="str">
        <x:v>Noah Moore</x:v>
      </x:c>
      <x:c r="C427" t="str">
        <x:v>https://api.dicebear.com/9.x/adventurer/png?seed=DHR-00426-Noah%20Moore&amp;size=256&amp;radius=50&amp;backgroundColor=b6e3f4,c0aede,d1d4f9,ffd5dc,ffdfbf</x:v>
      </x:c>
      <x:c r="D427" t="str">
        <x:v>noah.moore.426@example.com</x:v>
      </x:c>
      <x:c r="E427" t="str">
        <x:v>+1 (503) 555-0125</x:v>
      </x:c>
      <x:c r="F427" t="str">
        <x:v>Portland, OR</x:v>
      </x:c>
      <x:c r="G427" t="str">
        <x:v>Portland</x:v>
      </x:c>
      <x:c r="H427" t="str">
        <x:v>OR</x:v>
      </x:c>
      <x:c r="I427" s="18" t="str">
        <x:v>97205</x:v>
      </x:c>
      <x:c r="J427" s="15" t="n">
        <x:v>33215.798696921294</x:v>
      </x:c>
      <x:c r="K427" t="n">
        <x:f>INT((DATE(2025,12,31)-J427)/365.25)</x:f>
        <x:v>35</x:v>
      </x:c>
      <x:c r="L427" t="str">
        <x:f>IF(K427&lt;25,"18-24",IF(K427&lt;35,"25-34",IF(K427&lt;45,"35-44",IF(K427&lt;55,"45-54","55+"))))</x:f>
        <x:v>35-44</x:v>
      </x:c>
      <x:c r="M427" s="15" t="n">
        <x:v>43998.28611603009</x:v>
      </x:c>
      <x:c r="N427" t="n">
        <x:f>(YEAR(DATE(2025,12,31))-YEAR(M427))*12+MONTH(DATE(2025,12,31))-MONTH(M427)</x:f>
        <x:v>66</x:v>
      </x:c>
      <x:c r="O427" t="str">
        <x:v>ACTIVE</x:v>
      </x:c>
      <x:c r="P427" t="str">
        <x:v>INDEPENDENT_CONTRACTOR</x:v>
      </x:c>
      <x:c r="Q427" t="str">
        <x:v>CAR</x:v>
      </x:c>
      <x:c r="R427" t="str">
        <x:v>FLEXIBLE</x:v>
      </x:c>
      <x:c r="S427" t="n">
        <x:v>40</x:v>
      </x:c>
      <x:c r="T427" t="str">
        <x:v>CLEARED</x:v>
      </x:c>
      <x:c r="U427" t="str">
        <x:v>VALID</x:v>
      </x:c>
      <x:c r="V427" s="16" t="n">
        <x:v>0.9296</x:v>
      </x:c>
      <x:c r="W427" t="str">
        <x:v>English</x:v>
      </x:c>
      <x:c r="X427"/>
      <x:c r="Y427" t="n">
        <x:v>8372</x:v>
      </x:c>
      <x:c r="Z427" s="17" t="n">
        <x:v>4.9</x:v>
      </x:c>
      <x:c r="AA427" s="16" t="n">
        <x:v>0.8015</x:v>
      </x:c>
      <x:c r="AB427" s="16" t="n">
        <x:v>0.998</x:v>
      </x:c>
      <x:c r="AC427" s="16" t="n">
        <x:v>0.9601</x:v>
      </x:c>
      <x:c r="AD427" t="n">
        <x:v>0</x:v>
      </x:c>
      <x:c r="AE427" t="str">
        <x:f>IF(O427&lt;&gt;"ACTIVE","NOT_RATED",IF(AND(Z427&gt;=4.8,AB427&gt;=0.97,AC427&gt;=0.93,AD427=0),"ELITE",IF(AND(Z427&gt;=4.6,AB427&gt;=0.94,AC427&gt;=0.88),"HIGH_PERFORMER",IF(OR(Z427&lt;4.2,AB427&lt;0.85,AD427&gt;=2),"AT_RISK","STANDARD"))))</x:f>
        <x:v>ELITE</x:v>
      </x:c>
      <x:c r="AF427" s="15" t="n">
        <x:v>46022</x:v>
      </x:c>
      <x:c r="AG427" t="str">
        <x:v>VERIFIED</x:v>
      </x:c>
      <x:c r="AH427" t="str">
        <x:v>COMPLETE</x:v>
      </x:c>
      <x:c r="AI427" t="str">
        <x:v>Jesse White</x:v>
      </x:c>
      <x:c r="AJ427" t="str">
        <x:v>SPOUSE_PARTNER</x:v>
      </x:c>
      <x:c r="AK427" t="str">
        <x:v>+1 (503) 555-0198</x:v>
      </x:c>
    </x:row>
    <x:row r="428" ht="18" customHeight="1">
      <x:c r="A428" t="str">
        <x:v>DHR-00427</x:v>
      </x:c>
      <x:c r="B428" t="str">
        <x:v>Noah Perez</x:v>
      </x:c>
      <x:c r="C428" t="str">
        <x:v>https://api.dicebear.com/9.x/adventurer/png?seed=DHR-00427-Noah%20Perez&amp;size=256&amp;radius=50&amp;backgroundColor=b6e3f4,c0aede,d1d4f9,ffd5dc,ffdfbf</x:v>
      </x:c>
      <x:c r="D428" t="str">
        <x:v>noah.perez.427@example.com</x:v>
      </x:c>
      <x:c r="E428" t="str">
        <x:v>+1 (305) 555-0126</x:v>
      </x:c>
      <x:c r="F428" t="str">
        <x:v>Miami, FL</x:v>
      </x:c>
      <x:c r="G428" t="str">
        <x:v>Miami</x:v>
      </x:c>
      <x:c r="H428" t="str">
        <x:v>FL</x:v>
      </x:c>
      <x:c r="I428" s="18" t="str">
        <x:v>33130</x:v>
      </x:c>
      <x:c r="J428" s="15" t="n">
        <x:v>27003.408356122683</x:v>
      </x:c>
      <x:c r="K428" t="n">
        <x:f>INT((DATE(2025,12,31)-J428)/365.25)</x:f>
        <x:v>52</x:v>
      </x:c>
      <x:c r="L428" t="str">
        <x:f>IF(K428&lt;25,"18-24",IF(K428&lt;35,"25-34",IF(K428&lt;45,"35-44",IF(K428&lt;55,"45-54","55+"))))</x:f>
        <x:v>45-54</x:v>
      </x:c>
      <x:c r="M428" s="15" t="n">
        <x:v>45637.086706041664</x:v>
      </x:c>
      <x:c r="N428" t="n">
        <x:f>(YEAR(DATE(2025,12,31))-YEAR(M428))*12+MONTH(DATE(2025,12,31))-MONTH(M428)</x:f>
        <x:v>12</x:v>
      </x:c>
      <x:c r="O428" t="str">
        <x:v>ACTIVE</x:v>
      </x:c>
      <x:c r="P428" t="str">
        <x:v>INDEPENDENT_CONTRACTOR</x:v>
      </x:c>
      <x:c r="Q428" t="str">
        <x:v>CAR</x:v>
      </x:c>
      <x:c r="R428" t="str">
        <x:v>FLEXIBLE</x:v>
      </x:c>
      <x:c r="S428" t="n">
        <x:v>48</x:v>
      </x:c>
      <x:c r="T428" t="str">
        <x:v>CLEARED</x:v>
      </x:c>
      <x:c r="U428" t="str">
        <x:v>VALID</x:v>
      </x:c>
      <x:c r="V428" s="16" t="n">
        <x:v>0.8351</x:v>
      </x:c>
      <x:c r="W428" t="str">
        <x:v>Spanish</x:v>
      </x:c>
      <x:c r="X428" t="str">
        <x:v>English</x:v>
      </x:c>
      <x:c r="Y428" t="n">
        <x:v>1245</x:v>
      </x:c>
      <x:c r="Z428" s="17" t="n">
        <x:v>4.63</x:v>
      </x:c>
      <x:c r="AA428" s="16" t="n">
        <x:v>0.9189</x:v>
      </x:c>
      <x:c r="AB428" s="16" t="n">
        <x:v>0.9473</x:v>
      </x:c>
      <x:c r="AC428" s="16" t="n">
        <x:v>0.8359</x:v>
      </x:c>
      <x:c r="AD428" t="n">
        <x:v>0</x:v>
      </x:c>
      <x:c r="AE428" t="str">
        <x:f>IF(O428&lt;&gt;"ACTIVE","NOT_RATED",IF(AND(Z428&gt;=4.8,AB428&gt;=0.97,AC428&gt;=0.93,AD428=0),"ELITE",IF(AND(Z428&gt;=4.6,AB428&gt;=0.94,AC428&gt;=0.88),"HIGH_PERFORMER",IF(OR(Z428&lt;4.2,AB428&lt;0.85,AD428&gt;=2),"AT_RISK","STANDARD"))))</x:f>
        <x:v>STANDARD</x:v>
      </x:c>
      <x:c r="AF428" s="15" t="n">
        <x:v>46017</x:v>
      </x:c>
      <x:c r="AG428" t="str">
        <x:v>VERIFIED</x:v>
      </x:c>
      <x:c r="AH428" t="str">
        <x:v>COMPLETE</x:v>
      </x:c>
      <x:c r="AI428" t="str">
        <x:v>Ava Wilson</x:v>
      </x:c>
      <x:c r="AJ428" t="str">
        <x:v>SPOUSE_PARTNER</x:v>
      </x:c>
      <x:c r="AK428" t="str">
        <x:v>+1 (305) 555-0105</x:v>
      </x:c>
    </x:row>
    <x:row r="429" ht="18" customHeight="1">
      <x:c r="A429" t="str">
        <x:v>DHR-00428</x:v>
      </x:c>
      <x:c r="B429" t="str">
        <x:v>Noah Rodriguez</x:v>
      </x:c>
      <x:c r="C429" t="str">
        <x:v>https://api.dicebear.com/9.x/adventurer/png?seed=DHR-00428-Noah%20Rodriguez&amp;size=256&amp;radius=50&amp;backgroundColor=b6e3f4,c0aede,d1d4f9,ffd5dc,ffdfbf</x:v>
      </x:c>
      <x:c r="D429" t="str">
        <x:v>noah.rodriguez.428@example.com</x:v>
      </x:c>
      <x:c r="E429" t="str">
        <x:v>+1 (312) 555-0127</x:v>
      </x:c>
      <x:c r="F429" t="str">
        <x:v>Chicago, IL</x:v>
      </x:c>
      <x:c r="G429" t="str">
        <x:v>Chicago</x:v>
      </x:c>
      <x:c r="H429" t="str">
        <x:v>IL</x:v>
      </x:c>
      <x:c r="I429" s="18" t="str">
        <x:v>60601</x:v>
      </x:c>
      <x:c r="J429" s="15" t="n">
        <x:v>30594.221490925927</x:v>
      </x:c>
      <x:c r="K429" t="n">
        <x:f>INT((DATE(2025,12,31)-J429)/365.25)</x:f>
        <x:v>42</x:v>
      </x:c>
      <x:c r="L429" t="str">
        <x:f>IF(K429&lt;25,"18-24",IF(K429&lt;35,"25-34",IF(K429&lt;45,"35-44",IF(K429&lt;55,"45-54","55+"))))</x:f>
        <x:v>35-44</x:v>
      </x:c>
      <x:c r="M429" s="15" t="n">
        <x:v>43725.38738788194</x:v>
      </x:c>
      <x:c r="N429" t="n">
        <x:f>(YEAR(DATE(2025,12,31))-YEAR(M429))*12+MONTH(DATE(2025,12,31))-MONTH(M429)</x:f>
        <x:v>75</x:v>
      </x:c>
      <x:c r="O429" t="str">
        <x:v>ACTIVE</x:v>
      </x:c>
      <x:c r="P429" t="str">
        <x:v>INDEPENDENT_CONTRACTOR</x:v>
      </x:c>
      <x:c r="Q429" t="str">
        <x:v>E_BIKE</x:v>
      </x:c>
      <x:c r="R429" t="str">
        <x:v>DINNER</x:v>
      </x:c>
      <x:c r="S429" t="n">
        <x:v>29</x:v>
      </x:c>
      <x:c r="T429" t="str">
        <x:v>CLEARED</x:v>
      </x:c>
      <x:c r="U429" t="str">
        <x:v>NOT_REQUIRED</x:v>
      </x:c>
      <x:c r="V429" s="16" t="n">
        <x:v>0.9489</x:v>
      </x:c>
      <x:c r="W429" t="str">
        <x:v>English</x:v>
      </x:c>
      <x:c r="X429"/>
      <x:c r="Y429" t="n">
        <x:v>5339</x:v>
      </x:c>
      <x:c r="Z429" s="17" t="n">
        <x:v>4.33</x:v>
      </x:c>
      <x:c r="AA429" s="16" t="n">
        <x:v>0.9481</x:v>
      </x:c>
      <x:c r="AB429" s="16" t="n">
        <x:v>0.9905</x:v>
      </x:c>
      <x:c r="AC429" s="16" t="n">
        <x:v>0.9041</x:v>
      </x:c>
      <x:c r="AD429" t="n">
        <x:v>0</x:v>
      </x:c>
      <x:c r="AE429" t="str">
        <x:f>IF(O429&lt;&gt;"ACTIVE","NOT_RATED",IF(AND(Z429&gt;=4.8,AB429&gt;=0.97,AC429&gt;=0.93,AD429=0),"ELITE",IF(AND(Z429&gt;=4.6,AB429&gt;=0.94,AC429&gt;=0.88),"HIGH_PERFORMER",IF(OR(Z429&lt;4.2,AB429&lt;0.85,AD429&gt;=2),"AT_RISK","STANDARD"))))</x:f>
        <x:v>STANDARD</x:v>
      </x:c>
      <x:c r="AF429" s="15" t="n">
        <x:v>46020</x:v>
      </x:c>
      <x:c r="AG429" t="str">
        <x:v>VERIFIED</x:v>
      </x:c>
      <x:c r="AH429" t="str">
        <x:v>COMPLETE</x:v>
      </x:c>
      <x:c r="AI429" t="str">
        <x:v>Quinn Lewis</x:v>
      </x:c>
      <x:c r="AJ429" t="str">
        <x:v>SPOUSE_PARTNER</x:v>
      </x:c>
      <x:c r="AK429" t="str">
        <x:v>+1 (312) 555-0112</x:v>
      </x:c>
    </x:row>
    <x:row r="430" ht="18" customHeight="1">
      <x:c r="A430" t="str">
        <x:v>DHR-00429</x:v>
      </x:c>
      <x:c r="B430" t="str">
        <x:v>Noah Taylor</x:v>
      </x:c>
      <x:c r="C430" t="str">
        <x:v>https://api.dicebear.com/9.x/adventurer/png?seed=DHR-00429-Noah%20Taylor&amp;size=256&amp;radius=50&amp;backgroundColor=b6e3f4,c0aede,d1d4f9,ffd5dc,ffdfbf</x:v>
      </x:c>
      <x:c r="D430" t="str">
        <x:v>noah.taylor.429@example.com</x:v>
      </x:c>
      <x:c r="E430" t="str">
        <x:v>+1 (303) 555-0128</x:v>
      </x:c>
      <x:c r="F430" t="str">
        <x:v>Denver, CO</x:v>
      </x:c>
      <x:c r="G430" t="str">
        <x:v>Denver</x:v>
      </x:c>
      <x:c r="H430" t="str">
        <x:v>CO</x:v>
      </x:c>
      <x:c r="I430" s="18" t="str">
        <x:v>80202</x:v>
      </x:c>
      <x:c r="J430" s="15" t="n">
        <x:v>24478.32919604167</x:v>
      </x:c>
      <x:c r="K430" t="n">
        <x:f>INT((DATE(2025,12,31)-J430)/365.25)</x:f>
        <x:v>58</x:v>
      </x:c>
      <x:c r="L430" t="str">
        <x:f>IF(K430&lt;25,"18-24",IF(K430&lt;35,"25-34",IF(K430&lt;45,"35-44",IF(K430&lt;55,"45-54","55+"))))</x:f>
        <x:v>55+</x:v>
      </x:c>
      <x:c r="M430" s="15" t="n">
        <x:v>44970.815507141204</x:v>
      </x:c>
      <x:c r="N430" t="n">
        <x:f>(YEAR(DATE(2025,12,31))-YEAR(M430))*12+MONTH(DATE(2025,12,31))-MONTH(M430)</x:f>
        <x:v>34</x:v>
      </x:c>
      <x:c r="O430" t="str">
        <x:v>ACTIVE</x:v>
      </x:c>
      <x:c r="P430" t="str">
        <x:v>INDEPENDENT_CONTRACTOR</x:v>
      </x:c>
      <x:c r="Q430" t="str">
        <x:v>E_BIKE</x:v>
      </x:c>
      <x:c r="R430" t="str">
        <x:v>FLEXIBLE</x:v>
      </x:c>
      <x:c r="S430" t="n">
        <x:v>14</x:v>
      </x:c>
      <x:c r="T430" t="str">
        <x:v>CLEARED</x:v>
      </x:c>
      <x:c r="U430" t="str">
        <x:v>NOT_REQUIRED</x:v>
      </x:c>
      <x:c r="V430" s="16" t="n">
        <x:v>0.8676</x:v>
      </x:c>
      <x:c r="W430" t="str">
        <x:v>Spanish</x:v>
      </x:c>
      <x:c r="X430"/>
      <x:c r="Y430" t="n">
        <x:v>1852</x:v>
      </x:c>
      <x:c r="Z430" s="17" t="n">
        <x:v>4.37</x:v>
      </x:c>
      <x:c r="AA430" s="16" t="n">
        <x:v>0.8236</x:v>
      </x:c>
      <x:c r="AB430" s="16" t="n">
        <x:v>0.9081</x:v>
      </x:c>
      <x:c r="AC430" s="16" t="n">
        <x:v>0.8962</x:v>
      </x:c>
      <x:c r="AD430" t="n">
        <x:v>1</x:v>
      </x:c>
      <x:c r="AE430" t="str">
        <x:f>IF(O430&lt;&gt;"ACTIVE","NOT_RATED",IF(AND(Z430&gt;=4.8,AB430&gt;=0.97,AC430&gt;=0.93,AD430=0),"ELITE",IF(AND(Z430&gt;=4.6,AB430&gt;=0.94,AC430&gt;=0.88),"HIGH_PERFORMER",IF(OR(Z430&lt;4.2,AB430&lt;0.85,AD430&gt;=2),"AT_RISK","STANDARD"))))</x:f>
        <x:v>STANDARD</x:v>
      </x:c>
      <x:c r="AF430" s="15" t="n">
        <x:v>46011</x:v>
      </x:c>
      <x:c r="AG430" t="str">
        <x:v>VERIFIED</x:v>
      </x:c>
      <x:c r="AH430" t="str">
        <x:v>COMPLETE</x:v>
      </x:c>
      <x:c r="AI430" t="str">
        <x:v>Lucas Perez</x:v>
      </x:c>
      <x:c r="AJ430" t="str">
        <x:v>SPOUSE_PARTNER</x:v>
      </x:c>
      <x:c r="AK430" t="str">
        <x:v>+1 (303) 555-0119</x:v>
      </x:c>
    </x:row>
    <x:row r="431" ht="18" customHeight="1">
      <x:c r="A431" t="str">
        <x:v>DHR-00430</x:v>
      </x:c>
      <x:c r="B431" t="str">
        <x:v>Noah Thompson</x:v>
      </x:c>
      <x:c r="C431" t="str">
        <x:v>https://api.dicebear.com/9.x/adventurer/png?seed=DHR-00430-Noah%20Thompson&amp;size=256&amp;radius=50&amp;backgroundColor=b6e3f4,c0aede,d1d4f9,ffd5dc,ffdfbf</x:v>
      </x:c>
      <x:c r="D431" t="str">
        <x:v>noah.thompson.430@example.com</x:v>
      </x:c>
      <x:c r="E431" t="str">
        <x:v>+1 (512) 555-0129</x:v>
      </x:c>
      <x:c r="F431" t="str">
        <x:v>Austin, TX</x:v>
      </x:c>
      <x:c r="G431" t="str">
        <x:v>Austin</x:v>
      </x:c>
      <x:c r="H431" t="str">
        <x:v>TX</x:v>
      </x:c>
      <x:c r="I431" s="18" t="str">
        <x:v>78701</x:v>
      </x:c>
      <x:c r="J431" s="15" t="n">
        <x:v>33462.25936744213</x:v>
      </x:c>
      <x:c r="K431" t="n">
        <x:f>INT((DATE(2025,12,31)-J431)/365.25)</x:f>
        <x:v>34</x:v>
      </x:c>
      <x:c r="L431" t="str">
        <x:f>IF(K431&lt;25,"18-24",IF(K431&lt;35,"25-34",IF(K431&lt;45,"35-44",IF(K431&lt;55,"45-54","55+"))))</x:f>
        <x:v>25-34</x:v>
      </x:c>
      <x:c r="M431" s="15" t="n">
        <x:v>45881.316986122685</x:v>
      </x:c>
      <x:c r="N431" t="n">
        <x:f>(YEAR(DATE(2025,12,31))-YEAR(M431))*12+MONTH(DATE(2025,12,31))-MONTH(M431)</x:f>
        <x:v>4</x:v>
      </x:c>
      <x:c r="O431" t="str">
        <x:v>ACTIVE</x:v>
      </x:c>
      <x:c r="P431" t="str">
        <x:v>INDEPENDENT_CONTRACTOR</x:v>
      </x:c>
      <x:c r="Q431" t="str">
        <x:v>BICYCLE</x:v>
      </x:c>
      <x:c r="R431" t="str">
        <x:v>FLEXIBLE</x:v>
      </x:c>
      <x:c r="S431" t="n">
        <x:v>14</x:v>
      </x:c>
      <x:c r="T431" t="str">
        <x:v>CLEARED</x:v>
      </x:c>
      <x:c r="U431" t="str">
        <x:v>NOT_REQUIRED</x:v>
      </x:c>
      <x:c r="V431" s="16" t="n">
        <x:v>0.9187</x:v>
      </x:c>
      <x:c r="W431" t="str">
        <x:v>English</x:v>
      </x:c>
      <x:c r="X431"/>
      <x:c r="Y431" t="n">
        <x:v>288</x:v>
      </x:c>
      <x:c r="Z431" s="17" t="n">
        <x:v>4.88</x:v>
      </x:c>
      <x:c r="AA431" s="16" t="n">
        <x:v>0.8436</x:v>
      </x:c>
      <x:c r="AB431" s="16" t="n">
        <x:v>0.9709</x:v>
      </x:c>
      <x:c r="AC431" s="16" t="n">
        <x:v>0.8802</x:v>
      </x:c>
      <x:c r="AD431" t="n">
        <x:v>0</x:v>
      </x:c>
      <x:c r="AE431" t="str">
        <x:f>IF(O431&lt;&gt;"ACTIVE","NOT_RATED",IF(AND(Z431&gt;=4.8,AB431&gt;=0.97,AC431&gt;=0.93,AD431=0),"ELITE",IF(AND(Z431&gt;=4.6,AB431&gt;=0.94,AC431&gt;=0.88),"HIGH_PERFORMER",IF(OR(Z431&lt;4.2,AB431&lt;0.85,AD431&gt;=2),"AT_RISK","STANDARD"))))</x:f>
        <x:v>HIGH_PERFORMER</x:v>
      </x:c>
      <x:c r="AF431" s="15" t="n">
        <x:v>46013</x:v>
      </x:c>
      <x:c r="AG431" t="str">
        <x:v>VERIFIED</x:v>
      </x:c>
      <x:c r="AH431" t="str">
        <x:v>COMPLETE</x:v>
      </x:c>
      <x:c r="AI431" t="str">
        <x:v>Mateo Harris</x:v>
      </x:c>
      <x:c r="AJ431" t="str">
        <x:v>PARENT</x:v>
      </x:c>
      <x:c r="AK431" t="str">
        <x:v>+1 (512) 555-0126</x:v>
      </x:c>
    </x:row>
    <x:row r="432" ht="18" customHeight="1">
      <x:c r="A432" t="str">
        <x:v>DHR-00431</x:v>
      </x:c>
      <x:c r="B432" t="str">
        <x:v>Noah Walker</x:v>
      </x:c>
      <x:c r="C432" t="str">
        <x:v>https://api.dicebear.com/9.x/adventurer/png?seed=DHR-00431-Noah%20Walker&amp;size=256&amp;radius=50&amp;backgroundColor=b6e3f4,c0aede,d1d4f9,ffd5dc,ffdfbf</x:v>
      </x:c>
      <x:c r="D432" t="str">
        <x:v>noah.walker.431@example.com</x:v>
      </x:c>
      <x:c r="E432" t="str">
        <x:v>+1 (215) 555-0130</x:v>
      </x:c>
      <x:c r="F432" t="str">
        <x:v>Philadelphia, PA</x:v>
      </x:c>
      <x:c r="G432" t="str">
        <x:v>Philadelphia</x:v>
      </x:c>
      <x:c r="H432" t="str">
        <x:v>PA</x:v>
      </x:c>
      <x:c r="I432" s="18" t="str">
        <x:v>19103</x:v>
      </x:c>
      <x:c r="J432" s="15" t="n">
        <x:v>33946.256435717594</x:v>
      </x:c>
      <x:c r="K432" t="n">
        <x:f>INT((DATE(2025,12,31)-J432)/365.25)</x:f>
        <x:v>33</x:v>
      </x:c>
      <x:c r="L432" t="str">
        <x:f>IF(K432&lt;25,"18-24",IF(K432&lt;35,"25-34",IF(K432&lt;45,"35-44",IF(K432&lt;55,"45-54","55+"))))</x:f>
        <x:v>25-34</x:v>
      </x:c>
      <x:c r="M432" s="15" t="n">
        <x:v>45110.02570489583</x:v>
      </x:c>
      <x:c r="N432" t="n">
        <x:f>(YEAR(DATE(2025,12,31))-YEAR(M432))*12+MONTH(DATE(2025,12,31))-MONTH(M432)</x:f>
        <x:v>29</x:v>
      </x:c>
      <x:c r="O432" t="str">
        <x:v>ACTIVE</x:v>
      </x:c>
      <x:c r="P432" t="str">
        <x:v>INDEPENDENT_CONTRACTOR</x:v>
      </x:c>
      <x:c r="Q432" t="str">
        <x:v>CAR</x:v>
      </x:c>
      <x:c r="R432" t="str">
        <x:v>DINNER</x:v>
      </x:c>
      <x:c r="S432" t="n">
        <x:v>43</x:v>
      </x:c>
      <x:c r="T432" t="str">
        <x:v>CLEARED</x:v>
      </x:c>
      <x:c r="U432" t="str">
        <x:v>VALID</x:v>
      </x:c>
      <x:c r="V432" s="16" t="n">
        <x:v>0.8205</x:v>
      </x:c>
      <x:c r="W432" t="str">
        <x:v>English</x:v>
      </x:c>
      <x:c r="X432"/>
      <x:c r="Y432" t="n">
        <x:v>3688</x:v>
      </x:c>
      <x:c r="Z432" s="17" t="n">
        <x:v>4.19</x:v>
      </x:c>
      <x:c r="AA432" s="16" t="n">
        <x:v>0.6609</x:v>
      </x:c>
      <x:c r="AB432" s="16" t="n">
        <x:v>0.9254</x:v>
      </x:c>
      <x:c r="AC432" s="16" t="n">
        <x:v>0.9087</x:v>
      </x:c>
      <x:c r="AD432" t="n">
        <x:v>0</x:v>
      </x:c>
      <x:c r="AE432" t="str">
        <x:f>IF(O432&lt;&gt;"ACTIVE","NOT_RATED",IF(AND(Z432&gt;=4.8,AB432&gt;=0.97,AC432&gt;=0.93,AD432=0),"ELITE",IF(AND(Z432&gt;=4.6,AB432&gt;=0.94,AC432&gt;=0.88),"HIGH_PERFORMER",IF(OR(Z432&lt;4.2,AB432&lt;0.85,AD432&gt;=2),"AT_RISK","STANDARD"))))</x:f>
        <x:v>AT_RISK</x:v>
      </x:c>
      <x:c r="AF432" s="15" t="n">
        <x:v>46011</x:v>
      </x:c>
      <x:c r="AG432" t="str">
        <x:v>VERIFIED</x:v>
      </x:c>
      <x:c r="AH432" t="str">
        <x:v>COMPLETE</x:v>
      </x:c>
      <x:c r="AI432" t="str">
        <x:v>Lucas Rodriguez</x:v>
      </x:c>
      <x:c r="AJ432" t="str">
        <x:v>PARENT</x:v>
      </x:c>
      <x:c r="AK432" t="str">
        <x:v>+1 (215) 555-0133</x:v>
      </x:c>
    </x:row>
    <x:row r="433" ht="18" customHeight="1">
      <x:c r="A433" t="str">
        <x:v>DHR-00432</x:v>
      </x:c>
      <x:c r="B433" t="str">
        <x:v>Noah Williams</x:v>
      </x:c>
      <x:c r="C433" t="str">
        <x:v>https://api.dicebear.com/9.x/adventurer/png?seed=DHR-00432-Noah%20Williams&amp;size=256&amp;radius=50&amp;backgroundColor=b6e3f4,c0aede,d1d4f9,ffd5dc,ffdfbf</x:v>
      </x:c>
      <x:c r="D433" t="str">
        <x:v>noah.williams.432@example.com</x:v>
      </x:c>
      <x:c r="E433" t="str">
        <x:v>+1 (619) 555-0131</x:v>
      </x:c>
      <x:c r="F433" t="str">
        <x:v>San Diego, CA</x:v>
      </x:c>
      <x:c r="G433" t="str">
        <x:v>San Diego</x:v>
      </x:c>
      <x:c r="H433" t="str">
        <x:v>CA</x:v>
      </x:c>
      <x:c r="I433" s="18" t="str">
        <x:v>92101</x:v>
      </x:c>
      <x:c r="J433" s="15" t="n">
        <x:v>28854.179980219906</x:v>
      </x:c>
      <x:c r="K433" t="n">
        <x:f>INT((DATE(2025,12,31)-J433)/365.25)</x:f>
        <x:v>47</x:v>
      </x:c>
      <x:c r="L433" t="str">
        <x:f>IF(K433&lt;25,"18-24",IF(K433&lt;35,"25-34",IF(K433&lt;45,"35-44",IF(K433&lt;55,"45-54","55+"))))</x:f>
        <x:v>45-54</x:v>
      </x:c>
      <x:c r="M433" s="15" t="n">
        <x:v>43932.71347314815</x:v>
      </x:c>
      <x:c r="N433" t="n">
        <x:f>(YEAR(DATE(2025,12,31))-YEAR(M433))*12+MONTH(DATE(2025,12,31))-MONTH(M433)</x:f>
        <x:v>68</x:v>
      </x:c>
      <x:c r="O433" t="str">
        <x:v>ACTIVE</x:v>
      </x:c>
      <x:c r="P433" t="str">
        <x:v>INDEPENDENT_CONTRACTOR</x:v>
      </x:c>
      <x:c r="Q433" t="str">
        <x:v>CAR</x:v>
      </x:c>
      <x:c r="R433" t="str">
        <x:v>FLEXIBLE</x:v>
      </x:c>
      <x:c r="S433" t="n">
        <x:v>29</x:v>
      </x:c>
      <x:c r="T433" t="str">
        <x:v>CLEARED</x:v>
      </x:c>
      <x:c r="U433" t="str">
        <x:v>VALID</x:v>
      </x:c>
      <x:c r="V433" s="16" t="n">
        <x:v>0.9875</x:v>
      </x:c>
      <x:c r="W433" t="str">
        <x:v>Spanish</x:v>
      </x:c>
      <x:c r="X433"/>
      <x:c r="Y433" t="n">
        <x:v>3718</x:v>
      </x:c>
      <x:c r="Z433" s="17" t="n">
        <x:v>4.31</x:v>
      </x:c>
      <x:c r="AA433" s="16" t="n">
        <x:v>0.9725</x:v>
      </x:c>
      <x:c r="AB433" s="16" t="n">
        <x:v>0.998</x:v>
      </x:c>
      <x:c r="AC433" s="16" t="n">
        <x:v>0.9071</x:v>
      </x:c>
      <x:c r="AD433" t="n">
        <x:v>0</x:v>
      </x:c>
      <x:c r="AE433" t="str">
        <x:f>IF(O433&lt;&gt;"ACTIVE","NOT_RATED",IF(AND(Z433&gt;=4.8,AB433&gt;=0.97,AC433&gt;=0.93,AD433=0),"ELITE",IF(AND(Z433&gt;=4.6,AB433&gt;=0.94,AC433&gt;=0.88),"HIGH_PERFORMER",IF(OR(Z433&lt;4.2,AB433&lt;0.85,AD433&gt;=2),"AT_RISK","STANDARD"))))</x:f>
        <x:v>STANDARD</x:v>
      </x:c>
      <x:c r="AF433" s="15" t="n">
        <x:v>46015</x:v>
      </x:c>
      <x:c r="AG433" t="str">
        <x:v>VERIFIED</x:v>
      </x:c>
      <x:c r="AH433" t="str">
        <x:v>COMPLETE</x:v>
      </x:c>
      <x:c r="AI433" t="str">
        <x:v>Drew Taylor</x:v>
      </x:c>
      <x:c r="AJ433" t="str">
        <x:v>PARENT</x:v>
      </x:c>
      <x:c r="AK433" t="str">
        <x:v>+1 (619) 555-0140</x:v>
      </x:c>
    </x:row>
    <x:row r="434" ht="18" customHeight="1">
      <x:c r="A434" t="str">
        <x:v>DHR-00433</x:v>
      </x:c>
      <x:c r="B434" t="str">
        <x:v>Noah Wilson</x:v>
      </x:c>
      <x:c r="C434" t="str">
        <x:v>https://api.dicebear.com/9.x/adventurer/png?seed=DHR-00433-Noah%20Wilson&amp;size=256&amp;radius=50&amp;backgroundColor=b6e3f4,c0aede,d1d4f9,ffd5dc,ffdfbf</x:v>
      </x:c>
      <x:c r="D434" t="str">
        <x:v>noah.wilson.433@example.com</x:v>
      </x:c>
      <x:c r="E434" t="str">
        <x:v>+1 (212) 555-0132</x:v>
      </x:c>
      <x:c r="F434" t="str">
        <x:v>New York, NY</x:v>
      </x:c>
      <x:c r="G434" t="str">
        <x:v>New York</x:v>
      </x:c>
      <x:c r="H434" t="str">
        <x:v>NY</x:v>
      </x:c>
      <x:c r="I434" s="18" t="str">
        <x:v>10001</x:v>
      </x:c>
      <x:c r="J434" s="15" t="n">
        <x:v>37347.62273530092</x:v>
      </x:c>
      <x:c r="K434" t="n">
        <x:f>INT((DATE(2025,12,31)-J434)/365.25)</x:f>
        <x:v>23</x:v>
      </x:c>
      <x:c r="L434" t="str">
        <x:f>IF(K434&lt;25,"18-24",IF(K434&lt;35,"25-34",IF(K434&lt;45,"35-44",IF(K434&lt;55,"45-54","55+"))))</x:f>
        <x:v>18-24</x:v>
      </x:c>
      <x:c r="M434" s="15" t="n">
        <x:v>44702.28375510417</x:v>
      </x:c>
      <x:c r="N434" t="n">
        <x:f>(YEAR(DATE(2025,12,31))-YEAR(M434))*12+MONTH(DATE(2025,12,31))-MONTH(M434)</x:f>
        <x:v>43</x:v>
      </x:c>
      <x:c r="O434" t="str">
        <x:v>ACTIVE</x:v>
      </x:c>
      <x:c r="P434" t="str">
        <x:v>INDEPENDENT_CONTRACTOR</x:v>
      </x:c>
      <x:c r="Q434" t="str">
        <x:v>CAR</x:v>
      </x:c>
      <x:c r="R434" t="str">
        <x:v>DINNER</x:v>
      </x:c>
      <x:c r="S434" t="n">
        <x:v>10</x:v>
      </x:c>
      <x:c r="T434" t="str">
        <x:v>CLEARED</x:v>
      </x:c>
      <x:c r="U434" t="str">
        <x:v>VALID</x:v>
      </x:c>
      <x:c r="V434" s="16" t="n">
        <x:v>0.8474</x:v>
      </x:c>
      <x:c r="W434" t="str">
        <x:v>English</x:v>
      </x:c>
      <x:c r="X434" t="str">
        <x:v>French</x:v>
      </x:c>
      <x:c r="Y434" t="n">
        <x:v>928</x:v>
      </x:c>
      <x:c r="Z434" s="17" t="n">
        <x:v>4.79</x:v>
      </x:c>
      <x:c r="AA434" s="16" t="n">
        <x:v>0.6978</x:v>
      </x:c>
      <x:c r="AB434" s="16" t="n">
        <x:v>0.9349</x:v>
      </x:c>
      <x:c r="AC434" s="16" t="n">
        <x:v>0.9777</x:v>
      </x:c>
      <x:c r="AD434" t="n">
        <x:v>0</x:v>
      </x:c>
      <x:c r="AE434" t="str">
        <x:f>IF(O434&lt;&gt;"ACTIVE","NOT_RATED",IF(AND(Z434&gt;=4.8,AB434&gt;=0.97,AC434&gt;=0.93,AD434=0),"ELITE",IF(AND(Z434&gt;=4.6,AB434&gt;=0.94,AC434&gt;=0.88),"HIGH_PERFORMER",IF(OR(Z434&lt;4.2,AB434&lt;0.85,AD434&gt;=2),"AT_RISK","STANDARD"))))</x:f>
        <x:v>STANDARD</x:v>
      </x:c>
      <x:c r="AF434" s="15" t="n">
        <x:v>46011</x:v>
      </x:c>
      <x:c r="AG434" t="str">
        <x:v>VERIFIED</x:v>
      </x:c>
      <x:c r="AH434" t="str">
        <x:v>COMPLETE</x:v>
      </x:c>
      <x:c r="AI434" t="str">
        <x:v>Hayden Lewis</x:v>
      </x:c>
      <x:c r="AJ434" t="str">
        <x:v>SPOUSE_PARTNER</x:v>
      </x:c>
      <x:c r="AK434" t="str">
        <x:v>+1 (212) 555-0147</x:v>
      </x:c>
    </x:row>
    <x:row r="435" ht="18" customHeight="1">
      <x:c r="A435" t="str">
        <x:v>DHR-00434</x:v>
      </x:c>
      <x:c r="B435" t="str">
        <x:v>Olivia Anderson</x:v>
      </x:c>
      <x:c r="C435" t="str">
        <x:v>https://api.dicebear.com/9.x/adventurer/png?seed=DHR-00434-Olivia%20Anderson&amp;size=256&amp;radius=50&amp;backgroundColor=b6e3f4,c0aede,d1d4f9,ffd5dc,ffdfbf</x:v>
      </x:c>
      <x:c r="D435" t="str">
        <x:v>olivia.anderson.434@example.com</x:v>
      </x:c>
      <x:c r="E435" t="str">
        <x:v>+1 (404) 555-0133</x:v>
      </x:c>
      <x:c r="F435" t="str">
        <x:v>Atlanta, GA</x:v>
      </x:c>
      <x:c r="G435" t="str">
        <x:v>Atlanta</x:v>
      </x:c>
      <x:c r="H435" t="str">
        <x:v>GA</x:v>
      </x:c>
      <x:c r="I435" s="18" t="str">
        <x:v>30303</x:v>
      </x:c>
      <x:c r="J435" s="15" t="n">
        <x:v>27912.71994195602</x:v>
      </x:c>
      <x:c r="K435" t="n">
        <x:f>INT((DATE(2025,12,31)-J435)/365.25)</x:f>
        <x:v>49</x:v>
      </x:c>
      <x:c r="L435" t="str">
        <x:f>IF(K435&lt;25,"18-24",IF(K435&lt;35,"25-34",IF(K435&lt;45,"35-44",IF(K435&lt;55,"45-54","55+"))))</x:f>
        <x:v>45-54</x:v>
      </x:c>
      <x:c r="M435" s="15" t="n">
        <x:v>44761.74812510417</x:v>
      </x:c>
      <x:c r="N435" t="n">
        <x:f>(YEAR(DATE(2025,12,31))-YEAR(M435))*12+MONTH(DATE(2025,12,31))-MONTH(M435)</x:f>
        <x:v>41</x:v>
      </x:c>
      <x:c r="O435" t="str">
        <x:v>ACTIVE</x:v>
      </x:c>
      <x:c r="P435" t="str">
        <x:v>INDEPENDENT_CONTRACTOR</x:v>
      </x:c>
      <x:c r="Q435" t="str">
        <x:v>SCOOTER</x:v>
      </x:c>
      <x:c r="R435" t="str">
        <x:v>DINNER</x:v>
      </x:c>
      <x:c r="S435" t="n">
        <x:v>17</x:v>
      </x:c>
      <x:c r="T435" t="str">
        <x:v>CLEARED</x:v>
      </x:c>
      <x:c r="U435" t="str">
        <x:v>VALID</x:v>
      </x:c>
      <x:c r="V435" s="16" t="n">
        <x:v>0.8243</x:v>
      </x:c>
      <x:c r="W435" t="str">
        <x:v>English</x:v>
      </x:c>
      <x:c r="X435" t="str">
        <x:v>French</x:v>
      </x:c>
      <x:c r="Y435" t="n">
        <x:v>2082</x:v>
      </x:c>
      <x:c r="Z435" s="17" t="n">
        <x:v>4.84</x:v>
      </x:c>
      <x:c r="AA435" s="16" t="n">
        <x:v>0.757</x:v>
      </x:c>
      <x:c r="AB435" s="16" t="n">
        <x:v>0.9946</x:v>
      </x:c>
      <x:c r="AC435" s="16" t="n">
        <x:v>0.9285</x:v>
      </x:c>
      <x:c r="AD435" t="n">
        <x:v>0</x:v>
      </x:c>
      <x:c r="AE435" t="str">
        <x:f>IF(O435&lt;&gt;"ACTIVE","NOT_RATED",IF(AND(Z435&gt;=4.8,AB435&gt;=0.97,AC435&gt;=0.93,AD435=0),"ELITE",IF(AND(Z435&gt;=4.6,AB435&gt;=0.94,AC435&gt;=0.88),"HIGH_PERFORMER",IF(OR(Z435&lt;4.2,AB435&lt;0.85,AD435&gt;=2),"AT_RISK","STANDARD"))))</x:f>
        <x:v>HIGH_PERFORMER</x:v>
      </x:c>
      <x:c r="AF435" s="15" t="n">
        <x:v>46012</x:v>
      </x:c>
      <x:c r="AG435" t="str">
        <x:v>VERIFIED</x:v>
      </x:c>
      <x:c r="AH435" t="str">
        <x:v>COMPLETE</x:v>
      </x:c>
      <x:c r="AI435" t="str">
        <x:v>Jordan Williams</x:v>
      </x:c>
      <x:c r="AJ435" t="str">
        <x:v>PARENT</x:v>
      </x:c>
      <x:c r="AK435" t="str">
        <x:v>+1 (404) 555-0154</x:v>
      </x:c>
    </x:row>
    <x:row r="436" ht="18" customHeight="1">
      <x:c r="A436" t="str">
        <x:v>DHR-00435</x:v>
      </x:c>
      <x:c r="B436" t="str">
        <x:v>Olivia Brown</x:v>
      </x:c>
      <x:c r="C436" t="str">
        <x:v>https://api.dicebear.com/9.x/adventurer/png?seed=DHR-00435-Olivia%20Brown&amp;size=256&amp;radius=50&amp;backgroundColor=b6e3f4,c0aede,d1d4f9,ffd5dc,ffdfbf</x:v>
      </x:c>
      <x:c r="D436" t="str">
        <x:v>olivia.brown.435@example.com</x:v>
      </x:c>
      <x:c r="E436" t="str">
        <x:v>+1 (213) 555-0134</x:v>
      </x:c>
      <x:c r="F436" t="str">
        <x:v>Los Angeles, CA</x:v>
      </x:c>
      <x:c r="G436" t="str">
        <x:v>Los Angeles</x:v>
      </x:c>
      <x:c r="H436" t="str">
        <x:v>CA</x:v>
      </x:c>
      <x:c r="I436" s="18" t="str">
        <x:v>90012</x:v>
      </x:c>
      <x:c r="J436" s="15" t="n">
        <x:v>30594.418451597223</x:v>
      </x:c>
      <x:c r="K436" t="n">
        <x:f>INT((DATE(2025,12,31)-J436)/365.25)</x:f>
        <x:v>42</x:v>
      </x:c>
      <x:c r="L436" t="str">
        <x:f>IF(K436&lt;25,"18-24",IF(K436&lt;35,"25-34",IF(K436&lt;45,"35-44",IF(K436&lt;55,"45-54","55+"))))</x:f>
        <x:v>35-44</x:v>
      </x:c>
      <x:c r="M436" s="15" t="n">
        <x:v>45368.460992395834</x:v>
      </x:c>
      <x:c r="N436" t="n">
        <x:f>(YEAR(DATE(2025,12,31))-YEAR(M436))*12+MONTH(DATE(2025,12,31))-MONTH(M436)</x:f>
        <x:v>21</x:v>
      </x:c>
      <x:c r="O436" t="str">
        <x:v>ACTIVE</x:v>
      </x:c>
      <x:c r="P436" t="str">
        <x:v>INDEPENDENT_CONTRACTOR</x:v>
      </x:c>
      <x:c r="Q436" t="str">
        <x:v>CAR</x:v>
      </x:c>
      <x:c r="R436" t="str">
        <x:v>LUNCH</x:v>
      </x:c>
      <x:c r="S436" t="n">
        <x:v>39</x:v>
      </x:c>
      <x:c r="T436" t="str">
        <x:v>CLEARED</x:v>
      </x:c>
      <x:c r="U436" t="str">
        <x:v>VALID</x:v>
      </x:c>
      <x:c r="V436" s="16" t="n">
        <x:v>0.9863</x:v>
      </x:c>
      <x:c r="W436" t="str">
        <x:v>English</x:v>
      </x:c>
      <x:c r="X436" t="str">
        <x:v>Spanish</x:v>
      </x:c>
      <x:c r="Y436" t="n">
        <x:v>2923</x:v>
      </x:c>
      <x:c r="Z436" s="17" t="n">
        <x:v>4.75</x:v>
      </x:c>
      <x:c r="AA436" s="16" t="n">
        <x:v>0.9381</x:v>
      </x:c>
      <x:c r="AB436" s="16" t="n">
        <x:v>0.9474</x:v>
      </x:c>
      <x:c r="AC436" s="16" t="n">
        <x:v>0.9341</x:v>
      </x:c>
      <x:c r="AD436" t="n">
        <x:v>0</x:v>
      </x:c>
      <x:c r="AE436" t="str">
        <x:f>IF(O436&lt;&gt;"ACTIVE","NOT_RATED",IF(AND(Z436&gt;=4.8,AB436&gt;=0.97,AC436&gt;=0.93,AD436=0),"ELITE",IF(AND(Z436&gt;=4.6,AB436&gt;=0.94,AC436&gt;=0.88),"HIGH_PERFORMER",IF(OR(Z436&lt;4.2,AB436&lt;0.85,AD436&gt;=2),"AT_RISK","STANDARD"))))</x:f>
        <x:v>HIGH_PERFORMER</x:v>
      </x:c>
      <x:c r="AF436" s="15" t="n">
        <x:v>46010</x:v>
      </x:c>
      <x:c r="AG436" t="str">
        <x:v>VERIFIED</x:v>
      </x:c>
      <x:c r="AH436" t="str">
        <x:v>COMPLETE</x:v>
      </x:c>
      <x:c r="AI436" t="str">
        <x:v>Cameron Jones</x:v>
      </x:c>
      <x:c r="AJ436" t="str">
        <x:v>FRIEND</x:v>
      </x:c>
      <x:c r="AK436" t="str">
        <x:v>+1 (213) 555-0161</x:v>
      </x:c>
    </x:row>
    <x:row r="437" ht="18" customHeight="1">
      <x:c r="A437" t="str">
        <x:v>DHR-00436</x:v>
      </x:c>
      <x:c r="B437" t="str">
        <x:v>Olivia Clark</x:v>
      </x:c>
      <x:c r="C437" t="str">
        <x:v>https://api.dicebear.com/9.x/adventurer/png?seed=DHR-00436-Olivia%20Clark&amp;size=256&amp;radius=50&amp;backgroundColor=b6e3f4,c0aede,d1d4f9,ffd5dc,ffdfbf</x:v>
      </x:c>
      <x:c r="D437" t="str">
        <x:v>olivia.clark.436@example.com</x:v>
      </x:c>
      <x:c r="E437" t="str">
        <x:v>+1 (615) 555-0135</x:v>
      </x:c>
      <x:c r="F437" t="str">
        <x:v>Nashville, TN</x:v>
      </x:c>
      <x:c r="G437" t="str">
        <x:v>Nashville</x:v>
      </x:c>
      <x:c r="H437" t="str">
        <x:v>TN</x:v>
      </x:c>
      <x:c r="I437" s="18" t="str">
        <x:v>37219</x:v>
      </x:c>
      <x:c r="J437" s="15" t="n">
        <x:v>30848.022405567128</x:v>
      </x:c>
      <x:c r="K437" t="n">
        <x:f>INT((DATE(2025,12,31)-J437)/365.25)</x:f>
        <x:v>41</x:v>
      </x:c>
      <x:c r="L437" t="str">
        <x:f>IF(K437&lt;25,"18-24",IF(K437&lt;35,"25-34",IF(K437&lt;45,"35-44",IF(K437&lt;55,"45-54","55+"))))</x:f>
        <x:v>35-44</x:v>
      </x:c>
      <x:c r="M437" s="15" t="n">
        <x:v>44580.28286641204</x:v>
      </x:c>
      <x:c r="N437" t="n">
        <x:f>(YEAR(DATE(2025,12,31))-YEAR(M437))*12+MONTH(DATE(2025,12,31))-MONTH(M437)</x:f>
        <x:v>47</x:v>
      </x:c>
      <x:c r="O437" t="str">
        <x:v>ACTIVE</x:v>
      </x:c>
      <x:c r="P437" t="str">
        <x:v>INDEPENDENT_CONTRACTOR</x:v>
      </x:c>
      <x:c r="Q437" t="str">
        <x:v>CAR</x:v>
      </x:c>
      <x:c r="R437" t="str">
        <x:v>LUNCH</x:v>
      </x:c>
      <x:c r="S437" t="n">
        <x:v>20</x:v>
      </x:c>
      <x:c r="T437" t="str">
        <x:v>CLEARED</x:v>
      </x:c>
      <x:c r="U437" t="str">
        <x:v>VALID</x:v>
      </x:c>
      <x:c r="V437" s="16" t="n">
        <x:v>0.8573</x:v>
      </x:c>
      <x:c r="W437" t="str">
        <x:v>English</x:v>
      </x:c>
      <x:c r="X437" t="str">
        <x:v>Arabic</x:v>
      </x:c>
      <x:c r="Y437" t="n">
        <x:v>4053</x:v>
      </x:c>
      <x:c r="Z437" s="17" t="n">
        <x:v>4.48</x:v>
      </x:c>
      <x:c r="AA437" s="16" t="n">
        <x:v>0.8018</x:v>
      </x:c>
      <x:c r="AB437" s="16" t="n">
        <x:v>0.948</x:v>
      </x:c>
      <x:c r="AC437" s="16" t="n">
        <x:v>0.9296</x:v>
      </x:c>
      <x:c r="AD437" t="n">
        <x:v>0</x:v>
      </x:c>
      <x:c r="AE437" t="str">
        <x:f>IF(O437&lt;&gt;"ACTIVE","NOT_RATED",IF(AND(Z437&gt;=4.8,AB437&gt;=0.97,AC437&gt;=0.93,AD437=0),"ELITE",IF(AND(Z437&gt;=4.6,AB437&gt;=0.94,AC437&gt;=0.88),"HIGH_PERFORMER",IF(OR(Z437&lt;4.2,AB437&lt;0.85,AD437&gt;=2),"AT_RISK","STANDARD"))))</x:f>
        <x:v>STANDARD</x:v>
      </x:c>
      <x:c r="AF437" s="15" t="n">
        <x:v>46013</x:v>
      </x:c>
      <x:c r="AG437" t="str">
        <x:v>VERIFIED</x:v>
      </x:c>
      <x:c r="AH437" t="str">
        <x:v>COMPLETE</x:v>
      </x:c>
      <x:c r="AI437" t="str">
        <x:v>Reese Jones</x:v>
      </x:c>
      <x:c r="AJ437" t="str">
        <x:v>SPOUSE_PARTNER</x:v>
      </x:c>
      <x:c r="AK437" t="str">
        <x:v>+1 (615) 555-0168</x:v>
      </x:c>
    </x:row>
    <x:row r="438" ht="18" customHeight="1">
      <x:c r="A438" t="str">
        <x:v>DHR-00437</x:v>
      </x:c>
      <x:c r="B438" t="str">
        <x:v>Olivia Davis</x:v>
      </x:c>
      <x:c r="C438" t="str">
        <x:v>https://api.dicebear.com/9.x/adventurer/png?seed=DHR-00437-Olivia%20Davis&amp;size=256&amp;radius=50&amp;backgroundColor=b6e3f4,c0aede,d1d4f9,ffd5dc,ffdfbf</x:v>
      </x:c>
      <x:c r="D438" t="str">
        <x:v>olivia.davis.437@example.com</x:v>
      </x:c>
      <x:c r="E438" t="str">
        <x:v>+1 (612) 555-0136</x:v>
      </x:c>
      <x:c r="F438" t="str">
        <x:v>Minneapolis, MN</x:v>
      </x:c>
      <x:c r="G438" t="str">
        <x:v>Minneapolis</x:v>
      </x:c>
      <x:c r="H438" t="str">
        <x:v>MN</x:v>
      </x:c>
      <x:c r="I438" s="18" t="str">
        <x:v>55401</x:v>
      </x:c>
      <x:c r="J438" s="15" t="n">
        <x:v>25762.393499386573</x:v>
      </x:c>
      <x:c r="K438" t="n">
        <x:f>INT((DATE(2025,12,31)-J438)/365.25)</x:f>
        <x:v>55</x:v>
      </x:c>
      <x:c r="L438" t="str">
        <x:f>IF(K438&lt;25,"18-24",IF(K438&lt;35,"25-34",IF(K438&lt;45,"35-44",IF(K438&lt;55,"45-54","55+"))))</x:f>
        <x:v>55+</x:v>
      </x:c>
      <x:c r="M438" s="15" t="n">
        <x:v>45256.317337002314</x:v>
      </x:c>
      <x:c r="N438" t="n">
        <x:f>(YEAR(DATE(2025,12,31))-YEAR(M438))*12+MONTH(DATE(2025,12,31))-MONTH(M438)</x:f>
        <x:v>25</x:v>
      </x:c>
      <x:c r="O438" t="str">
        <x:v>ACTIVE</x:v>
      </x:c>
      <x:c r="P438" t="str">
        <x:v>INDEPENDENT_CONTRACTOR</x:v>
      </x:c>
      <x:c r="Q438" t="str">
        <x:v>CAR</x:v>
      </x:c>
      <x:c r="R438" t="str">
        <x:v>FLEXIBLE</x:v>
      </x:c>
      <x:c r="S438" t="n">
        <x:v>16</x:v>
      </x:c>
      <x:c r="T438" t="str">
        <x:v>CLEARED</x:v>
      </x:c>
      <x:c r="U438" t="str">
        <x:v>VALID</x:v>
      </x:c>
      <x:c r="V438" s="16" t="n">
        <x:v>0.795</x:v>
      </x:c>
      <x:c r="W438" t="str">
        <x:v>English</x:v>
      </x:c>
      <x:c r="X438"/>
      <x:c r="Y438" t="n">
        <x:v>933</x:v>
      </x:c>
      <x:c r="Z438" s="17" t="n">
        <x:v>4.19</x:v>
      </x:c>
      <x:c r="AA438" s="16" t="n">
        <x:v>0.7997</x:v>
      </x:c>
      <x:c r="AB438" s="16" t="n">
        <x:v>0.9831</x:v>
      </x:c>
      <x:c r="AC438" s="16" t="n">
        <x:v>0.9264</x:v>
      </x:c>
      <x:c r="AD438" t="n">
        <x:v>0</x:v>
      </x:c>
      <x:c r="AE438" t="str">
        <x:f>IF(O438&lt;&gt;"ACTIVE","NOT_RATED",IF(AND(Z438&gt;=4.8,AB438&gt;=0.97,AC438&gt;=0.93,AD438=0),"ELITE",IF(AND(Z438&gt;=4.6,AB438&gt;=0.94,AC438&gt;=0.88),"HIGH_PERFORMER",IF(OR(Z438&lt;4.2,AB438&lt;0.85,AD438&gt;=2),"AT_RISK","STANDARD"))))</x:f>
        <x:v>AT_RISK</x:v>
      </x:c>
      <x:c r="AF438" s="15" t="n">
        <x:v>46013</x:v>
      </x:c>
      <x:c r="AG438" t="str">
        <x:v>VERIFIED</x:v>
      </x:c>
      <x:c r="AH438" t="str">
        <x:v>COMPLETE</x:v>
      </x:c>
      <x:c r="AI438" t="str">
        <x:v>Cameron Clark</x:v>
      </x:c>
      <x:c r="AJ438" t="str">
        <x:v>SPOUSE_PARTNER</x:v>
      </x:c>
      <x:c r="AK438" t="str">
        <x:v>+1 (612) 555-0175</x:v>
      </x:c>
    </x:row>
    <x:row r="439" ht="18" customHeight="1">
      <x:c r="A439" t="str">
        <x:v>DHR-00438</x:v>
      </x:c>
      <x:c r="B439" t="str">
        <x:v>Olivia Garcia</x:v>
      </x:c>
      <x:c r="C439" t="str">
        <x:v>https://api.dicebear.com/9.x/adventurer/png?seed=DHR-00438-Olivia%20Garcia&amp;size=256&amp;radius=50&amp;backgroundColor=b6e3f4,c0aede,d1d4f9,ffd5dc,ffdfbf</x:v>
      </x:c>
      <x:c r="D439" t="str">
        <x:v>olivia.garcia.438@example.com</x:v>
      </x:c>
      <x:c r="E439" t="str">
        <x:v>+1 (214) 555-0137</x:v>
      </x:c>
      <x:c r="F439" t="str">
        <x:v>Dallas, TX</x:v>
      </x:c>
      <x:c r="G439" t="str">
        <x:v>Dallas</x:v>
      </x:c>
      <x:c r="H439" t="str">
        <x:v>TX</x:v>
      </x:c>
      <x:c r="I439" s="18" t="str">
        <x:v>75201</x:v>
      </x:c>
      <x:c r="J439" s="15" t="n">
        <x:v>29650.9614015625</x:v>
      </x:c>
      <x:c r="K439" t="n">
        <x:f>INT((DATE(2025,12,31)-J439)/365.25)</x:f>
        <x:v>44</x:v>
      </x:c>
      <x:c r="L439" t="str">
        <x:f>IF(K439&lt;25,"18-24",IF(K439&lt;35,"25-34",IF(K439&lt;45,"35-44",IF(K439&lt;55,"45-54","55+"))))</x:f>
        <x:v>35-44</x:v>
      </x:c>
      <x:c r="M439" s="15" t="n">
        <x:v>44771.09950648148</x:v>
      </x:c>
      <x:c r="N439" t="n">
        <x:f>(YEAR(DATE(2025,12,31))-YEAR(M439))*12+MONTH(DATE(2025,12,31))-MONTH(M439)</x:f>
        <x:v>41</x:v>
      </x:c>
      <x:c r="O439" t="str">
        <x:v>ACTIVE</x:v>
      </x:c>
      <x:c r="P439" t="str">
        <x:v>INDEPENDENT_CONTRACTOR</x:v>
      </x:c>
      <x:c r="Q439" t="str">
        <x:v>E_BIKE</x:v>
      </x:c>
      <x:c r="R439" t="str">
        <x:v>FLEXIBLE</x:v>
      </x:c>
      <x:c r="S439" t="n">
        <x:v>8</x:v>
      </x:c>
      <x:c r="T439" t="str">
        <x:v>CLEARED</x:v>
      </x:c>
      <x:c r="U439" t="str">
        <x:v>NOT_REQUIRED</x:v>
      </x:c>
      <x:c r="V439" s="16" t="n">
        <x:v>0.907</x:v>
      </x:c>
      <x:c r="W439" t="str">
        <x:v>English</x:v>
      </x:c>
      <x:c r="X439" t="str">
        <x:v>Mandarin</x:v>
      </x:c>
      <x:c r="Y439" t="n">
        <x:v>720</x:v>
      </x:c>
      <x:c r="Z439" s="17" t="n">
        <x:v>4.94</x:v>
      </x:c>
      <x:c r="AA439" s="16" t="n">
        <x:v>0.893</x:v>
      </x:c>
      <x:c r="AB439" s="16" t="n">
        <x:v>0.9085</x:v>
      </x:c>
      <x:c r="AC439" s="16" t="n">
        <x:v>0.9587</x:v>
      </x:c>
      <x:c r="AD439" t="n">
        <x:v>0</x:v>
      </x:c>
      <x:c r="AE439" t="str">
        <x:f>IF(O439&lt;&gt;"ACTIVE","NOT_RATED",IF(AND(Z439&gt;=4.8,AB439&gt;=0.97,AC439&gt;=0.93,AD439=0),"ELITE",IF(AND(Z439&gt;=4.6,AB439&gt;=0.94,AC439&gt;=0.88),"HIGH_PERFORMER",IF(OR(Z439&lt;4.2,AB439&lt;0.85,AD439&gt;=2),"AT_RISK","STANDARD"))))</x:f>
        <x:v>STANDARD</x:v>
      </x:c>
      <x:c r="AF439" s="15" t="n">
        <x:v>46021</x:v>
      </x:c>
      <x:c r="AG439" t="str">
        <x:v>VERIFIED</x:v>
      </x:c>
      <x:c r="AH439" t="str">
        <x:v>COMPLETE</x:v>
      </x:c>
      <x:c r="AI439" t="str">
        <x:v>Jordan Harris</x:v>
      </x:c>
      <x:c r="AJ439" t="str">
        <x:v>PARENT</x:v>
      </x:c>
      <x:c r="AK439" t="str">
        <x:v>+1 (214) 555-0182</x:v>
      </x:c>
    </x:row>
    <x:row r="440" ht="18" customHeight="1">
      <x:c r="A440" t="str">
        <x:v>DHR-00439</x:v>
      </x:c>
      <x:c r="B440" t="str">
        <x:v>Olivia Harris</x:v>
      </x:c>
      <x:c r="C440" t="str">
        <x:v>https://api.dicebear.com/9.x/adventurer/png?seed=DHR-00439-Olivia%20Harris&amp;size=256&amp;radius=50&amp;backgroundColor=b6e3f4,c0aede,d1d4f9,ffd5dc,ffdfbf</x:v>
      </x:c>
      <x:c r="D440" t="str">
        <x:v>olivia.harris.439@example.com</x:v>
      </x:c>
      <x:c r="E440" t="str">
        <x:v>+1 (702) 555-0138</x:v>
      </x:c>
      <x:c r="F440" t="str">
        <x:v>Las Vegas, NV</x:v>
      </x:c>
      <x:c r="G440" t="str">
        <x:v>Las Vegas</x:v>
      </x:c>
      <x:c r="H440" t="str">
        <x:v>NV</x:v>
      </x:c>
      <x:c r="I440" s="18" t="str">
        <x:v>89101</x:v>
      </x:c>
      <x:c r="J440" s="15" t="n">
        <x:v>38057.01443993056</x:v>
      </x:c>
      <x:c r="K440" t="n">
        <x:f>INT((DATE(2025,12,31)-J440)/365.25)</x:f>
        <x:v>21</x:v>
      </x:c>
      <x:c r="L440" t="str">
        <x:f>IF(K440&lt;25,"18-24",IF(K440&lt;35,"25-34",IF(K440&lt;45,"35-44",IF(K440&lt;55,"45-54","55+"))))</x:f>
        <x:v>18-24</x:v>
      </x:c>
      <x:c r="M440" s="15" t="n">
        <x:v>44822.73877726852</x:v>
      </x:c>
      <x:c r="N440" t="n">
        <x:f>(YEAR(DATE(2025,12,31))-YEAR(M440))*12+MONTH(DATE(2025,12,31))-MONTH(M440)</x:f>
        <x:v>39</x:v>
      </x:c>
      <x:c r="O440" t="str">
        <x:v>OFFBOARDED</x:v>
      </x:c>
      <x:c r="P440" t="str">
        <x:v>INDEPENDENT_CONTRACTOR</x:v>
      </x:c>
      <x:c r="Q440" t="str">
        <x:v>CAR</x:v>
      </x:c>
      <x:c r="R440" t="str">
        <x:v>FLEXIBLE</x:v>
      </x:c>
      <x:c r="S440" t="n">
        <x:v>29</x:v>
      </x:c>
      <x:c r="T440" t="str">
        <x:v>REVIEW_REQUIRED</x:v>
      </x:c>
      <x:c r="U440" t="str">
        <x:v>VALID</x:v>
      </x:c>
      <x:c r="V440" s="16" t="n">
        <x:v>0.765</x:v>
      </x:c>
      <x:c r="W440" t="str">
        <x:v>English</x:v>
      </x:c>
      <x:c r="X440"/>
      <x:c r="Y440" t="n">
        <x:v>3236</x:v>
      </x:c>
      <x:c r="Z440" s="17" t="n">
        <x:v>4.82</x:v>
      </x:c>
      <x:c r="AA440" s="16" t="n">
        <x:v>0.6351</x:v>
      </x:c>
      <x:c r="AB440" s="16" t="n">
        <x:v>0.9367</x:v>
      </x:c>
      <x:c r="AC440" s="16" t="n">
        <x:v>0.8708</x:v>
      </x:c>
      <x:c r="AD440" t="n">
        <x:v>0</x:v>
      </x:c>
      <x:c r="AE440" t="str">
        <x:f>IF(O440&lt;&gt;"ACTIVE","NOT_RATED",IF(AND(Z440&gt;=4.8,AB440&gt;=0.97,AC440&gt;=0.93,AD440=0),"ELITE",IF(AND(Z440&gt;=4.6,AB440&gt;=0.94,AC440&gt;=0.88),"HIGH_PERFORMER",IF(OR(Z440&lt;4.2,AB440&lt;0.85,AD440&gt;=2),"AT_RISK","STANDARD"))))</x:f>
        <x:v>NOT_RATED</x:v>
      </x:c>
      <x:c r="AF440" s="15" t="n">
        <x:v>45557</x:v>
      </x:c>
      <x:c r="AG440" t="str">
        <x:v>VERIFIED</x:v>
      </x:c>
      <x:c r="AH440" t="str">
        <x:v>COMPLETE</x:v>
      </x:c>
      <x:c r="AI440" t="str">
        <x:v>Ava Davis</x:v>
      </x:c>
      <x:c r="AJ440" t="str">
        <x:v>SIBLING</x:v>
      </x:c>
      <x:c r="AK440" t="str">
        <x:v>+1 (702) 555-0189</x:v>
      </x:c>
    </x:row>
    <x:row r="441" ht="18" customHeight="1">
      <x:c r="A441" t="str">
        <x:v>DHR-00440</x:v>
      </x:c>
      <x:c r="B441" t="str">
        <x:v>Olivia Jackson</x:v>
      </x:c>
      <x:c r="C441" t="str">
        <x:v>https://api.dicebear.com/9.x/adventurer/png?seed=DHR-00440-Olivia%20Jackson&amp;size=256&amp;radius=50&amp;backgroundColor=b6e3f4,c0aede,d1d4f9,ffd5dc,ffdfbf</x:v>
      </x:c>
      <x:c r="D441" t="str">
        <x:v>olivia.jackson.440@example.com</x:v>
      </x:c>
      <x:c r="E441" t="str">
        <x:v>+1 (213) 555-0139</x:v>
      </x:c>
      <x:c r="F441" t="str">
        <x:v>Los Angeles, CA</x:v>
      </x:c>
      <x:c r="G441" t="str">
        <x:v>Los Angeles</x:v>
      </x:c>
      <x:c r="H441" t="str">
        <x:v>CA</x:v>
      </x:c>
      <x:c r="I441" s="18" t="str">
        <x:v>90012</x:v>
      </x:c>
      <x:c r="J441" s="15" t="n">
        <x:v>33272.88146810185</x:v>
      </x:c>
      <x:c r="K441" t="n">
        <x:f>INT((DATE(2025,12,31)-J441)/365.25)</x:f>
        <x:v>34</x:v>
      </x:c>
      <x:c r="L441" t="str">
        <x:f>IF(K441&lt;25,"18-24",IF(K441&lt;35,"25-34",IF(K441&lt;45,"35-44",IF(K441&lt;55,"45-54","55+"))))</x:f>
        <x:v>25-34</x:v>
      </x:c>
      <x:c r="M441" s="15" t="n">
        <x:v>44781.95679696759</x:v>
      </x:c>
      <x:c r="N441" t="n">
        <x:f>(YEAR(DATE(2025,12,31))-YEAR(M441))*12+MONTH(DATE(2025,12,31))-MONTH(M441)</x:f>
        <x:v>40</x:v>
      </x:c>
      <x:c r="O441" t="str">
        <x:v>ACTIVE</x:v>
      </x:c>
      <x:c r="P441" t="str">
        <x:v>INDEPENDENT_CONTRACTOR</x:v>
      </x:c>
      <x:c r="Q441" t="str">
        <x:v>CAR</x:v>
      </x:c>
      <x:c r="R441" t="str">
        <x:v>FLEXIBLE</x:v>
      </x:c>
      <x:c r="S441" t="n">
        <x:v>14</x:v>
      </x:c>
      <x:c r="T441" t="str">
        <x:v>CLEARED</x:v>
      </x:c>
      <x:c r="U441" t="str">
        <x:v>VALID</x:v>
      </x:c>
      <x:c r="V441" s="16" t="n">
        <x:v>0.9369</x:v>
      </x:c>
      <x:c r="W441" t="str">
        <x:v>Spanish</x:v>
      </x:c>
      <x:c r="X441"/>
      <x:c r="Y441" t="n">
        <x:v>1567</x:v>
      </x:c>
      <x:c r="Z441" s="17" t="n">
        <x:v>4.78</x:v>
      </x:c>
      <x:c r="AA441" s="16" t="n">
        <x:v>0.841</x:v>
      </x:c>
      <x:c r="AB441" s="16" t="n">
        <x:v>0.9453</x:v>
      </x:c>
      <x:c r="AC441" s="16" t="n">
        <x:v>0.9692</x:v>
      </x:c>
      <x:c r="AD441" t="n">
        <x:v>0</x:v>
      </x:c>
      <x:c r="AE441" t="str">
        <x:f>IF(O441&lt;&gt;"ACTIVE","NOT_RATED",IF(AND(Z441&gt;=4.8,AB441&gt;=0.97,AC441&gt;=0.93,AD441=0),"ELITE",IF(AND(Z441&gt;=4.6,AB441&gt;=0.94,AC441&gt;=0.88),"HIGH_PERFORMER",IF(OR(Z441&lt;4.2,AB441&lt;0.85,AD441&gt;=2),"AT_RISK","STANDARD"))))</x:f>
        <x:v>HIGH_PERFORMER</x:v>
      </x:c>
      <x:c r="AF441" s="15" t="n">
        <x:v>46017</x:v>
      </x:c>
      <x:c r="AG441" t="str">
        <x:v>VERIFIED</x:v>
      </x:c>
      <x:c r="AH441" t="str">
        <x:v>COMPLETE</x:v>
      </x:c>
      <x:c r="AI441" t="str">
        <x:v>Hayden Rodriguez</x:v>
      </x:c>
      <x:c r="AJ441" t="str">
        <x:v>SPOUSE_PARTNER</x:v>
      </x:c>
      <x:c r="AK441" t="str">
        <x:v>+1 (213) 555-0196</x:v>
      </x:c>
    </x:row>
    <x:row r="442" ht="18" customHeight="1">
      <x:c r="A442" t="str">
        <x:v>DHR-00441</x:v>
      </x:c>
      <x:c r="B442" t="str">
        <x:v>Olivia Johnson</x:v>
      </x:c>
      <x:c r="C442" t="str">
        <x:v>https://api.dicebear.com/9.x/adventurer/png?seed=DHR-00441-Olivia%20Johnson&amp;size=256&amp;radius=50&amp;backgroundColor=b6e3f4,c0aede,d1d4f9,ffd5dc,ffdfbf</x:v>
      </x:c>
      <x:c r="D442" t="str">
        <x:v>olivia.johnson.441@example.com</x:v>
      </x:c>
      <x:c r="E442" t="str">
        <x:v>+1 (512) 555-0140</x:v>
      </x:c>
      <x:c r="F442" t="str">
        <x:v>Austin, TX</x:v>
      </x:c>
      <x:c r="G442" t="str">
        <x:v>Austin</x:v>
      </x:c>
      <x:c r="H442" t="str">
        <x:v>TX</x:v>
      </x:c>
      <x:c r="I442" s="18" t="str">
        <x:v>78701</x:v>
      </x:c>
      <x:c r="J442" s="15" t="n">
        <x:v>25836.94074888889</x:v>
      </x:c>
      <x:c r="K442" t="n">
        <x:f>INT((DATE(2025,12,31)-J442)/365.25)</x:f>
        <x:v>55</x:v>
      </x:c>
      <x:c r="L442" t="str">
        <x:f>IF(K442&lt;25,"18-24",IF(K442&lt;35,"25-34",IF(K442&lt;45,"35-44",IF(K442&lt;55,"45-54","55+"))))</x:f>
        <x:v>55+</x:v>
      </x:c>
      <x:c r="M442" s="15" t="n">
        <x:v>45010.99072297454</x:v>
      </x:c>
      <x:c r="N442" t="n">
        <x:f>(YEAR(DATE(2025,12,31))-YEAR(M442))*12+MONTH(DATE(2025,12,31))-MONTH(M442)</x:f>
        <x:v>33</x:v>
      </x:c>
      <x:c r="O442" t="str">
        <x:v>ACTIVE</x:v>
      </x:c>
      <x:c r="P442" t="str">
        <x:v>INDEPENDENT_CONTRACTOR</x:v>
      </x:c>
      <x:c r="Q442" t="str">
        <x:v>SCOOTER</x:v>
      </x:c>
      <x:c r="R442" t="str">
        <x:v>FLEXIBLE</x:v>
      </x:c>
      <x:c r="S442" t="n">
        <x:v>14</x:v>
      </x:c>
      <x:c r="T442" t="str">
        <x:v>CLEARED</x:v>
      </x:c>
      <x:c r="U442" t="str">
        <x:v>VALID</x:v>
      </x:c>
      <x:c r="V442" s="16" t="n">
        <x:v>0.9821</x:v>
      </x:c>
      <x:c r="W442" t="str">
        <x:v>English</x:v>
      </x:c>
      <x:c r="X442"/>
      <x:c r="Y442" t="n">
        <x:v>1070</x:v>
      </x:c>
      <x:c r="Z442" s="17" t="n">
        <x:v>4.9</x:v>
      </x:c>
      <x:c r="AA442" s="16" t="n">
        <x:v>0.9076</x:v>
      </x:c>
      <x:c r="AB442" s="16" t="n">
        <x:v>0.9444</x:v>
      </x:c>
      <x:c r="AC442" s="16" t="n">
        <x:v>0.9246</x:v>
      </x:c>
      <x:c r="AD442" t="n">
        <x:v>0</x:v>
      </x:c>
      <x:c r="AE442" t="str">
        <x:f>IF(O442&lt;&gt;"ACTIVE","NOT_RATED",IF(AND(Z442&gt;=4.8,AB442&gt;=0.97,AC442&gt;=0.93,AD442=0),"ELITE",IF(AND(Z442&gt;=4.6,AB442&gt;=0.94,AC442&gt;=0.88),"HIGH_PERFORMER",IF(OR(Z442&lt;4.2,AB442&lt;0.85,AD442&gt;=2),"AT_RISK","STANDARD"))))</x:f>
        <x:v>HIGH_PERFORMER</x:v>
      </x:c>
      <x:c r="AF442" s="15" t="n">
        <x:v>46011</x:v>
      </x:c>
      <x:c r="AG442" t="str">
        <x:v>VERIFIED</x:v>
      </x:c>
      <x:c r="AH442" t="str">
        <x:v>COMPLETE</x:v>
      </x:c>
      <x:c r="AI442" t="str">
        <x:v>Emma Williams</x:v>
      </x:c>
      <x:c r="AJ442" t="str">
        <x:v>OTHER</x:v>
      </x:c>
      <x:c r="AK442" t="str">
        <x:v>+1 (512) 555-0103</x:v>
      </x:c>
    </x:row>
    <x:row r="443" ht="18" customHeight="1">
      <x:c r="A443" t="str">
        <x:v>DHR-00442</x:v>
      </x:c>
      <x:c r="B443" t="str">
        <x:v>Olivia Jones</x:v>
      </x:c>
      <x:c r="C443" t="str">
        <x:v>https://api.dicebear.com/9.x/adventurer/png?seed=DHR-00442-Olivia%20Jones&amp;size=256&amp;radius=50&amp;backgroundColor=b6e3f4,c0aede,d1d4f9,ffd5dc,ffdfbf</x:v>
      </x:c>
      <x:c r="D443" t="str">
        <x:v>olivia.jones.442@example.com</x:v>
      </x:c>
      <x:c r="E443" t="str">
        <x:v>+1 (713) 555-0141</x:v>
      </x:c>
      <x:c r="F443" t="str">
        <x:v>Houston, TX</x:v>
      </x:c>
      <x:c r="G443" t="str">
        <x:v>Houston</x:v>
      </x:c>
      <x:c r="H443" t="str">
        <x:v>TX</x:v>
      </x:c>
      <x:c r="I443" s="18" t="str">
        <x:v>77002</x:v>
      </x:c>
      <x:c r="J443" s="15" t="n">
        <x:v>31633.24694721065</x:v>
      </x:c>
      <x:c r="K443" t="n">
        <x:f>INT((DATE(2025,12,31)-J443)/365.25)</x:f>
        <x:v>39</x:v>
      </x:c>
      <x:c r="L443" t="str">
        <x:f>IF(K443&lt;25,"18-24",IF(K443&lt;35,"25-34",IF(K443&lt;45,"35-44",IF(K443&lt;55,"45-54","55+"))))</x:f>
        <x:v>35-44</x:v>
      </x:c>
      <x:c r="M443" s="15" t="n">
        <x:v>45194.33813393518</x:v>
      </x:c>
      <x:c r="N443" t="n">
        <x:f>(YEAR(DATE(2025,12,31))-YEAR(M443))*12+MONTH(DATE(2025,12,31))-MONTH(M443)</x:f>
        <x:v>27</x:v>
      </x:c>
      <x:c r="O443" t="str">
        <x:v>ACTIVE</x:v>
      </x:c>
      <x:c r="P443" t="str">
        <x:v>INDEPENDENT_CONTRACTOR</x:v>
      </x:c>
      <x:c r="Q443" t="str">
        <x:v>E_BIKE</x:v>
      </x:c>
      <x:c r="R443" t="str">
        <x:v>WEEKENDS</x:v>
      </x:c>
      <x:c r="S443" t="n">
        <x:v>34</x:v>
      </x:c>
      <x:c r="T443" t="str">
        <x:v>CLEARED</x:v>
      </x:c>
      <x:c r="U443" t="str">
        <x:v>NOT_REQUIRED</x:v>
      </x:c>
      <x:c r="V443" s="16" t="n">
        <x:v>0.8223</x:v>
      </x:c>
      <x:c r="W443" t="str">
        <x:v>English</x:v>
      </x:c>
      <x:c r="X443" t="str">
        <x:v>Spanish</x:v>
      </x:c>
      <x:c r="Y443" t="n">
        <x:v>1931</x:v>
      </x:c>
      <x:c r="Z443" s="17" t="n">
        <x:v>4.49</x:v>
      </x:c>
      <x:c r="AA443" s="16" t="n">
        <x:v>0.6465</x:v>
      </x:c>
      <x:c r="AB443" s="16" t="n">
        <x:v>0.9218</x:v>
      </x:c>
      <x:c r="AC443" s="16" t="n">
        <x:v>0.8608</x:v>
      </x:c>
      <x:c r="AD443" t="n">
        <x:v>0</x:v>
      </x:c>
      <x:c r="AE443" t="str">
        <x:f>IF(O443&lt;&gt;"ACTIVE","NOT_RATED",IF(AND(Z443&gt;=4.8,AB443&gt;=0.97,AC443&gt;=0.93,AD443=0),"ELITE",IF(AND(Z443&gt;=4.6,AB443&gt;=0.94,AC443&gt;=0.88),"HIGH_PERFORMER",IF(OR(Z443&lt;4.2,AB443&lt;0.85,AD443&gt;=2),"AT_RISK","STANDARD"))))</x:f>
        <x:v>STANDARD</x:v>
      </x:c>
      <x:c r="AF443" s="15" t="n">
        <x:v>46018</x:v>
      </x:c>
      <x:c r="AG443" t="str">
        <x:v>VERIFIED</x:v>
      </x:c>
      <x:c r="AH443" t="str">
        <x:v>COMPLETE</x:v>
      </x:c>
      <x:c r="AI443" t="str">
        <x:v>Emma Perez</x:v>
      </x:c>
      <x:c r="AJ443" t="str">
        <x:v>SPOUSE_PARTNER</x:v>
      </x:c>
      <x:c r="AK443" t="str">
        <x:v>+1 (713) 555-0110</x:v>
      </x:c>
    </x:row>
    <x:row r="444" ht="18" customHeight="1">
      <x:c r="A444" t="str">
        <x:v>DHR-00443</x:v>
      </x:c>
      <x:c r="B444" t="str">
        <x:v>Olivia Lee</x:v>
      </x:c>
      <x:c r="C444" t="str">
        <x:v>https://api.dicebear.com/9.x/adventurer/png?seed=DHR-00443-Olivia%20Lee&amp;size=256&amp;radius=50&amp;backgroundColor=b6e3f4,c0aede,d1d4f9,ffd5dc,ffdfbf</x:v>
      </x:c>
      <x:c r="D444" t="str">
        <x:v>olivia.lee.443@example.com</x:v>
      </x:c>
      <x:c r="E444" t="str">
        <x:v>+1 (210) 555-0142</x:v>
      </x:c>
      <x:c r="F444" t="str">
        <x:v>San Antonio, TX</x:v>
      </x:c>
      <x:c r="G444" t="str">
        <x:v>San Antonio</x:v>
      </x:c>
      <x:c r="H444" t="str">
        <x:v>TX</x:v>
      </x:c>
      <x:c r="I444" s="18" t="str">
        <x:v>78205</x:v>
      </x:c>
      <x:c r="J444" s="15" t="n">
        <x:v>29466.79037361111</x:v>
      </x:c>
      <x:c r="K444" t="n">
        <x:f>INT((DATE(2025,12,31)-J444)/365.25)</x:f>
        <x:v>45</x:v>
      </x:c>
      <x:c r="L444" t="str">
        <x:f>IF(K444&lt;25,"18-24",IF(K444&lt;35,"25-34",IF(K444&lt;45,"35-44",IF(K444&lt;55,"45-54","55+"))))</x:f>
        <x:v>45-54</x:v>
      </x:c>
      <x:c r="M444" s="15" t="n">
        <x:v>43581.82359136574</x:v>
      </x:c>
      <x:c r="N444" t="n">
        <x:f>(YEAR(DATE(2025,12,31))-YEAR(M444))*12+MONTH(DATE(2025,12,31))-MONTH(M444)</x:f>
        <x:v>80</x:v>
      </x:c>
      <x:c r="O444" t="str">
        <x:v>ACTIVE</x:v>
      </x:c>
      <x:c r="P444" t="str">
        <x:v>INDEPENDENT_CONTRACTOR</x:v>
      </x:c>
      <x:c r="Q444" t="str">
        <x:v>E_BIKE</x:v>
      </x:c>
      <x:c r="R444" t="str">
        <x:v>LUNCH</x:v>
      </x:c>
      <x:c r="S444" t="n">
        <x:v>33</x:v>
      </x:c>
      <x:c r="T444" t="str">
        <x:v>CLEARED</x:v>
      </x:c>
      <x:c r="U444" t="str">
        <x:v>NOT_REQUIRED</x:v>
      </x:c>
      <x:c r="V444" s="16" t="n">
        <x:v>0.8543</x:v>
      </x:c>
      <x:c r="W444" t="str">
        <x:v>English</x:v>
      </x:c>
      <x:c r="X444" t="str">
        <x:v>Spanish</x:v>
      </x:c>
      <x:c r="Y444" t="n">
        <x:v>5451</x:v>
      </x:c>
      <x:c r="Z444" s="17" t="n">
        <x:v>4.89</x:v>
      </x:c>
      <x:c r="AA444" s="16" t="n">
        <x:v>0.9201</x:v>
      </x:c>
      <x:c r="AB444" s="16" t="n">
        <x:v>0.9073</x:v>
      </x:c>
      <x:c r="AC444" s="16" t="n">
        <x:v>0.9213</x:v>
      </x:c>
      <x:c r="AD444" t="n">
        <x:v>0</x:v>
      </x:c>
      <x:c r="AE444" t="str">
        <x:f>IF(O444&lt;&gt;"ACTIVE","NOT_RATED",IF(AND(Z444&gt;=4.8,AB444&gt;=0.97,AC444&gt;=0.93,AD444=0),"ELITE",IF(AND(Z444&gt;=4.6,AB444&gt;=0.94,AC444&gt;=0.88),"HIGH_PERFORMER",IF(OR(Z444&lt;4.2,AB444&lt;0.85,AD444&gt;=2),"AT_RISK","STANDARD"))))</x:f>
        <x:v>STANDARD</x:v>
      </x:c>
      <x:c r="AF444" s="15" t="n">
        <x:v>46020</x:v>
      </x:c>
      <x:c r="AG444" t="str">
        <x:v>VERIFIED</x:v>
      </x:c>
      <x:c r="AH444" t="str">
        <x:v>COMPLETE</x:v>
      </x:c>
      <x:c r="AI444" t="str">
        <x:v>Cameron Clark</x:v>
      </x:c>
      <x:c r="AJ444" t="str">
        <x:v>OTHER</x:v>
      </x:c>
      <x:c r="AK444" t="str">
        <x:v>+1 (210) 555-0117</x:v>
      </x:c>
    </x:row>
    <x:row r="445" ht="18" customHeight="1">
      <x:c r="A445" t="str">
        <x:v>DHR-00444</x:v>
      </x:c>
      <x:c r="B445" t="str">
        <x:v>Olivia Lewis</x:v>
      </x:c>
      <x:c r="C445" t="str">
        <x:v>https://api.dicebear.com/9.x/adventurer/png?seed=DHR-00444-Olivia%20Lewis&amp;size=256&amp;radius=50&amp;backgroundColor=b6e3f4,c0aede,d1d4f9,ffd5dc,ffdfbf</x:v>
      </x:c>
      <x:c r="D445" t="str">
        <x:v>olivia.lewis.444@example.com</x:v>
      </x:c>
      <x:c r="E445" t="str">
        <x:v>+1 (212) 555-0143</x:v>
      </x:c>
      <x:c r="F445" t="str">
        <x:v>New York, NY</x:v>
      </x:c>
      <x:c r="G445" t="str">
        <x:v>New York</x:v>
      </x:c>
      <x:c r="H445" t="str">
        <x:v>NY</x:v>
      </x:c>
      <x:c r="I445" s="18" t="str">
        <x:v>10001</x:v>
      </x:c>
      <x:c r="J445" s="15" t="n">
        <x:v>29335.009791180557</x:v>
      </x:c>
      <x:c r="K445" t="n">
        <x:f>INT((DATE(2025,12,31)-J445)/365.25)</x:f>
        <x:v>45</x:v>
      </x:c>
      <x:c r="L445" t="str">
        <x:f>IF(K445&lt;25,"18-24",IF(K445&lt;35,"25-34",IF(K445&lt;45,"35-44",IF(K445&lt;55,"45-54","55+"))))</x:f>
        <x:v>45-54</x:v>
      </x:c>
      <x:c r="M445" s="15" t="n">
        <x:v>44987.47032760417</x:v>
      </x:c>
      <x:c r="N445" t="n">
        <x:f>(YEAR(DATE(2025,12,31))-YEAR(M445))*12+MONTH(DATE(2025,12,31))-MONTH(M445)</x:f>
        <x:v>33</x:v>
      </x:c>
      <x:c r="O445" t="str">
        <x:v>ACTIVE</x:v>
      </x:c>
      <x:c r="P445" t="str">
        <x:v>INDEPENDENT_CONTRACTOR</x:v>
      </x:c>
      <x:c r="Q445" t="str">
        <x:v>CAR</x:v>
      </x:c>
      <x:c r="R445" t="str">
        <x:v>FLEXIBLE</x:v>
      </x:c>
      <x:c r="S445" t="n">
        <x:v>25</x:v>
      </x:c>
      <x:c r="T445" t="str">
        <x:v>CLEARED</x:v>
      </x:c>
      <x:c r="U445" t="str">
        <x:v>EXPIRING_SOON</x:v>
      </x:c>
      <x:c r="V445" s="16" t="n">
        <x:v>0.8999</x:v>
      </x:c>
      <x:c r="W445" t="str">
        <x:v>English</x:v>
      </x:c>
      <x:c r="X445" t="str">
        <x:v>French</x:v>
      </x:c>
      <x:c r="Y445" t="n">
        <x:v>2319</x:v>
      </x:c>
      <x:c r="Z445" s="17" t="n">
        <x:v>4.58</x:v>
      </x:c>
      <x:c r="AA445" s="16" t="n">
        <x:v>0.9677</x:v>
      </x:c>
      <x:c r="AB445" s="16" t="n">
        <x:v>0.9376</x:v>
      </x:c>
      <x:c r="AC445" s="16" t="n">
        <x:v>0.9622</x:v>
      </x:c>
      <x:c r="AD445" t="n">
        <x:v>0</x:v>
      </x:c>
      <x:c r="AE445" t="str">
        <x:f>IF(O445&lt;&gt;"ACTIVE","NOT_RATED",IF(AND(Z445&gt;=4.8,AB445&gt;=0.97,AC445&gt;=0.93,AD445=0),"ELITE",IF(AND(Z445&gt;=4.6,AB445&gt;=0.94,AC445&gt;=0.88),"HIGH_PERFORMER",IF(OR(Z445&lt;4.2,AB445&lt;0.85,AD445&gt;=2),"AT_RISK","STANDARD"))))</x:f>
        <x:v>STANDARD</x:v>
      </x:c>
      <x:c r="AF445" s="15" t="n">
        <x:v>46021</x:v>
      </x:c>
      <x:c r="AG445" t="str">
        <x:v>VERIFIED</x:v>
      </x:c>
      <x:c r="AH445" t="str">
        <x:v>COMPLETE</x:v>
      </x:c>
      <x:c r="AI445" t="str">
        <x:v>Jamie Davis</x:v>
      </x:c>
      <x:c r="AJ445" t="str">
        <x:v>OTHER</x:v>
      </x:c>
      <x:c r="AK445" t="str">
        <x:v>+1 (212) 555-0124</x:v>
      </x:c>
    </x:row>
    <x:row r="446" ht="18" customHeight="1">
      <x:c r="A446" t="str">
        <x:v>DHR-00445</x:v>
      </x:c>
      <x:c r="B446" t="str">
        <x:v>Olivia Martin</x:v>
      </x:c>
      <x:c r="C446" t="str">
        <x:v>https://api.dicebear.com/9.x/adventurer/png?seed=DHR-00445-Olivia%20Martin&amp;size=256&amp;radius=50&amp;backgroundColor=b6e3f4,c0aede,d1d4f9,ffd5dc,ffdfbf</x:v>
      </x:c>
      <x:c r="D446" t="str">
        <x:v>olivia.martin.445@example.com</x:v>
      </x:c>
      <x:c r="E446" t="str">
        <x:v>+1 (312) 555-0144</x:v>
      </x:c>
      <x:c r="F446" t="str">
        <x:v>Chicago, IL</x:v>
      </x:c>
      <x:c r="G446" t="str">
        <x:v>Chicago</x:v>
      </x:c>
      <x:c r="H446" t="str">
        <x:v>IL</x:v>
      </x:c>
      <x:c r="I446" s="18" t="str">
        <x:v>60601</x:v>
      </x:c>
      <x:c r="J446" s="15" t="n">
        <x:v>26957.26049165509</x:v>
      </x:c>
      <x:c r="K446" t="n">
        <x:f>INT((DATE(2025,12,31)-J446)/365.25)</x:f>
        <x:v>52</x:v>
      </x:c>
      <x:c r="L446" t="str">
        <x:f>IF(K446&lt;25,"18-24",IF(K446&lt;35,"25-34",IF(K446&lt;45,"35-44",IF(K446&lt;55,"45-54","55+"))))</x:f>
        <x:v>45-54</x:v>
      </x:c>
      <x:c r="M446" s="15" t="n">
        <x:v>45071.87247390046</x:v>
      </x:c>
      <x:c r="N446" t="n">
        <x:f>(YEAR(DATE(2025,12,31))-YEAR(M446))*12+MONTH(DATE(2025,12,31))-MONTH(M446)</x:f>
        <x:v>31</x:v>
      </x:c>
      <x:c r="O446" t="str">
        <x:v>ACTIVE</x:v>
      </x:c>
      <x:c r="P446" t="str">
        <x:v>INDEPENDENT_CONTRACTOR</x:v>
      </x:c>
      <x:c r="Q446" t="str">
        <x:v>CAR</x:v>
      </x:c>
      <x:c r="R446" t="str">
        <x:v>FLEXIBLE</x:v>
      </x:c>
      <x:c r="S446" t="n">
        <x:v>17</x:v>
      </x:c>
      <x:c r="T446" t="str">
        <x:v>PENDING</x:v>
      </x:c>
      <x:c r="U446" t="str">
        <x:v>VALID</x:v>
      </x:c>
      <x:c r="V446" s="16" t="n">
        <x:v>0.906</x:v>
      </x:c>
      <x:c r="W446" t="str">
        <x:v>English</x:v>
      </x:c>
      <x:c r="X446" t="str">
        <x:v>Portuguese</x:v>
      </x:c>
      <x:c r="Y446" t="n">
        <x:v>1049</x:v>
      </x:c>
      <x:c r="Z446" s="17" t="n">
        <x:v>4.5</x:v>
      </x:c>
      <x:c r="AA446" s="16" t="n">
        <x:v>0.9001</x:v>
      </x:c>
      <x:c r="AB446" s="16" t="n">
        <x:v>0.9945</x:v>
      </x:c>
      <x:c r="AC446" s="16" t="n">
        <x:v>0.8574</x:v>
      </x:c>
      <x:c r="AD446" t="n">
        <x:v>0</x:v>
      </x:c>
      <x:c r="AE446" t="str">
        <x:f>IF(O446&lt;&gt;"ACTIVE","NOT_RATED",IF(AND(Z446&gt;=4.8,AB446&gt;=0.97,AC446&gt;=0.93,AD446=0),"ELITE",IF(AND(Z446&gt;=4.6,AB446&gt;=0.94,AC446&gt;=0.88),"HIGH_PERFORMER",IF(OR(Z446&lt;4.2,AB446&lt;0.85,AD446&gt;=2),"AT_RISK","STANDARD"))))</x:f>
        <x:v>STANDARD</x:v>
      </x:c>
      <x:c r="AF446" s="15" t="n">
        <x:v>46008</x:v>
      </x:c>
      <x:c r="AG446" t="str">
        <x:v>VERIFIED</x:v>
      </x:c>
      <x:c r="AH446" t="str">
        <x:v>COMPLETE</x:v>
      </x:c>
      <x:c r="AI446" t="str">
        <x:v>Quinn Taylor</x:v>
      </x:c>
      <x:c r="AJ446" t="str">
        <x:v>SPOUSE_PARTNER</x:v>
      </x:c>
      <x:c r="AK446" t="str">
        <x:v>+1 (312) 555-0131</x:v>
      </x:c>
    </x:row>
    <x:row r="447" ht="18" customHeight="1">
      <x:c r="A447" t="str">
        <x:v>DHR-00446</x:v>
      </x:c>
      <x:c r="B447" t="str">
        <x:v>Olivia Martinez</x:v>
      </x:c>
      <x:c r="C447" t="str">
        <x:v>https://api.dicebear.com/9.x/adventurer/png?seed=DHR-00446-Olivia%20Martinez&amp;size=256&amp;radius=50&amp;backgroundColor=b6e3f4,c0aede,d1d4f9,ffd5dc,ffdfbf</x:v>
      </x:c>
      <x:c r="D447" t="str">
        <x:v>olivia.martinez.446@example.com</x:v>
      </x:c>
      <x:c r="E447" t="str">
        <x:v>+1 (215) 555-0145</x:v>
      </x:c>
      <x:c r="F447" t="str">
        <x:v>Philadelphia, PA</x:v>
      </x:c>
      <x:c r="G447" t="str">
        <x:v>Philadelphia</x:v>
      </x:c>
      <x:c r="H447" t="str">
        <x:v>PA</x:v>
      </x:c>
      <x:c r="I447" s="18" t="str">
        <x:v>19103</x:v>
      </x:c>
      <x:c r="J447" s="15" t="n">
        <x:v>29919.421288958332</x:v>
      </x:c>
      <x:c r="K447" t="n">
        <x:f>INT((DATE(2025,12,31)-J447)/365.25)</x:f>
        <x:v>44</x:v>
      </x:c>
      <x:c r="L447" t="str">
        <x:f>IF(K447&lt;25,"18-24",IF(K447&lt;35,"25-34",IF(K447&lt;45,"35-44",IF(K447&lt;55,"45-54","55+"))))</x:f>
        <x:v>35-44</x:v>
      </x:c>
      <x:c r="M447" s="15" t="n">
        <x:v>45920.56476386574</x:v>
      </x:c>
      <x:c r="N447" t="n">
        <x:f>(YEAR(DATE(2025,12,31))-YEAR(M447))*12+MONTH(DATE(2025,12,31))-MONTH(M447)</x:f>
        <x:v>3</x:v>
      </x:c>
      <x:c r="O447" t="str">
        <x:v>ACTIVE</x:v>
      </x:c>
      <x:c r="P447" t="str">
        <x:v>INDEPENDENT_CONTRACTOR</x:v>
      </x:c>
      <x:c r="Q447" t="str">
        <x:v>CAR</x:v>
      </x:c>
      <x:c r="R447" t="str">
        <x:v>FLEXIBLE</x:v>
      </x:c>
      <x:c r="S447" t="n">
        <x:v>31</x:v>
      </x:c>
      <x:c r="T447" t="str">
        <x:v>CLEARED</x:v>
      </x:c>
      <x:c r="U447" t="str">
        <x:v>VALID</x:v>
      </x:c>
      <x:c r="V447" s="16" t="n">
        <x:v>0.7854</x:v>
      </x:c>
      <x:c r="W447" t="str">
        <x:v>English</x:v>
      </x:c>
      <x:c r="X447" t="str">
        <x:v>Portuguese</x:v>
      </x:c>
      <x:c r="Y447" t="n">
        <x:v>401</x:v>
      </x:c>
      <x:c r="Z447" s="17" t="n">
        <x:v>4.25</x:v>
      </x:c>
      <x:c r="AA447" s="16" t="n">
        <x:v>0.7161</x:v>
      </x:c>
      <x:c r="AB447" s="16" t="n">
        <x:v>0.896</x:v>
      </x:c>
      <x:c r="AC447" s="16" t="n">
        <x:v>0.8828</x:v>
      </x:c>
      <x:c r="AD447" t="n">
        <x:v>0</x:v>
      </x:c>
      <x:c r="AE447" t="str">
        <x:f>IF(O447&lt;&gt;"ACTIVE","NOT_RATED",IF(AND(Z447&gt;=4.8,AB447&gt;=0.97,AC447&gt;=0.93,AD447=0),"ELITE",IF(AND(Z447&gt;=4.6,AB447&gt;=0.94,AC447&gt;=0.88),"HIGH_PERFORMER",IF(OR(Z447&lt;4.2,AB447&lt;0.85,AD447&gt;=2),"AT_RISK","STANDARD"))))</x:f>
        <x:v>STANDARD</x:v>
      </x:c>
      <x:c r="AF447" s="15" t="n">
        <x:v>46014</x:v>
      </x:c>
      <x:c r="AG447" t="str">
        <x:v>VERIFIED</x:v>
      </x:c>
      <x:c r="AH447" t="str">
        <x:v>COMPLETE</x:v>
      </x:c>
      <x:c r="AI447" t="str">
        <x:v>Emma Taylor</x:v>
      </x:c>
      <x:c r="AJ447" t="str">
        <x:v>PARENT</x:v>
      </x:c>
      <x:c r="AK447" t="str">
        <x:v>+1 (215) 555-0138</x:v>
      </x:c>
    </x:row>
    <x:row r="448" ht="18" customHeight="1">
      <x:c r="A448" t="str">
        <x:v>DHR-00447</x:v>
      </x:c>
      <x:c r="B448" t="str">
        <x:v>Olivia Miller</x:v>
      </x:c>
      <x:c r="C448" t="str">
        <x:v>https://api.dicebear.com/9.x/adventurer/png?seed=DHR-00447-Olivia%20Miller&amp;size=256&amp;radius=50&amp;backgroundColor=b6e3f4,c0aede,d1d4f9,ffd5dc,ffdfbf</x:v>
      </x:c>
      <x:c r="D448" t="str">
        <x:v>olivia.miller.447@example.com</x:v>
      </x:c>
      <x:c r="E448" t="str">
        <x:v>+1 (512) 555-0146</x:v>
      </x:c>
      <x:c r="F448" t="str">
        <x:v>Austin, TX</x:v>
      </x:c>
      <x:c r="G448" t="str">
        <x:v>Austin</x:v>
      </x:c>
      <x:c r="H448" t="str">
        <x:v>TX</x:v>
      </x:c>
      <x:c r="I448" s="18" t="str">
        <x:v>78701</x:v>
      </x:c>
      <x:c r="J448" s="15" t="n">
        <x:v>23526.357809722223</x:v>
      </x:c>
      <x:c r="K448" t="n">
        <x:f>INT((DATE(2025,12,31)-J448)/365.25)</x:f>
        <x:v>61</x:v>
      </x:c>
      <x:c r="L448" t="str">
        <x:f>IF(K448&lt;25,"18-24",IF(K448&lt;35,"25-34",IF(K448&lt;45,"35-44",IF(K448&lt;55,"45-54","55+"))))</x:f>
        <x:v>55+</x:v>
      </x:c>
      <x:c r="M448" s="15" t="n">
        <x:v>45430.32592231481</x:v>
      </x:c>
      <x:c r="N448" t="n">
        <x:f>(YEAR(DATE(2025,12,31))-YEAR(M448))*12+MONTH(DATE(2025,12,31))-MONTH(M448)</x:f>
        <x:v>19</x:v>
      </x:c>
      <x:c r="O448" t="str">
        <x:v>ACTIVE</x:v>
      </x:c>
      <x:c r="P448" t="str">
        <x:v>INDEPENDENT_CONTRACTOR</x:v>
      </x:c>
      <x:c r="Q448" t="str">
        <x:v>CAR</x:v>
      </x:c>
      <x:c r="R448" t="str">
        <x:v>DINNER</x:v>
      </x:c>
      <x:c r="S448" t="n">
        <x:v>21</x:v>
      </x:c>
      <x:c r="T448" t="str">
        <x:v>CLEARED</x:v>
      </x:c>
      <x:c r="U448" t="str">
        <x:v>VALID</x:v>
      </x:c>
      <x:c r="V448" s="16" t="n">
        <x:v>0.7868</x:v>
      </x:c>
      <x:c r="W448" t="str">
        <x:v>English</x:v>
      </x:c>
      <x:c r="X448"/>
      <x:c r="Y448" t="n">
        <x:v>980</x:v>
      </x:c>
      <x:c r="Z448" s="17" t="n">
        <x:v>4.67</x:v>
      </x:c>
      <x:c r="AA448" s="16" t="n">
        <x:v>0.8398</x:v>
      </x:c>
      <x:c r="AB448" s="16" t="n">
        <x:v>0.887</x:v>
      </x:c>
      <x:c r="AC448" s="16" t="n">
        <x:v>0.9452</x:v>
      </x:c>
      <x:c r="AD448" t="n">
        <x:v>0</x:v>
      </x:c>
      <x:c r="AE448" t="str">
        <x:f>IF(O448&lt;&gt;"ACTIVE","NOT_RATED",IF(AND(Z448&gt;=4.8,AB448&gt;=0.97,AC448&gt;=0.93,AD448=0),"ELITE",IF(AND(Z448&gt;=4.6,AB448&gt;=0.94,AC448&gt;=0.88),"HIGH_PERFORMER",IF(OR(Z448&lt;4.2,AB448&lt;0.85,AD448&gt;=2),"AT_RISK","STANDARD"))))</x:f>
        <x:v>STANDARD</x:v>
      </x:c>
      <x:c r="AF448" s="15" t="n">
        <x:v>46021</x:v>
      </x:c>
      <x:c r="AG448" t="str">
        <x:v>ON_HOLD</x:v>
      </x:c>
      <x:c r="AH448" t="str">
        <x:v>COMPLETE</x:v>
      </x:c>
      <x:c r="AI448" t="str">
        <x:v>Jesse White</x:v>
      </x:c>
      <x:c r="AJ448" t="str">
        <x:v>SIBLING</x:v>
      </x:c>
      <x:c r="AK448" t="str">
        <x:v>+1 (512) 555-0145</x:v>
      </x:c>
    </x:row>
    <x:row r="449" ht="18" customHeight="1">
      <x:c r="A449" t="str">
        <x:v>DHR-00448</x:v>
      </x:c>
      <x:c r="B449" t="str">
        <x:v>Olivia Moore</x:v>
      </x:c>
      <x:c r="C449" t="str">
        <x:v>https://api.dicebear.com/9.x/adventurer/png?seed=DHR-00448-Olivia%20Moore&amp;size=256&amp;radius=50&amp;backgroundColor=b6e3f4,c0aede,d1d4f9,ffd5dc,ffdfbf</x:v>
      </x:c>
      <x:c r="D449" t="str">
        <x:v>olivia.moore.448@example.com</x:v>
      </x:c>
      <x:c r="E449" t="str">
        <x:v>+1 (503) 555-0147</x:v>
      </x:c>
      <x:c r="F449" t="str">
        <x:v>Portland, OR</x:v>
      </x:c>
      <x:c r="G449" t="str">
        <x:v>Portland</x:v>
      </x:c>
      <x:c r="H449" t="str">
        <x:v>OR</x:v>
      </x:c>
      <x:c r="I449" s="18" t="str">
        <x:v>97205</x:v>
      </x:c>
      <x:c r="J449" s="15" t="n">
        <x:v>37216.48410908565</x:v>
      </x:c>
      <x:c r="K449" t="n">
        <x:f>INT((DATE(2025,12,31)-J449)/365.25)</x:f>
        <x:v>24</x:v>
      </x:c>
      <x:c r="L449" t="str">
        <x:f>IF(K449&lt;25,"18-24",IF(K449&lt;35,"25-34",IF(K449&lt;45,"35-44",IF(K449&lt;55,"45-54","55+"))))</x:f>
        <x:v>18-24</x:v>
      </x:c>
      <x:c r="M449" s="15" t="n">
        <x:v>45562.579532268515</x:v>
      </x:c>
      <x:c r="N449" t="n">
        <x:f>(YEAR(DATE(2025,12,31))-YEAR(M449))*12+MONTH(DATE(2025,12,31))-MONTH(M449)</x:f>
        <x:v>15</x:v>
      </x:c>
      <x:c r="O449" t="str">
        <x:v>ACTIVE</x:v>
      </x:c>
      <x:c r="P449" t="str">
        <x:v>INDEPENDENT_CONTRACTOR</x:v>
      </x:c>
      <x:c r="Q449" t="str">
        <x:v>BICYCLE</x:v>
      </x:c>
      <x:c r="R449" t="str">
        <x:v>FLEXIBLE</x:v>
      </x:c>
      <x:c r="S449" t="n">
        <x:v>30</x:v>
      </x:c>
      <x:c r="T449" t="str">
        <x:v>CLEARED</x:v>
      </x:c>
      <x:c r="U449" t="str">
        <x:v>NOT_REQUIRED</x:v>
      </x:c>
      <x:c r="V449" s="16" t="n">
        <x:v>0.83</x:v>
      </x:c>
      <x:c r="W449" t="str">
        <x:v>Arabic</x:v>
      </x:c>
      <x:c r="X449"/>
      <x:c r="Y449" t="n">
        <x:v>1088</x:v>
      </x:c>
      <x:c r="Z449" s="17" t="n">
        <x:v>4.7</x:v>
      </x:c>
      <x:c r="AA449" s="16" t="n">
        <x:v>0.7101</x:v>
      </x:c>
      <x:c r="AB449" s="16" t="n">
        <x:v>0.8989</x:v>
      </x:c>
      <x:c r="AC449" s="16" t="n">
        <x:v>0.9305</x:v>
      </x:c>
      <x:c r="AD449" t="n">
        <x:v>0</x:v>
      </x:c>
      <x:c r="AE449" t="str">
        <x:f>IF(O449&lt;&gt;"ACTIVE","NOT_RATED",IF(AND(Z449&gt;=4.8,AB449&gt;=0.97,AC449&gt;=0.93,AD449=0),"ELITE",IF(AND(Z449&gt;=4.6,AB449&gt;=0.94,AC449&gt;=0.88),"HIGH_PERFORMER",IF(OR(Z449&lt;4.2,AB449&lt;0.85,AD449&gt;=2),"AT_RISK","STANDARD"))))</x:f>
        <x:v>STANDARD</x:v>
      </x:c>
      <x:c r="AF449" s="15" t="n">
        <x:v>46017</x:v>
      </x:c>
      <x:c r="AG449" t="str">
        <x:v>VERIFIED</x:v>
      </x:c>
      <x:c r="AH449" t="str">
        <x:v>COMPLETE</x:v>
      </x:c>
      <x:c r="AI449" t="str">
        <x:v>Chris Williams</x:v>
      </x:c>
      <x:c r="AJ449" t="str">
        <x:v>PARENT</x:v>
      </x:c>
      <x:c r="AK449" t="str">
        <x:v>+1 (503) 555-0152</x:v>
      </x:c>
    </x:row>
    <x:row r="450" ht="18" customHeight="1">
      <x:c r="A450" t="str">
        <x:v>DHR-00449</x:v>
      </x:c>
      <x:c r="B450" t="str">
        <x:v>Olivia Rodriguez</x:v>
      </x:c>
      <x:c r="C450" t="str">
        <x:v>https://api.dicebear.com/9.x/adventurer/png?seed=DHR-00449-Olivia%20Rodriguez&amp;size=256&amp;radius=50&amp;backgroundColor=b6e3f4,c0aede,d1d4f9,ffd5dc,ffdfbf</x:v>
      </x:c>
      <x:c r="D450" t="str">
        <x:v>olivia.rodriguez.449@example.com</x:v>
      </x:c>
      <x:c r="E450" t="str">
        <x:v>+1 (213) 555-0148</x:v>
      </x:c>
      <x:c r="F450" t="str">
        <x:v>Los Angeles, CA</x:v>
      </x:c>
      <x:c r="G450" t="str">
        <x:v>Los Angeles</x:v>
      </x:c>
      <x:c r="H450" t="str">
        <x:v>CA</x:v>
      </x:c>
      <x:c r="I450" s="18" t="str">
        <x:v>90012</x:v>
      </x:c>
      <x:c r="J450" s="15" t="n">
        <x:v>37964.85459335648</x:v>
      </x:c>
      <x:c r="K450" t="n">
        <x:f>INT((DATE(2025,12,31)-J450)/365.25)</x:f>
        <x:v>22</x:v>
      </x:c>
      <x:c r="L450" t="str">
        <x:f>IF(K450&lt;25,"18-24",IF(K450&lt;35,"25-34",IF(K450&lt;45,"35-44",IF(K450&lt;55,"45-54","55+"))))</x:f>
        <x:v>18-24</x:v>
      </x:c>
      <x:c r="M450" s="15" t="n">
        <x:v>44858.35456457176</x:v>
      </x:c>
      <x:c r="N450" t="n">
        <x:f>(YEAR(DATE(2025,12,31))-YEAR(M450))*12+MONTH(DATE(2025,12,31))-MONTH(M450)</x:f>
        <x:v>38</x:v>
      </x:c>
      <x:c r="O450" t="str">
        <x:v>ACTIVE</x:v>
      </x:c>
      <x:c r="P450" t="str">
        <x:v>INDEPENDENT_CONTRACTOR</x:v>
      </x:c>
      <x:c r="Q450" t="str">
        <x:v>CAR</x:v>
      </x:c>
      <x:c r="R450" t="str">
        <x:v>DINNER</x:v>
      </x:c>
      <x:c r="S450" t="n">
        <x:v>27</x:v>
      </x:c>
      <x:c r="T450" t="str">
        <x:v>CLEARED</x:v>
      </x:c>
      <x:c r="U450" t="str">
        <x:v>VALID</x:v>
      </x:c>
      <x:c r="V450" s="16" t="n">
        <x:v>0.878</x:v>
      </x:c>
      <x:c r="W450" t="str">
        <x:v>English</x:v>
      </x:c>
      <x:c r="X450"/>
      <x:c r="Y450" t="n">
        <x:v>2199</x:v>
      </x:c>
      <x:c r="Z450" s="17" t="n">
        <x:v>4.69</x:v>
      </x:c>
      <x:c r="AA450" s="16" t="n">
        <x:v>0.8019</x:v>
      </x:c>
      <x:c r="AB450" s="16" t="n">
        <x:v>0.9731</x:v>
      </x:c>
      <x:c r="AC450" s="16" t="n">
        <x:v>0.9791</x:v>
      </x:c>
      <x:c r="AD450" t="n">
        <x:v>0</x:v>
      </x:c>
      <x:c r="AE450" t="str">
        <x:f>IF(O450&lt;&gt;"ACTIVE","NOT_RATED",IF(AND(Z450&gt;=4.8,AB450&gt;=0.97,AC450&gt;=0.93,AD450=0),"ELITE",IF(AND(Z450&gt;=4.6,AB450&gt;=0.94,AC450&gt;=0.88),"HIGH_PERFORMER",IF(OR(Z450&lt;4.2,AB450&lt;0.85,AD450&gt;=2),"AT_RISK","STANDARD"))))</x:f>
        <x:v>HIGH_PERFORMER</x:v>
      </x:c>
      <x:c r="AF450" s="15" t="n">
        <x:v>46008</x:v>
      </x:c>
      <x:c r="AG450" t="str">
        <x:v>VERIFIED</x:v>
      </x:c>
      <x:c r="AH450" t="str">
        <x:v>PENDING</x:v>
      </x:c>
      <x:c r="AI450" t="str">
        <x:v>Ava White</x:v>
      </x:c>
      <x:c r="AJ450" t="str">
        <x:v>PARENT</x:v>
      </x:c>
      <x:c r="AK450" t="str">
        <x:v>+1 (213) 555-0159</x:v>
      </x:c>
    </x:row>
    <x:row r="451" ht="18" customHeight="1">
      <x:c r="A451" t="str">
        <x:v>DHR-00450</x:v>
      </x:c>
      <x:c r="B451" t="str">
        <x:v>Olivia Taylor</x:v>
      </x:c>
      <x:c r="C451" t="str">
        <x:v>https://api.dicebear.com/9.x/adventurer/png?seed=DHR-00450-Olivia%20Taylor&amp;size=256&amp;radius=50&amp;backgroundColor=b6e3f4,c0aede,d1d4f9,ffd5dc,ffdfbf</x:v>
      </x:c>
      <x:c r="D451" t="str">
        <x:v>olivia.taylor.450@example.com</x:v>
      </x:c>
      <x:c r="E451" t="str">
        <x:v>+1 (503) 555-0149</x:v>
      </x:c>
      <x:c r="F451" t="str">
        <x:v>Portland, OR</x:v>
      </x:c>
      <x:c r="G451" t="str">
        <x:v>Portland</x:v>
      </x:c>
      <x:c r="H451" t="str">
        <x:v>OR</x:v>
      </x:c>
      <x:c r="I451" s="18" t="str">
        <x:v>97205</x:v>
      </x:c>
      <x:c r="J451" s="15" t="n">
        <x:v>27904.862498391205</x:v>
      </x:c>
      <x:c r="K451" t="n">
        <x:f>INT((DATE(2025,12,31)-J451)/365.25)</x:f>
        <x:v>49</x:v>
      </x:c>
      <x:c r="L451" t="str">
        <x:f>IF(K451&lt;25,"18-24",IF(K451&lt;35,"25-34",IF(K451&lt;45,"35-44",IF(K451&lt;55,"45-54","55+"))))</x:f>
        <x:v>45-54</x:v>
      </x:c>
      <x:c r="M451" s="15" t="n">
        <x:v>44359.200889699074</x:v>
      </x:c>
      <x:c r="N451" t="n">
        <x:f>(YEAR(DATE(2025,12,31))-YEAR(M451))*12+MONTH(DATE(2025,12,31))-MONTH(M451)</x:f>
        <x:v>54</x:v>
      </x:c>
      <x:c r="O451" t="str">
        <x:v>ACTIVE</x:v>
      </x:c>
      <x:c r="P451" t="str">
        <x:v>INDEPENDENT_CONTRACTOR</x:v>
      </x:c>
      <x:c r="Q451" t="str">
        <x:v>BICYCLE</x:v>
      </x:c>
      <x:c r="R451" t="str">
        <x:v>DINNER</x:v>
      </x:c>
      <x:c r="S451" t="n">
        <x:v>32</x:v>
      </x:c>
      <x:c r="T451" t="str">
        <x:v>CLEARED</x:v>
      </x:c>
      <x:c r="U451" t="str">
        <x:v>NOT_REQUIRED</x:v>
      </x:c>
      <x:c r="V451" s="16" t="n">
        <x:v>0.9831</x:v>
      </x:c>
      <x:c r="W451" t="str">
        <x:v>English</x:v>
      </x:c>
      <x:c r="X451"/>
      <x:c r="Y451" t="n">
        <x:v>4115</x:v>
      </x:c>
      <x:c r="Z451" s="17" t="n">
        <x:v>4.58</x:v>
      </x:c>
      <x:c r="AA451" s="16" t="n">
        <x:v>0.7433</x:v>
      </x:c>
      <x:c r="AB451" s="16" t="n">
        <x:v>0.9768</x:v>
      </x:c>
      <x:c r="AC451" s="16" t="n">
        <x:v>0.8974</x:v>
      </x:c>
      <x:c r="AD451" t="n">
        <x:v>1</x:v>
      </x:c>
      <x:c r="AE451" t="str">
        <x:f>IF(O451&lt;&gt;"ACTIVE","NOT_RATED",IF(AND(Z451&gt;=4.8,AB451&gt;=0.97,AC451&gt;=0.93,AD451=0),"ELITE",IF(AND(Z451&gt;=4.6,AB451&gt;=0.94,AC451&gt;=0.88),"HIGH_PERFORMER",IF(OR(Z451&lt;4.2,AB451&lt;0.85,AD451&gt;=2),"AT_RISK","STANDARD"))))</x:f>
        <x:v>STANDARD</x:v>
      </x:c>
      <x:c r="AF451" s="15" t="n">
        <x:v>46018</x:v>
      </x:c>
      <x:c r="AG451" t="str">
        <x:v>VERIFIED</x:v>
      </x:c>
      <x:c r="AH451" t="str">
        <x:v>COMPLETE</x:v>
      </x:c>
      <x:c r="AI451" t="str">
        <x:v>Devin Davis</x:v>
      </x:c>
      <x:c r="AJ451" t="str">
        <x:v>SIBLING</x:v>
      </x:c>
      <x:c r="AK451" t="str">
        <x:v>+1 (503) 555-0166</x:v>
      </x:c>
    </x:row>
    <x:row r="452" ht="18" customHeight="1">
      <x:c r="A452" t="str">
        <x:v>DHR-00451</x:v>
      </x:c>
      <x:c r="B452" t="str">
        <x:v>Olivia Thomas</x:v>
      </x:c>
      <x:c r="C452" t="str">
        <x:v>https://api.dicebear.com/9.x/adventurer/png?seed=DHR-00451-Olivia%20Thomas&amp;size=256&amp;radius=50&amp;backgroundColor=b6e3f4,c0aede,d1d4f9,ffd5dc,ffdfbf</x:v>
      </x:c>
      <x:c r="D452" t="str">
        <x:v>olivia.thomas.451@example.com</x:v>
      </x:c>
      <x:c r="E452" t="str">
        <x:v>+1 (210) 555-0150</x:v>
      </x:c>
      <x:c r="F452" t="str">
        <x:v>San Antonio, TX</x:v>
      </x:c>
      <x:c r="G452" t="str">
        <x:v>San Antonio</x:v>
      </x:c>
      <x:c r="H452" t="str">
        <x:v>TX</x:v>
      </x:c>
      <x:c r="I452" s="18" t="str">
        <x:v>78205</x:v>
      </x:c>
      <x:c r="J452" s="15" t="n">
        <x:v>29654.612563668983</x:v>
      </x:c>
      <x:c r="K452" t="n">
        <x:f>INT((DATE(2025,12,31)-J452)/365.25)</x:f>
        <x:v>44</x:v>
      </x:c>
      <x:c r="L452" t="str">
        <x:f>IF(K452&lt;25,"18-24",IF(K452&lt;35,"25-34",IF(K452&lt;45,"35-44",IF(K452&lt;55,"45-54","55+"))))</x:f>
        <x:v>35-44</x:v>
      </x:c>
      <x:c r="M452" s="15" t="n">
        <x:v>44982.04818009259</x:v>
      </x:c>
      <x:c r="N452" t="n">
        <x:f>(YEAR(DATE(2025,12,31))-YEAR(M452))*12+MONTH(DATE(2025,12,31))-MONTH(M452)</x:f>
        <x:v>34</x:v>
      </x:c>
      <x:c r="O452" t="str">
        <x:v>OFFBOARDED</x:v>
      </x:c>
      <x:c r="P452" t="str">
        <x:v>INDEPENDENT_CONTRACTOR</x:v>
      </x:c>
      <x:c r="Q452" t="str">
        <x:v>CAR</x:v>
      </x:c>
      <x:c r="R452" t="str">
        <x:v>LUNCH</x:v>
      </x:c>
      <x:c r="S452" t="n">
        <x:v>22</x:v>
      </x:c>
      <x:c r="T452" t="str">
        <x:v>CLEARED</x:v>
      </x:c>
      <x:c r="U452" t="str">
        <x:v>VALID</x:v>
      </x:c>
      <x:c r="V452" s="16" t="n">
        <x:v>0.7067</x:v>
      </x:c>
      <x:c r="W452" t="str">
        <x:v>Spanish</x:v>
      </x:c>
      <x:c r="X452"/>
      <x:c r="Y452" t="n">
        <x:v>2264</x:v>
      </x:c>
      <x:c r="Z452" s="17" t="n">
        <x:v>4.27</x:v>
      </x:c>
      <x:c r="AA452" s="16" t="n">
        <x:v>0.8632</x:v>
      </x:c>
      <x:c r="AB452" s="16" t="n">
        <x:v>0.9369</x:v>
      </x:c>
      <x:c r="AC452" s="16" t="n">
        <x:v>0.8463</x:v>
      </x:c>
      <x:c r="AD452" t="n">
        <x:v>0</x:v>
      </x:c>
      <x:c r="AE452" t="str">
        <x:f>IF(O452&lt;&gt;"ACTIVE","NOT_RATED",IF(AND(Z452&gt;=4.8,AB452&gt;=0.97,AC452&gt;=0.93,AD452=0),"ELITE",IF(AND(Z452&gt;=4.6,AB452&gt;=0.94,AC452&gt;=0.88),"HIGH_PERFORMER",IF(OR(Z452&lt;4.2,AB452&lt;0.85,AD452&gt;=2),"AT_RISK","STANDARD"))))</x:f>
        <x:v>NOT_RATED</x:v>
      </x:c>
      <x:c r="AF452" s="15" t="n">
        <x:v>45667</x:v>
      </x:c>
      <x:c r="AG452" t="str">
        <x:v>VERIFIED</x:v>
      </x:c>
      <x:c r="AH452" t="str">
        <x:v>COMPLETE</x:v>
      </x:c>
      <x:c r="AI452" t="str">
        <x:v>Robin Martin</x:v>
      </x:c>
      <x:c r="AJ452" t="str">
        <x:v>FRIEND</x:v>
      </x:c>
      <x:c r="AK452" t="str">
        <x:v>+1 (210) 555-0173</x:v>
      </x:c>
    </x:row>
    <x:row r="453" ht="18" customHeight="1">
      <x:c r="A453" t="str">
        <x:v>DHR-00452</x:v>
      </x:c>
      <x:c r="B453" t="str">
        <x:v>Olivia Thompson</x:v>
      </x:c>
      <x:c r="C453" t="str">
        <x:v>https://api.dicebear.com/9.x/adventurer/png?seed=DHR-00452-Olivia%20Thompson&amp;size=256&amp;radius=50&amp;backgroundColor=b6e3f4,c0aede,d1d4f9,ffd5dc,ffdfbf</x:v>
      </x:c>
      <x:c r="D453" t="str">
        <x:v>olivia.thompson.452@example.com</x:v>
      </x:c>
      <x:c r="E453" t="str">
        <x:v>+1 (212) 555-0151</x:v>
      </x:c>
      <x:c r="F453" t="str">
        <x:v>New York, NY</x:v>
      </x:c>
      <x:c r="G453" t="str">
        <x:v>New York</x:v>
      </x:c>
      <x:c r="H453" t="str">
        <x:v>NY</x:v>
      </x:c>
      <x:c r="I453" s="18" t="str">
        <x:v>10001</x:v>
      </x:c>
      <x:c r="J453" s="15" t="n">
        <x:v>30600.143858217594</x:v>
      </x:c>
      <x:c r="K453" t="n">
        <x:f>INT((DATE(2025,12,31)-J453)/365.25)</x:f>
        <x:v>42</x:v>
      </x:c>
      <x:c r="L453" t="str">
        <x:f>IF(K453&lt;25,"18-24",IF(K453&lt;35,"25-34",IF(K453&lt;45,"35-44",IF(K453&lt;55,"45-54","55+"))))</x:f>
        <x:v>35-44</x:v>
      </x:c>
      <x:c r="M453" s="15" t="n">
        <x:v>43856.50705130787</x:v>
      </x:c>
      <x:c r="N453" t="n">
        <x:f>(YEAR(DATE(2025,12,31))-YEAR(M453))*12+MONTH(DATE(2025,12,31))-MONTH(M453)</x:f>
        <x:v>71</x:v>
      </x:c>
      <x:c r="O453" t="str">
        <x:v>ACTIVE</x:v>
      </x:c>
      <x:c r="P453" t="str">
        <x:v>INDEPENDENT_CONTRACTOR</x:v>
      </x:c>
      <x:c r="Q453" t="str">
        <x:v>E_BIKE</x:v>
      </x:c>
      <x:c r="R453" t="str">
        <x:v>DINNER</x:v>
      </x:c>
      <x:c r="S453" t="n">
        <x:v>25</x:v>
      </x:c>
      <x:c r="T453" t="str">
        <x:v>CLEARED</x:v>
      </x:c>
      <x:c r="U453" t="str">
        <x:v>NOT_REQUIRED</x:v>
      </x:c>
      <x:c r="V453" s="16" t="n">
        <x:v>0.941</x:v>
      </x:c>
      <x:c r="W453" t="str">
        <x:v>English</x:v>
      </x:c>
      <x:c r="X453"/>
      <x:c r="Y453" t="n">
        <x:v>4514</x:v>
      </x:c>
      <x:c r="Z453" s="17" t="n">
        <x:v>4.55</x:v>
      </x:c>
      <x:c r="AA453" s="16" t="n">
        <x:v>0.9858</x:v>
      </x:c>
      <x:c r="AB453" s="16" t="n">
        <x:v>0.964</x:v>
      </x:c>
      <x:c r="AC453" s="16" t="n">
        <x:v>0.9484</x:v>
      </x:c>
      <x:c r="AD453" t="n">
        <x:v>0</x:v>
      </x:c>
      <x:c r="AE453" t="str">
        <x:f>IF(O453&lt;&gt;"ACTIVE","NOT_RATED",IF(AND(Z453&gt;=4.8,AB453&gt;=0.97,AC453&gt;=0.93,AD453=0),"ELITE",IF(AND(Z453&gt;=4.6,AB453&gt;=0.94,AC453&gt;=0.88),"HIGH_PERFORMER",IF(OR(Z453&lt;4.2,AB453&lt;0.85,AD453&gt;=2),"AT_RISK","STANDARD"))))</x:f>
        <x:v>STANDARD</x:v>
      </x:c>
      <x:c r="AF453" s="15" t="n">
        <x:v>46009</x:v>
      </x:c>
      <x:c r="AG453" t="str">
        <x:v>VERIFIED</x:v>
      </x:c>
      <x:c r="AH453" t="str">
        <x:v>COMPLETE</x:v>
      </x:c>
      <x:c r="AI453" t="str">
        <x:v>Devin White</x:v>
      </x:c>
      <x:c r="AJ453" t="str">
        <x:v>FRIEND</x:v>
      </x:c>
      <x:c r="AK453" t="str">
        <x:v>+1 (212) 555-0180</x:v>
      </x:c>
    </x:row>
    <x:row r="454" ht="18" customHeight="1">
      <x:c r="A454" t="str">
        <x:v>DHR-00453</x:v>
      </x:c>
      <x:c r="B454" t="str">
        <x:v>Olivia Walker</x:v>
      </x:c>
      <x:c r="C454" t="str">
        <x:v>https://api.dicebear.com/9.x/adventurer/png?seed=DHR-00453-Olivia%20Walker&amp;size=256&amp;radius=50&amp;backgroundColor=b6e3f4,c0aede,d1d4f9,ffd5dc,ffdfbf</x:v>
      </x:c>
      <x:c r="D454" t="str">
        <x:v>olivia.walker.453@example.com</x:v>
      </x:c>
      <x:c r="E454" t="str">
        <x:v>+1 (212) 555-0152</x:v>
      </x:c>
      <x:c r="F454" t="str">
        <x:v>New York, NY</x:v>
      </x:c>
      <x:c r="G454" t="str">
        <x:v>New York</x:v>
      </x:c>
      <x:c r="H454" t="str">
        <x:v>NY</x:v>
      </x:c>
      <x:c r="I454" s="18" t="str">
        <x:v>10001</x:v>
      </x:c>
      <x:c r="J454" s="15" t="n">
        <x:v>30955.92451216435</x:v>
      </x:c>
      <x:c r="K454" t="n">
        <x:f>INT((DATE(2025,12,31)-J454)/365.25)</x:f>
        <x:v>41</x:v>
      </x:c>
      <x:c r="L454" t="str">
        <x:f>IF(K454&lt;25,"18-24",IF(K454&lt;35,"25-34",IF(K454&lt;45,"35-44",IF(K454&lt;55,"45-54","55+"))))</x:f>
        <x:v>35-44</x:v>
      </x:c>
      <x:c r="M454" s="15" t="n">
        <x:v>43761.6671475</x:v>
      </x:c>
      <x:c r="N454" t="n">
        <x:f>(YEAR(DATE(2025,12,31))-YEAR(M454))*12+MONTH(DATE(2025,12,31))-MONTH(M454)</x:f>
        <x:v>74</x:v>
      </x:c>
      <x:c r="O454" t="str">
        <x:v>ACTIVE</x:v>
      </x:c>
      <x:c r="P454" t="str">
        <x:v>INDEPENDENT_CONTRACTOR</x:v>
      </x:c>
      <x:c r="Q454" t="str">
        <x:v>CAR</x:v>
      </x:c>
      <x:c r="R454" t="str">
        <x:v>FLEXIBLE</x:v>
      </x:c>
      <x:c r="S454" t="n">
        <x:v>22</x:v>
      </x:c>
      <x:c r="T454" t="str">
        <x:v>CLEARED</x:v>
      </x:c>
      <x:c r="U454" t="str">
        <x:v>EXPIRING_SOON</x:v>
      </x:c>
      <x:c r="V454" s="16" t="n">
        <x:v>0.972</x:v>
      </x:c>
      <x:c r="W454" t="str">
        <x:v>French</x:v>
      </x:c>
      <x:c r="X454"/>
      <x:c r="Y454" t="n">
        <x:v>5284</x:v>
      </x:c>
      <x:c r="Z454" s="17" t="n">
        <x:v>4.24</x:v>
      </x:c>
      <x:c r="AA454" s="16" t="n">
        <x:v>0.9445</x:v>
      </x:c>
      <x:c r="AB454" s="16" t="n">
        <x:v>0.921</x:v>
      </x:c>
      <x:c r="AC454" s="16" t="n">
        <x:v>0.8871</x:v>
      </x:c>
      <x:c r="AD454" t="n">
        <x:v>0</x:v>
      </x:c>
      <x:c r="AE454" t="str">
        <x:f>IF(O454&lt;&gt;"ACTIVE","NOT_RATED",IF(AND(Z454&gt;=4.8,AB454&gt;=0.97,AC454&gt;=0.93,AD454=0),"ELITE",IF(AND(Z454&gt;=4.6,AB454&gt;=0.94,AC454&gt;=0.88),"HIGH_PERFORMER",IF(OR(Z454&lt;4.2,AB454&lt;0.85,AD454&gt;=2),"AT_RISK","STANDARD"))))</x:f>
        <x:v>STANDARD</x:v>
      </x:c>
      <x:c r="AF454" s="15" t="n">
        <x:v>46019</x:v>
      </x:c>
      <x:c r="AG454" t="str">
        <x:v>VERIFIED</x:v>
      </x:c>
      <x:c r="AH454" t="str">
        <x:v>COMPLETE</x:v>
      </x:c>
      <x:c r="AI454" t="str">
        <x:v>Drew Lee</x:v>
      </x:c>
      <x:c r="AJ454" t="str">
        <x:v>SIBLING</x:v>
      </x:c>
      <x:c r="AK454" t="str">
        <x:v>+1 (212) 555-0187</x:v>
      </x:c>
    </x:row>
    <x:row r="455" ht="18" customHeight="1">
      <x:c r="A455" t="str">
        <x:v>DHR-00454</x:v>
      </x:c>
      <x:c r="B455" t="str">
        <x:v>Olivia White</x:v>
      </x:c>
      <x:c r="C455" t="str">
        <x:v>https://api.dicebear.com/9.x/adventurer/png?seed=DHR-00454-Olivia%20White&amp;size=256&amp;radius=50&amp;backgroundColor=b6e3f4,c0aede,d1d4f9,ffd5dc,ffdfbf</x:v>
      </x:c>
      <x:c r="D455" t="str">
        <x:v>olivia.white.454@example.com</x:v>
      </x:c>
      <x:c r="E455" t="str">
        <x:v>+1 (404) 555-0153</x:v>
      </x:c>
      <x:c r="F455" t="str">
        <x:v>Atlanta, GA</x:v>
      </x:c>
      <x:c r="G455" t="str">
        <x:v>Atlanta</x:v>
      </x:c>
      <x:c r="H455" t="str">
        <x:v>GA</x:v>
      </x:c>
      <x:c r="I455" s="18" t="str">
        <x:v>30303</x:v>
      </x:c>
      <x:c r="J455" s="15" t="n">
        <x:v>35552.93186738426</x:v>
      </x:c>
      <x:c r="K455" t="n">
        <x:f>INT((DATE(2025,12,31)-J455)/365.25)</x:f>
        <x:v>28</x:v>
      </x:c>
      <x:c r="L455" t="str">
        <x:f>IF(K455&lt;25,"18-24",IF(K455&lt;35,"25-34",IF(K455&lt;45,"35-44",IF(K455&lt;55,"45-54","55+"))))</x:f>
        <x:v>25-34</x:v>
      </x:c>
      <x:c r="M455" s="15" t="n">
        <x:v>44720.184681342595</x:v>
      </x:c>
      <x:c r="N455" t="n">
        <x:f>(YEAR(DATE(2025,12,31))-YEAR(M455))*12+MONTH(DATE(2025,12,31))-MONTH(M455)</x:f>
        <x:v>42</x:v>
      </x:c>
      <x:c r="O455" t="str">
        <x:v>PAUSED</x:v>
      </x:c>
      <x:c r="P455" t="str">
        <x:v>INDEPENDENT_CONTRACTOR</x:v>
      </x:c>
      <x:c r="Q455" t="str">
        <x:v>CAR</x:v>
      </x:c>
      <x:c r="R455" t="str">
        <x:v>DINNER</x:v>
      </x:c>
      <x:c r="S455" t="n">
        <x:v>36</x:v>
      </x:c>
      <x:c r="T455" t="str">
        <x:v>CLEARED</x:v>
      </x:c>
      <x:c r="U455" t="str">
        <x:v>VALID</x:v>
      </x:c>
      <x:c r="V455" s="16" t="n">
        <x:v>0.9051</x:v>
      </x:c>
      <x:c r="W455" t="str">
        <x:v>English</x:v>
      </x:c>
      <x:c r="X455"/>
      <x:c r="Y455" t="n">
        <x:v>3540</x:v>
      </x:c>
      <x:c r="Z455" s="17" t="n">
        <x:v>4.95</x:v>
      </x:c>
      <x:c r="AA455" s="16" t="n">
        <x:v>0.8412</x:v>
      </x:c>
      <x:c r="AB455" s="16" t="n">
        <x:v>0.9027</x:v>
      </x:c>
      <x:c r="AC455" s="16" t="n">
        <x:v>0.8561</x:v>
      </x:c>
      <x:c r="AD455" t="n">
        <x:v>0</x:v>
      </x:c>
      <x:c r="AE455" t="str">
        <x:f>IF(O455&lt;&gt;"ACTIVE","NOT_RATED",IF(AND(Z455&gt;=4.8,AB455&gt;=0.97,AC455&gt;=0.93,AD455=0),"ELITE",IF(AND(Z455&gt;=4.6,AB455&gt;=0.94,AC455&gt;=0.88),"HIGH_PERFORMER",IF(OR(Z455&lt;4.2,AB455&lt;0.85,AD455&gt;=2),"AT_RISK","STANDARD"))))</x:f>
        <x:v>NOT_RATED</x:v>
      </x:c>
      <x:c r="AF455" s="15" t="n">
        <x:v>45906</x:v>
      </x:c>
      <x:c r="AG455" t="str">
        <x:v>VERIFIED</x:v>
      </x:c>
      <x:c r="AH455" t="str">
        <x:v>COMPLETE</x:v>
      </x:c>
      <x:c r="AI455" t="str">
        <x:v>Drew Wilson</x:v>
      </x:c>
      <x:c r="AJ455" t="str">
        <x:v>PARENT</x:v>
      </x:c>
      <x:c r="AK455" t="str">
        <x:v>+1 (404) 555-0194</x:v>
      </x:c>
    </x:row>
    <x:row r="456" ht="18" customHeight="1">
      <x:c r="A456" t="str">
        <x:v>DHR-00455</x:v>
      </x:c>
      <x:c r="B456" t="str">
        <x:v>Olivia Williams</x:v>
      </x:c>
      <x:c r="C456" t="str">
        <x:v>https://api.dicebear.com/9.x/adventurer/png?seed=DHR-00455-Olivia%20Williams&amp;size=256&amp;radius=50&amp;backgroundColor=b6e3f4,c0aede,d1d4f9,ffd5dc,ffdfbf</x:v>
      </x:c>
      <x:c r="D456" t="str">
        <x:v>olivia.williams.455@example.com</x:v>
      </x:c>
      <x:c r="E456" t="str">
        <x:v>+1 (213) 555-0154</x:v>
      </x:c>
      <x:c r="F456" t="str">
        <x:v>Los Angeles, CA</x:v>
      </x:c>
      <x:c r="G456" t="str">
        <x:v>Los Angeles</x:v>
      </x:c>
      <x:c r="H456" t="str">
        <x:v>CA</x:v>
      </x:c>
      <x:c r="I456" s="18" t="str">
        <x:v>90012</x:v>
      </x:c>
      <x:c r="J456" s="15" t="n">
        <x:v>36236.940364675924</x:v>
      </x:c>
      <x:c r="K456" t="n">
        <x:f>INT((DATE(2025,12,31)-J456)/365.25)</x:f>
        <x:v>26</x:v>
      </x:c>
      <x:c r="L456" t="str">
        <x:f>IF(K456&lt;25,"18-24",IF(K456&lt;35,"25-34",IF(K456&lt;45,"35-44",IF(K456&lt;55,"45-54","55+"))))</x:f>
        <x:v>25-34</x:v>
      </x:c>
      <x:c r="M456" s="15" t="n">
        <x:v>43732.844505706016</x:v>
      </x:c>
      <x:c r="N456" t="n">
        <x:f>(YEAR(DATE(2025,12,31))-YEAR(M456))*12+MONTH(DATE(2025,12,31))-MONTH(M456)</x:f>
        <x:v>75</x:v>
      </x:c>
      <x:c r="O456" t="str">
        <x:v>ACTIVE</x:v>
      </x:c>
      <x:c r="P456" t="str">
        <x:v>INDEPENDENT_CONTRACTOR</x:v>
      </x:c>
      <x:c r="Q456" t="str">
        <x:v>CAR</x:v>
      </x:c>
      <x:c r="R456" t="str">
        <x:v>DINNER</x:v>
      </x:c>
      <x:c r="S456" t="n">
        <x:v>35</x:v>
      </x:c>
      <x:c r="T456" t="str">
        <x:v>CLEARED</x:v>
      </x:c>
      <x:c r="U456" t="str">
        <x:v>VALID</x:v>
      </x:c>
      <x:c r="V456" s="16" t="n">
        <x:v>0.8373</x:v>
      </x:c>
      <x:c r="W456" t="str">
        <x:v>Spanish</x:v>
      </x:c>
      <x:c r="X456"/>
      <x:c r="Y456" t="n">
        <x:v>8167</x:v>
      </x:c>
      <x:c r="Z456" s="17" t="n">
        <x:v>4.76</x:v>
      </x:c>
      <x:c r="AA456" s="16" t="n">
        <x:v>0.6832</x:v>
      </x:c>
      <x:c r="AB456" s="16" t="n">
        <x:v>0.998</x:v>
      </x:c>
      <x:c r="AC456" s="16" t="n">
        <x:v>0.9158</x:v>
      </x:c>
      <x:c r="AD456" t="n">
        <x:v>0</x:v>
      </x:c>
      <x:c r="AE456" t="str">
        <x:f>IF(O456&lt;&gt;"ACTIVE","NOT_RATED",IF(AND(Z456&gt;=4.8,AB456&gt;=0.97,AC456&gt;=0.93,AD456=0),"ELITE",IF(AND(Z456&gt;=4.6,AB456&gt;=0.94,AC456&gt;=0.88),"HIGH_PERFORMER",IF(OR(Z456&lt;4.2,AB456&lt;0.85,AD456&gt;=2),"AT_RISK","STANDARD"))))</x:f>
        <x:v>HIGH_PERFORMER</x:v>
      </x:c>
      <x:c r="AF456" s="15" t="n">
        <x:v>46016</x:v>
      </x:c>
      <x:c r="AG456" t="str">
        <x:v>VERIFIED</x:v>
      </x:c>
      <x:c r="AH456" t="str">
        <x:v>COMPLETE</x:v>
      </x:c>
      <x:c r="AI456" t="str">
        <x:v>Drew Jones</x:v>
      </x:c>
      <x:c r="AJ456" t="str">
        <x:v>SIBLING</x:v>
      </x:c>
      <x:c r="AK456" t="str">
        <x:v>+1 (213) 555-0101</x:v>
      </x:c>
    </x:row>
    <x:row r="457" ht="18" customHeight="1">
      <x:c r="A457" t="str">
        <x:v>DHR-00456</x:v>
      </x:c>
      <x:c r="B457" t="str">
        <x:v>Olivia Wilson</x:v>
      </x:c>
      <x:c r="C457" t="str">
        <x:v>https://api.dicebear.com/9.x/adventurer/png?seed=DHR-00456-Olivia%20Wilson&amp;size=256&amp;radius=50&amp;backgroundColor=b6e3f4,c0aede,d1d4f9,ffd5dc,ffdfbf</x:v>
      </x:c>
      <x:c r="D457" t="str">
        <x:v>olivia.wilson.456@example.com</x:v>
      </x:c>
      <x:c r="E457" t="str">
        <x:v>+1 (713) 555-0155</x:v>
      </x:c>
      <x:c r="F457" t="str">
        <x:v>Houston, TX</x:v>
      </x:c>
      <x:c r="G457" t="str">
        <x:v>Houston</x:v>
      </x:c>
      <x:c r="H457" t="str">
        <x:v>TX</x:v>
      </x:c>
      <x:c r="I457" s="18" t="str">
        <x:v>77002</x:v>
      </x:c>
      <x:c r="J457" s="15" t="n">
        <x:v>32281.692671354165</x:v>
      </x:c>
      <x:c r="K457" t="n">
        <x:f>INT((DATE(2025,12,31)-J457)/365.25)</x:f>
        <x:v>37</x:v>
      </x:c>
      <x:c r="L457" t="str">
        <x:f>IF(K457&lt;25,"18-24",IF(K457&lt;35,"25-34",IF(K457&lt;45,"35-44",IF(K457&lt;55,"45-54","55+"))))</x:f>
        <x:v>35-44</x:v>
      </x:c>
      <x:c r="M457" s="15" t="n">
        <x:v>45696.49054706019</x:v>
      </x:c>
      <x:c r="N457" t="n">
        <x:f>(YEAR(DATE(2025,12,31))-YEAR(M457))*12+MONTH(DATE(2025,12,31))-MONTH(M457)</x:f>
        <x:v>10</x:v>
      </x:c>
      <x:c r="O457" t="str">
        <x:v>ACTIVE</x:v>
      </x:c>
      <x:c r="P457" t="str">
        <x:v>INDEPENDENT_CONTRACTOR</x:v>
      </x:c>
      <x:c r="Q457" t="str">
        <x:v>CAR</x:v>
      </x:c>
      <x:c r="R457" t="str">
        <x:v>LUNCH</x:v>
      </x:c>
      <x:c r="S457" t="n">
        <x:v>32</x:v>
      </x:c>
      <x:c r="T457" t="str">
        <x:v>CLEARED</x:v>
      </x:c>
      <x:c r="U457" t="str">
        <x:v>VALID</x:v>
      </x:c>
      <x:c r="V457" s="16" t="n">
        <x:v>0.956</x:v>
      </x:c>
      <x:c r="W457" t="str">
        <x:v>English</x:v>
      </x:c>
      <x:c r="X457"/>
      <x:c r="Y457" t="n">
        <x:v>800</x:v>
      </x:c>
      <x:c r="Z457" s="17" t="n">
        <x:v>4.27</x:v>
      </x:c>
      <x:c r="AA457" s="16" t="n">
        <x:v>0.8588</x:v>
      </x:c>
      <x:c r="AB457" s="16" t="n">
        <x:v>0.9116</x:v>
      </x:c>
      <x:c r="AC457" s="16" t="n">
        <x:v>0.9686</x:v>
      </x:c>
      <x:c r="AD457" t="n">
        <x:v>0</x:v>
      </x:c>
      <x:c r="AE457" t="str">
        <x:f>IF(O457&lt;&gt;"ACTIVE","NOT_RATED",IF(AND(Z457&gt;=4.8,AB457&gt;=0.97,AC457&gt;=0.93,AD457=0),"ELITE",IF(AND(Z457&gt;=4.6,AB457&gt;=0.94,AC457&gt;=0.88),"HIGH_PERFORMER",IF(OR(Z457&lt;4.2,AB457&lt;0.85,AD457&gt;=2),"AT_RISK","STANDARD"))))</x:f>
        <x:v>STANDARD</x:v>
      </x:c>
      <x:c r="AF457" s="15" t="n">
        <x:v>46015</x:v>
      </x:c>
      <x:c r="AG457" t="str">
        <x:v>VERIFIED</x:v>
      </x:c>
      <x:c r="AH457" t="str">
        <x:v>COMPLETE</x:v>
      </x:c>
      <x:c r="AI457" t="str">
        <x:v>Jesse Walker</x:v>
      </x:c>
      <x:c r="AJ457" t="str">
        <x:v>PARENT</x:v>
      </x:c>
      <x:c r="AK457" t="str">
        <x:v>+1 (713) 555-0108</x:v>
      </x:c>
    </x:row>
    <x:row r="458" ht="18" customHeight="1">
      <x:c r="A458" t="str">
        <x:v>DHR-00457</x:v>
      </x:c>
      <x:c r="B458" t="str">
        <x:v>Olivia Young</x:v>
      </x:c>
      <x:c r="C458" t="str">
        <x:v>https://api.dicebear.com/9.x/adventurer/png?seed=DHR-00457-Olivia%20Young&amp;size=256&amp;radius=50&amp;backgroundColor=b6e3f4,c0aede,d1d4f9,ffd5dc,ffdfbf</x:v>
      </x:c>
      <x:c r="D458" t="str">
        <x:v>olivia.young.457@example.com</x:v>
      </x:c>
      <x:c r="E458" t="str">
        <x:v>+1 (614) 555-0156</x:v>
      </x:c>
      <x:c r="F458" t="str">
        <x:v>Columbus, OH</x:v>
      </x:c>
      <x:c r="G458" t="str">
        <x:v>Columbus</x:v>
      </x:c>
      <x:c r="H458" t="str">
        <x:v>OH</x:v>
      </x:c>
      <x:c r="I458" s="18" t="str">
        <x:v>43215</x:v>
      </x:c>
      <x:c r="J458" s="15" t="n">
        <x:v>33693.47963013889</x:v>
      </x:c>
      <x:c r="K458" t="n">
        <x:f>INT((DATE(2025,12,31)-J458)/365.25)</x:f>
        <x:v>33</x:v>
      </x:c>
      <x:c r="L458" t="str">
        <x:f>IF(K458&lt;25,"18-24",IF(K458&lt;35,"25-34",IF(K458&lt;45,"35-44",IF(K458&lt;55,"45-54","55+"))))</x:f>
        <x:v>25-34</x:v>
      </x:c>
      <x:c r="M458" s="15" t="n">
        <x:v>45578.92149836806</x:v>
      </x:c>
      <x:c r="N458" t="n">
        <x:f>(YEAR(DATE(2025,12,31))-YEAR(M458))*12+MONTH(DATE(2025,12,31))-MONTH(M458)</x:f>
        <x:v>14</x:v>
      </x:c>
      <x:c r="O458" t="str">
        <x:v>ACTIVE</x:v>
      </x:c>
      <x:c r="P458" t="str">
        <x:v>INDEPENDENT_CONTRACTOR</x:v>
      </x:c>
      <x:c r="Q458" t="str">
        <x:v>CAR</x:v>
      </x:c>
      <x:c r="R458" t="str">
        <x:v>DINNER</x:v>
      </x:c>
      <x:c r="S458" t="n">
        <x:v>16</x:v>
      </x:c>
      <x:c r="T458" t="str">
        <x:v>CLEARED</x:v>
      </x:c>
      <x:c r="U458" t="str">
        <x:v>VALID</x:v>
      </x:c>
      <x:c r="V458" s="16" t="n">
        <x:v>0.8024</x:v>
      </x:c>
      <x:c r="W458" t="str">
        <x:v>Korean</x:v>
      </x:c>
      <x:c r="X458" t="str">
        <x:v>English</x:v>
      </x:c>
      <x:c r="Y458" t="n">
        <x:v>730</x:v>
      </x:c>
      <x:c r="Z458" s="17" t="n">
        <x:v>4.64</x:v>
      </x:c>
      <x:c r="AA458" s="16" t="n">
        <x:v>0.8374</x:v>
      </x:c>
      <x:c r="AB458" s="16" t="n">
        <x:v>0.8806</x:v>
      </x:c>
      <x:c r="AC458" s="16" t="n">
        <x:v>0.9206</x:v>
      </x:c>
      <x:c r="AD458" t="n">
        <x:v>0</x:v>
      </x:c>
      <x:c r="AE458" t="str">
        <x:f>IF(O458&lt;&gt;"ACTIVE","NOT_RATED",IF(AND(Z458&gt;=4.8,AB458&gt;=0.97,AC458&gt;=0.93,AD458=0),"ELITE",IF(AND(Z458&gt;=4.6,AB458&gt;=0.94,AC458&gt;=0.88),"HIGH_PERFORMER",IF(OR(Z458&lt;4.2,AB458&lt;0.85,AD458&gt;=2),"AT_RISK","STANDARD"))))</x:f>
        <x:v>STANDARD</x:v>
      </x:c>
      <x:c r="AF458" s="15" t="n">
        <x:v>46014</x:v>
      </x:c>
      <x:c r="AG458" t="str">
        <x:v>PENDING</x:v>
      </x:c>
      <x:c r="AH458" t="str">
        <x:v>COMPLETE</x:v>
      </x:c>
      <x:c r="AI458" t="str">
        <x:v>Ethan Williams</x:v>
      </x:c>
      <x:c r="AJ458" t="str">
        <x:v>FRIEND</x:v>
      </x:c>
      <x:c r="AK458" t="str">
        <x:v>+1 (614) 555-0115</x:v>
      </x:c>
    </x:row>
    <x:row r="459" ht="18" customHeight="1">
      <x:c r="A459" t="str">
        <x:v>DHR-00458</x:v>
      </x:c>
      <x:c r="B459" t="str">
        <x:v>Parker Brown</x:v>
      </x:c>
      <x:c r="C459" t="str">
        <x:v>https://api.dicebear.com/9.x/adventurer/png?seed=DHR-00458-Parker%20Brown&amp;size=256&amp;radius=50&amp;backgroundColor=b6e3f4,c0aede,d1d4f9,ffd5dc,ffdfbf</x:v>
      </x:c>
      <x:c r="D459" t="str">
        <x:v>parker.brown.458@example.com</x:v>
      </x:c>
      <x:c r="E459" t="str">
        <x:v>+1 (602) 555-0157</x:v>
      </x:c>
      <x:c r="F459" t="str">
        <x:v>Phoenix, AZ</x:v>
      </x:c>
      <x:c r="G459" t="str">
        <x:v>Phoenix</x:v>
      </x:c>
      <x:c r="H459" t="str">
        <x:v>AZ</x:v>
      </x:c>
      <x:c r="I459" s="18" t="str">
        <x:v>85004</x:v>
      </x:c>
      <x:c r="J459" s="15" t="n">
        <x:v>25218.727355532406</x:v>
      </x:c>
      <x:c r="K459" t="n">
        <x:f>INT((DATE(2025,12,31)-J459)/365.25)</x:f>
        <x:v>56</x:v>
      </x:c>
      <x:c r="L459" t="str">
        <x:f>IF(K459&lt;25,"18-24",IF(K459&lt;35,"25-34",IF(K459&lt;45,"35-44",IF(K459&lt;55,"45-54","55+"))))</x:f>
        <x:v>55+</x:v>
      </x:c>
      <x:c r="M459" s="15" t="n">
        <x:v>43534.918246319445</x:v>
      </x:c>
      <x:c r="N459" t="n">
        <x:f>(YEAR(DATE(2025,12,31))-YEAR(M459))*12+MONTH(DATE(2025,12,31))-MONTH(M459)</x:f>
        <x:v>81</x:v>
      </x:c>
      <x:c r="O459" t="str">
        <x:v>ACTIVE</x:v>
      </x:c>
      <x:c r="P459" t="str">
        <x:v>INDEPENDENT_CONTRACTOR</x:v>
      </x:c>
      <x:c r="Q459" t="str">
        <x:v>E_BIKE</x:v>
      </x:c>
      <x:c r="R459" t="str">
        <x:v>LUNCH</x:v>
      </x:c>
      <x:c r="S459" t="n">
        <x:v>30</x:v>
      </x:c>
      <x:c r="T459" t="str">
        <x:v>CLEARED</x:v>
      </x:c>
      <x:c r="U459" t="str">
        <x:v>NOT_REQUIRED</x:v>
      </x:c>
      <x:c r="V459" s="16" t="n">
        <x:v>0.9206</x:v>
      </x:c>
      <x:c r="W459" t="str">
        <x:v>English</x:v>
      </x:c>
      <x:c r="X459"/>
      <x:c r="Y459" t="n">
        <x:v>4993</x:v>
      </x:c>
      <x:c r="Z459" s="17" t="n">
        <x:v>4.89</x:v>
      </x:c>
      <x:c r="AA459" s="16" t="n">
        <x:v>0.7994</x:v>
      </x:c>
      <x:c r="AB459" s="16" t="n">
        <x:v>0.9265</x:v>
      </x:c>
      <x:c r="AC459" s="16" t="n">
        <x:v>0.9893</x:v>
      </x:c>
      <x:c r="AD459" t="n">
        <x:v>0</x:v>
      </x:c>
      <x:c r="AE459" t="str">
        <x:f>IF(O459&lt;&gt;"ACTIVE","NOT_RATED",IF(AND(Z459&gt;=4.8,AB459&gt;=0.97,AC459&gt;=0.93,AD459=0),"ELITE",IF(AND(Z459&gt;=4.6,AB459&gt;=0.94,AC459&gt;=0.88),"HIGH_PERFORMER",IF(OR(Z459&lt;4.2,AB459&lt;0.85,AD459&gt;=2),"AT_RISK","STANDARD"))))</x:f>
        <x:v>STANDARD</x:v>
      </x:c>
      <x:c r="AF459" s="15" t="n">
        <x:v>46009</x:v>
      </x:c>
      <x:c r="AG459" t="str">
        <x:v>VERIFIED</x:v>
      </x:c>
      <x:c r="AH459" t="str">
        <x:v>COMPLETE</x:v>
      </x:c>
      <x:c r="AI459" t="str">
        <x:v>Mateo Williams</x:v>
      </x:c>
      <x:c r="AJ459" t="str">
        <x:v>SIBLING</x:v>
      </x:c>
      <x:c r="AK459" t="str">
        <x:v>+1 (602) 555-0122</x:v>
      </x:c>
    </x:row>
    <x:row r="460" ht="18" customHeight="1">
      <x:c r="A460" t="str">
        <x:v>DHR-00459</x:v>
      </x:c>
      <x:c r="B460" t="str">
        <x:v>Parker Clark</x:v>
      </x:c>
      <x:c r="C460" t="str">
        <x:v>https://api.dicebear.com/9.x/adventurer/png?seed=DHR-00459-Parker%20Clark&amp;size=256&amp;radius=50&amp;backgroundColor=b6e3f4,c0aede,d1d4f9,ffd5dc,ffdfbf</x:v>
      </x:c>
      <x:c r="D460" t="str">
        <x:v>parker.clark.459@example.com</x:v>
      </x:c>
      <x:c r="E460" t="str">
        <x:v>+1 (312) 555-0158</x:v>
      </x:c>
      <x:c r="F460" t="str">
        <x:v>Chicago, IL</x:v>
      </x:c>
      <x:c r="G460" t="str">
        <x:v>Chicago</x:v>
      </x:c>
      <x:c r="H460" t="str">
        <x:v>IL</x:v>
      </x:c>
      <x:c r="I460" s="18" t="str">
        <x:v>60601</x:v>
      </x:c>
      <x:c r="J460" s="15" t="n">
        <x:v>34801.90936800926</x:v>
      </x:c>
      <x:c r="K460" t="n">
        <x:f>INT((DATE(2025,12,31)-J460)/365.25)</x:f>
        <x:v>30</x:v>
      </x:c>
      <x:c r="L460" t="str">
        <x:f>IF(K460&lt;25,"18-24",IF(K460&lt;35,"25-34",IF(K460&lt;45,"35-44",IF(K460&lt;55,"45-54","55+"))))</x:f>
        <x:v>25-34</x:v>
      </x:c>
      <x:c r="M460" s="15" t="n">
        <x:v>45841.56267247685</x:v>
      </x:c>
      <x:c r="N460" t="n">
        <x:f>(YEAR(DATE(2025,12,31))-YEAR(M460))*12+MONTH(DATE(2025,12,31))-MONTH(M460)</x:f>
        <x:v>5</x:v>
      </x:c>
      <x:c r="O460" t="str">
        <x:v>ACTIVE</x:v>
      </x:c>
      <x:c r="P460" t="str">
        <x:v>INDEPENDENT_CONTRACTOR</x:v>
      </x:c>
      <x:c r="Q460" t="str">
        <x:v>CAR</x:v>
      </x:c>
      <x:c r="R460" t="str">
        <x:v>DINNER</x:v>
      </x:c>
      <x:c r="S460" t="n">
        <x:v>27</x:v>
      </x:c>
      <x:c r="T460" t="str">
        <x:v>CLEARED</x:v>
      </x:c>
      <x:c r="U460" t="str">
        <x:v>VALID</x:v>
      </x:c>
      <x:c r="V460" s="16" t="n">
        <x:v>0.8418</x:v>
      </x:c>
      <x:c r="W460" t="str">
        <x:v>English</x:v>
      </x:c>
      <x:c r="X460" t="str">
        <x:v>Spanish</x:v>
      </x:c>
      <x:c r="Y460" t="n">
        <x:v>543</x:v>
      </x:c>
      <x:c r="Z460" s="17" t="n">
        <x:v>4.21</x:v>
      </x:c>
      <x:c r="AA460" s="16" t="n">
        <x:v>0.9168</x:v>
      </x:c>
      <x:c r="AB460" s="16" t="n">
        <x:v>0.93</x:v>
      </x:c>
      <x:c r="AC460" s="16" t="n">
        <x:v>0.8179</x:v>
      </x:c>
      <x:c r="AD460" t="n">
        <x:v>0</x:v>
      </x:c>
      <x:c r="AE460" t="str">
        <x:f>IF(O460&lt;&gt;"ACTIVE","NOT_RATED",IF(AND(Z460&gt;=4.8,AB460&gt;=0.97,AC460&gt;=0.93,AD460=0),"ELITE",IF(AND(Z460&gt;=4.6,AB460&gt;=0.94,AC460&gt;=0.88),"HIGH_PERFORMER",IF(OR(Z460&lt;4.2,AB460&lt;0.85,AD460&gt;=2),"AT_RISK","STANDARD"))))</x:f>
        <x:v>STANDARD</x:v>
      </x:c>
      <x:c r="AF460" s="15" t="n">
        <x:v>46012</x:v>
      </x:c>
      <x:c r="AG460" t="str">
        <x:v>VERIFIED</x:v>
      </x:c>
      <x:c r="AH460" t="str">
        <x:v>COMPLETE</x:v>
      </x:c>
      <x:c r="AI460" t="str">
        <x:v>Mia Miller</x:v>
      </x:c>
      <x:c r="AJ460" t="str">
        <x:v>SPOUSE_PARTNER</x:v>
      </x:c>
      <x:c r="AK460" t="str">
        <x:v>+1 (312) 555-0129</x:v>
      </x:c>
    </x:row>
    <x:row r="461" ht="18" customHeight="1">
      <x:c r="A461" t="str">
        <x:v>DHR-00460</x:v>
      </x:c>
      <x:c r="B461" t="str">
        <x:v>Parker Garcia</x:v>
      </x:c>
      <x:c r="C461" t="str">
        <x:v>https://api.dicebear.com/9.x/adventurer/png?seed=DHR-00460-Parker%20Garcia&amp;size=256&amp;radius=50&amp;backgroundColor=b6e3f4,c0aede,d1d4f9,ffd5dc,ffdfbf</x:v>
      </x:c>
      <x:c r="D461" t="str">
        <x:v>parker.garcia.460@example.com</x:v>
      </x:c>
      <x:c r="E461" t="str">
        <x:v>+1 (617) 555-0159</x:v>
      </x:c>
      <x:c r="F461" t="str">
        <x:v>Boston, MA</x:v>
      </x:c>
      <x:c r="G461" t="str">
        <x:v>Boston</x:v>
      </x:c>
      <x:c r="H461" t="str">
        <x:v>MA</x:v>
      </x:c>
      <x:c r="I461" s="18" t="str">
        <x:v>02108</x:v>
      </x:c>
      <x:c r="J461" s="15" t="n">
        <x:v>29795.467905590278</x:v>
      </x:c>
      <x:c r="K461" t="n">
        <x:f>INT((DATE(2025,12,31)-J461)/365.25)</x:f>
        <x:v>44</x:v>
      </x:c>
      <x:c r="L461" t="str">
        <x:f>IF(K461&lt;25,"18-24",IF(K461&lt;35,"25-34",IF(K461&lt;45,"35-44",IF(K461&lt;55,"45-54","55+"))))</x:f>
        <x:v>35-44</x:v>
      </x:c>
      <x:c r="M461" s="15" t="n">
        <x:v>43503.73797731481</x:v>
      </x:c>
      <x:c r="N461" t="n">
        <x:f>(YEAR(DATE(2025,12,31))-YEAR(M461))*12+MONTH(DATE(2025,12,31))-MONTH(M461)</x:f>
        <x:v>82</x:v>
      </x:c>
      <x:c r="O461" t="str">
        <x:v>OFFBOARDED</x:v>
      </x:c>
      <x:c r="P461" t="str">
        <x:v>INDEPENDENT_CONTRACTOR</x:v>
      </x:c>
      <x:c r="Q461" t="str">
        <x:v>CAR</x:v>
      </x:c>
      <x:c r="R461" t="str">
        <x:v>DINNER</x:v>
      </x:c>
      <x:c r="S461" t="n">
        <x:v>27</x:v>
      </x:c>
      <x:c r="T461" t="str">
        <x:v>EXPIRED</x:v>
      </x:c>
      <x:c r="U461" t="str">
        <x:v>VALID</x:v>
      </x:c>
      <x:c r="V461" s="16" t="n">
        <x:v>0.7505</x:v>
      </x:c>
      <x:c r="W461" t="str">
        <x:v>English</x:v>
      </x:c>
      <x:c r="X461" t="str">
        <x:v>Spanish</x:v>
      </x:c>
      <x:c r="Y461" t="n">
        <x:v>6381</x:v>
      </x:c>
      <x:c r="Z461" s="17" t="n">
        <x:v>4.43</x:v>
      </x:c>
      <x:c r="AA461" s="16" t="n">
        <x:v>0.9754</x:v>
      </x:c>
      <x:c r="AB461" s="16" t="n">
        <x:v>0.9457</x:v>
      </x:c>
      <x:c r="AC461" s="16" t="n">
        <x:v>0.9786</x:v>
      </x:c>
      <x:c r="AD461" t="n">
        <x:v>0</x:v>
      </x:c>
      <x:c r="AE461" t="str">
        <x:f>IF(O461&lt;&gt;"ACTIVE","NOT_RATED",IF(AND(Z461&gt;=4.8,AB461&gt;=0.97,AC461&gt;=0.93,AD461=0),"ELITE",IF(AND(Z461&gt;=4.6,AB461&gt;=0.94,AC461&gt;=0.88),"HIGH_PERFORMER",IF(OR(Z461&lt;4.2,AB461&lt;0.85,AD461&gt;=2),"AT_RISK","STANDARD"))))</x:f>
        <x:v>NOT_RATED</x:v>
      </x:c>
      <x:c r="AF461" s="15" t="n">
        <x:v>45458</x:v>
      </x:c>
      <x:c r="AG461" t="str">
        <x:v>VERIFIED</x:v>
      </x:c>
      <x:c r="AH461" t="str">
        <x:v>COMPLETE</x:v>
      </x:c>
      <x:c r="AI461" t="str">
        <x:v>Reese Garcia</x:v>
      </x:c>
      <x:c r="AJ461" t="str">
        <x:v>SIBLING</x:v>
      </x:c>
      <x:c r="AK461" t="str">
        <x:v>+1 (617) 555-0136</x:v>
      </x:c>
    </x:row>
    <x:row r="462" ht="18" customHeight="1">
      <x:c r="A462" t="str">
        <x:v>DHR-00461</x:v>
      </x:c>
      <x:c r="B462" t="str">
        <x:v>Parker Harris</x:v>
      </x:c>
      <x:c r="C462" t="str">
        <x:v>https://api.dicebear.com/9.x/adventurer/png?seed=DHR-00461-Parker%20Harris&amp;size=256&amp;radius=50&amp;backgroundColor=b6e3f4,c0aede,d1d4f9,ffd5dc,ffdfbf</x:v>
      </x:c>
      <x:c r="D462" t="str">
        <x:v>parker.harris.461@example.com</x:v>
      </x:c>
      <x:c r="E462" t="str">
        <x:v>+1 (503) 555-0160</x:v>
      </x:c>
      <x:c r="F462" t="str">
        <x:v>Portland, OR</x:v>
      </x:c>
      <x:c r="G462" t="str">
        <x:v>Portland</x:v>
      </x:c>
      <x:c r="H462" t="str">
        <x:v>OR</x:v>
      </x:c>
      <x:c r="I462" s="18" t="str">
        <x:v>97205</x:v>
      </x:c>
      <x:c r="J462" s="15" t="n">
        <x:v>27064.70610923611</x:v>
      </x:c>
      <x:c r="K462" t="n">
        <x:f>INT((DATE(2025,12,31)-J462)/365.25)</x:f>
        <x:v>51</x:v>
      </x:c>
      <x:c r="L462" t="str">
        <x:f>IF(K462&lt;25,"18-24",IF(K462&lt;35,"25-34",IF(K462&lt;45,"35-44",IF(K462&lt;55,"45-54","55+"))))</x:f>
        <x:v>45-54</x:v>
      </x:c>
      <x:c r="M462" s="15" t="n">
        <x:v>45245.04754714121</x:v>
      </x:c>
      <x:c r="N462" t="n">
        <x:f>(YEAR(DATE(2025,12,31))-YEAR(M462))*12+MONTH(DATE(2025,12,31))-MONTH(M462)</x:f>
        <x:v>25</x:v>
      </x:c>
      <x:c r="O462" t="str">
        <x:v>ACTIVE</x:v>
      </x:c>
      <x:c r="P462" t="str">
        <x:v>INDEPENDENT_CONTRACTOR</x:v>
      </x:c>
      <x:c r="Q462" t="str">
        <x:v>CAR</x:v>
      </x:c>
      <x:c r="R462" t="str">
        <x:v>FLEXIBLE</x:v>
      </x:c>
      <x:c r="S462" t="n">
        <x:v>31</x:v>
      </x:c>
      <x:c r="T462" t="str">
        <x:v>CLEARED</x:v>
      </x:c>
      <x:c r="U462" t="str">
        <x:v>VALID</x:v>
      </x:c>
      <x:c r="V462" s="16" t="n">
        <x:v>0.8138</x:v>
      </x:c>
      <x:c r="W462" t="str">
        <x:v>English</x:v>
      </x:c>
      <x:c r="X462"/>
      <x:c r="Y462" t="n">
        <x:v>1905</x:v>
      </x:c>
      <x:c r="Z462" s="17" t="n">
        <x:v>4.29</x:v>
      </x:c>
      <x:c r="AA462" s="16" t="n">
        <x:v>0.8111</x:v>
      </x:c>
      <x:c r="AB462" s="16" t="n">
        <x:v>0.9445</x:v>
      </x:c>
      <x:c r="AC462" s="16" t="n">
        <x:v>0.8945</x:v>
      </x:c>
      <x:c r="AD462" t="n">
        <x:v>0</x:v>
      </x:c>
      <x:c r="AE462" t="str">
        <x:f>IF(O462&lt;&gt;"ACTIVE","NOT_RATED",IF(AND(Z462&gt;=4.8,AB462&gt;=0.97,AC462&gt;=0.93,AD462=0),"ELITE",IF(AND(Z462&gt;=4.6,AB462&gt;=0.94,AC462&gt;=0.88),"HIGH_PERFORMER",IF(OR(Z462&lt;4.2,AB462&lt;0.85,AD462&gt;=2),"AT_RISK","STANDARD"))))</x:f>
        <x:v>STANDARD</x:v>
      </x:c>
      <x:c r="AF462" s="15" t="n">
        <x:v>46013</x:v>
      </x:c>
      <x:c r="AG462" t="str">
        <x:v>VERIFIED</x:v>
      </x:c>
      <x:c r="AH462" t="str">
        <x:v>COMPLETE</x:v>
      </x:c>
      <x:c r="AI462" t="str">
        <x:v>Casey Anderson</x:v>
      </x:c>
      <x:c r="AJ462" t="str">
        <x:v>SIBLING</x:v>
      </x:c>
      <x:c r="AK462" t="str">
        <x:v>+1 (503) 555-0143</x:v>
      </x:c>
    </x:row>
    <x:row r="463" ht="18" customHeight="1">
      <x:c r="A463" t="str">
        <x:v>DHR-00462</x:v>
      </x:c>
      <x:c r="B463" t="str">
        <x:v>Parker Jackson</x:v>
      </x:c>
      <x:c r="C463" t="str">
        <x:v>https://api.dicebear.com/9.x/adventurer/png?seed=DHR-00462-Parker%20Jackson&amp;size=256&amp;radius=50&amp;backgroundColor=b6e3f4,c0aede,d1d4f9,ffd5dc,ffdfbf</x:v>
      </x:c>
      <x:c r="D463" t="str">
        <x:v>parker.jackson.462@example.com</x:v>
      </x:c>
      <x:c r="E463" t="str">
        <x:v>+1 (210) 555-0161</x:v>
      </x:c>
      <x:c r="F463" t="str">
        <x:v>San Antonio, TX</x:v>
      </x:c>
      <x:c r="G463" t="str">
        <x:v>San Antonio</x:v>
      </x:c>
      <x:c r="H463" t="str">
        <x:v>TX</x:v>
      </x:c>
      <x:c r="I463" s="18" t="str">
        <x:v>78205</x:v>
      </x:c>
      <x:c r="J463" s="15" t="n">
        <x:v>30959.72311082176</x:v>
      </x:c>
      <x:c r="K463" t="n">
        <x:f>INT((DATE(2025,12,31)-J463)/365.25)</x:f>
        <x:v>41</x:v>
      </x:c>
      <x:c r="L463" t="str">
        <x:f>IF(K463&lt;25,"18-24",IF(K463&lt;35,"25-34",IF(K463&lt;45,"35-44",IF(K463&lt;55,"45-54","55+"))))</x:f>
        <x:v>35-44</x:v>
      </x:c>
      <x:c r="M463" s="15" t="n">
        <x:v>45908.27594561342</x:v>
      </x:c>
      <x:c r="N463" t="n">
        <x:f>(YEAR(DATE(2025,12,31))-YEAR(M463))*12+MONTH(DATE(2025,12,31))-MONTH(M463)</x:f>
        <x:v>3</x:v>
      </x:c>
      <x:c r="O463" t="str">
        <x:v>ACTIVE</x:v>
      </x:c>
      <x:c r="P463" t="str">
        <x:v>INDEPENDENT_CONTRACTOR</x:v>
      </x:c>
      <x:c r="Q463" t="str">
        <x:v>CAR</x:v>
      </x:c>
      <x:c r="R463" t="str">
        <x:v>DINNER</x:v>
      </x:c>
      <x:c r="S463" t="n">
        <x:v>30</x:v>
      </x:c>
      <x:c r="T463" t="str">
        <x:v>PENDING</x:v>
      </x:c>
      <x:c r="U463" t="str">
        <x:v>VALID</x:v>
      </x:c>
      <x:c r="V463" s="16" t="n">
        <x:v>0.8732</x:v>
      </x:c>
      <x:c r="W463" t="str">
        <x:v>English</x:v>
      </x:c>
      <x:c r="X463" t="str">
        <x:v>Korean</x:v>
      </x:c>
      <x:c r="Y463" t="n">
        <x:v>360</x:v>
      </x:c>
      <x:c r="Z463" s="17" t="n">
        <x:v>4.77</x:v>
      </x:c>
      <x:c r="AA463" s="16" t="n">
        <x:v>0.5995</x:v>
      </x:c>
      <x:c r="AB463" s="16" t="n">
        <x:v>0.9458</x:v>
      </x:c>
      <x:c r="AC463" s="16" t="n">
        <x:v>0.8189</x:v>
      </x:c>
      <x:c r="AD463" t="n">
        <x:v>1</x:v>
      </x:c>
      <x:c r="AE463" t="str">
        <x:f>IF(O463&lt;&gt;"ACTIVE","NOT_RATED",IF(AND(Z463&gt;=4.8,AB463&gt;=0.97,AC463&gt;=0.93,AD463=0),"ELITE",IF(AND(Z463&gt;=4.6,AB463&gt;=0.94,AC463&gt;=0.88),"HIGH_PERFORMER",IF(OR(Z463&lt;4.2,AB463&lt;0.85,AD463&gt;=2),"AT_RISK","STANDARD"))))</x:f>
        <x:v>STANDARD</x:v>
      </x:c>
      <x:c r="AF463" s="15" t="n">
        <x:v>46020</x:v>
      </x:c>
      <x:c r="AG463" t="str">
        <x:v>VERIFIED</x:v>
      </x:c>
      <x:c r="AH463" t="str">
        <x:v>COMPLETE</x:v>
      </x:c>
      <x:c r="AI463" t="str">
        <x:v>Lucas Young</x:v>
      </x:c>
      <x:c r="AJ463" t="str">
        <x:v>SPOUSE_PARTNER</x:v>
      </x:c>
      <x:c r="AK463" t="str">
        <x:v>+1 (210) 555-0150</x:v>
      </x:c>
    </x:row>
    <x:row r="464" ht="18" customHeight="1">
      <x:c r="A464" t="str">
        <x:v>DHR-00463</x:v>
      </x:c>
      <x:c r="B464" t="str">
        <x:v>Parker Johnson</x:v>
      </x:c>
      <x:c r="C464" t="str">
        <x:v>https://api.dicebear.com/9.x/adventurer/png?seed=DHR-00463-Parker%20Johnson&amp;size=256&amp;radius=50&amp;backgroundColor=b6e3f4,c0aede,d1d4f9,ffd5dc,ffdfbf</x:v>
      </x:c>
      <x:c r="D464" t="str">
        <x:v>parker.johnson.463@example.com</x:v>
      </x:c>
      <x:c r="E464" t="str">
        <x:v>+1 (512) 555-0162</x:v>
      </x:c>
      <x:c r="F464" t="str">
        <x:v>Austin, TX</x:v>
      </x:c>
      <x:c r="G464" t="str">
        <x:v>Austin</x:v>
      </x:c>
      <x:c r="H464" t="str">
        <x:v>TX</x:v>
      </x:c>
      <x:c r="I464" s="18" t="str">
        <x:v>78701</x:v>
      </x:c>
      <x:c r="J464" s="15" t="n">
        <x:v>38110.098298032404</x:v>
      </x:c>
      <x:c r="K464" t="n">
        <x:f>INT((DATE(2025,12,31)-J464)/365.25)</x:f>
        <x:v>21</x:v>
      </x:c>
      <x:c r="L464" t="str">
        <x:f>IF(K464&lt;25,"18-24",IF(K464&lt;35,"25-34",IF(K464&lt;45,"35-44",IF(K464&lt;55,"45-54","55+"))))</x:f>
        <x:v>18-24</x:v>
      </x:c>
      <x:c r="M464" s="15" t="n">
        <x:v>45918.6071702662</x:v>
      </x:c>
      <x:c r="N464" t="n">
        <x:f>(YEAR(DATE(2025,12,31))-YEAR(M464))*12+MONTH(DATE(2025,12,31))-MONTH(M464)</x:f>
        <x:v>3</x:v>
      </x:c>
      <x:c r="O464" t="str">
        <x:v>OFFBOARDED</x:v>
      </x:c>
      <x:c r="P464" t="str">
        <x:v>INDEPENDENT_CONTRACTOR</x:v>
      </x:c>
      <x:c r="Q464" t="str">
        <x:v>CAR</x:v>
      </x:c>
      <x:c r="R464" t="str">
        <x:v>WEEKENDS</x:v>
      </x:c>
      <x:c r="S464" t="n">
        <x:v>26</x:v>
      </x:c>
      <x:c r="T464" t="str">
        <x:v>CLEARED</x:v>
      </x:c>
      <x:c r="U464" t="str">
        <x:v>VALID</x:v>
      </x:c>
      <x:c r="V464" s="16" t="n">
        <x:v>0.7439</x:v>
      </x:c>
      <x:c r="W464" t="str">
        <x:v>English</x:v>
      </x:c>
      <x:c r="X464"/>
      <x:c r="Y464" t="n">
        <x:v>179</x:v>
      </x:c>
      <x:c r="Z464" s="17" t="n">
        <x:v>4.73</x:v>
      </x:c>
      <x:c r="AA464" s="16" t="n">
        <x:v>0.7416</x:v>
      </x:c>
      <x:c r="AB464" s="16" t="n">
        <x:v>0.9284</x:v>
      </x:c>
      <x:c r="AC464" s="16" t="n">
        <x:v>0.8963</x:v>
      </x:c>
      <x:c r="AD464" t="n">
        <x:v>0</x:v>
      </x:c>
      <x:c r="AE464" t="str">
        <x:f>IF(O464&lt;&gt;"ACTIVE","NOT_RATED",IF(AND(Z464&gt;=4.8,AB464&gt;=0.97,AC464&gt;=0.93,AD464=0),"ELITE",IF(AND(Z464&gt;=4.6,AB464&gt;=0.94,AC464&gt;=0.88),"HIGH_PERFORMER",IF(OR(Z464&lt;4.2,AB464&lt;0.85,AD464&gt;=2),"AT_RISK","STANDARD"))))</x:f>
        <x:v>NOT_RATED</x:v>
      </x:c>
      <x:c r="AF464" s="15" t="n">
        <x:v>45918.6071702662</x:v>
      </x:c>
      <x:c r="AG464" t="str">
        <x:v>ON_HOLD</x:v>
      </x:c>
      <x:c r="AH464" t="str">
        <x:v>COMPLETE</x:v>
      </x:c>
      <x:c r="AI464" t="str">
        <x:v>Jordan Young</x:v>
      </x:c>
      <x:c r="AJ464" t="str">
        <x:v>SIBLING</x:v>
      </x:c>
      <x:c r="AK464" t="str">
        <x:v>+1 (512) 555-0157</x:v>
      </x:c>
    </x:row>
    <x:row r="465" ht="18" customHeight="1">
      <x:c r="A465" t="str">
        <x:v>DHR-00464</x:v>
      </x:c>
      <x:c r="B465" t="str">
        <x:v>Parker Jones</x:v>
      </x:c>
      <x:c r="C465" t="str">
        <x:v>https://api.dicebear.com/9.x/adventurer/png?seed=DHR-00464-Parker%20Jones&amp;size=256&amp;radius=50&amp;backgroundColor=b6e3f4,c0aede,d1d4f9,ffd5dc,ffdfbf</x:v>
      </x:c>
      <x:c r="D465" t="str">
        <x:v>parker.jones.464@example.com</x:v>
      </x:c>
      <x:c r="E465" t="str">
        <x:v>+1 (617) 555-0163</x:v>
      </x:c>
      <x:c r="F465" t="str">
        <x:v>Boston, MA</x:v>
      </x:c>
      <x:c r="G465" t="str">
        <x:v>Boston</x:v>
      </x:c>
      <x:c r="H465" t="str">
        <x:v>MA</x:v>
      </x:c>
      <x:c r="I465" s="18" t="str">
        <x:v>02108</x:v>
      </x:c>
      <x:c r="J465" s="15" t="n">
        <x:v>36536.50291570602</x:v>
      </x:c>
      <x:c r="K465" t="n">
        <x:f>INT((DATE(2025,12,31)-J465)/365.25)</x:f>
        <x:v>25</x:v>
      </x:c>
      <x:c r="L465" t="str">
        <x:f>IF(K465&lt;25,"18-24",IF(K465&lt;35,"25-34",IF(K465&lt;45,"35-44",IF(K465&lt;55,"45-54","55+"))))</x:f>
        <x:v>25-34</x:v>
      </x:c>
      <x:c r="M465" s="15" t="n">
        <x:v>44578.379765011574</x:v>
      </x:c>
      <x:c r="N465" t="n">
        <x:f>(YEAR(DATE(2025,12,31))-YEAR(M465))*12+MONTH(DATE(2025,12,31))-MONTH(M465)</x:f>
        <x:v>47</x:v>
      </x:c>
      <x:c r="O465" t="str">
        <x:v>ACTIVE</x:v>
      </x:c>
      <x:c r="P465" t="str">
        <x:v>INDEPENDENT_CONTRACTOR</x:v>
      </x:c>
      <x:c r="Q465" t="str">
        <x:v>BICYCLE</x:v>
      </x:c>
      <x:c r="R465" t="str">
        <x:v>WEEKENDS</x:v>
      </x:c>
      <x:c r="S465" t="n">
        <x:v>27</x:v>
      </x:c>
      <x:c r="T465" t="str">
        <x:v>CLEARED</x:v>
      </x:c>
      <x:c r="U465" t="str">
        <x:v>NOT_REQUIRED</x:v>
      </x:c>
      <x:c r="V465" s="16" t="n">
        <x:v>0.8255</x:v>
      </x:c>
      <x:c r="W465" t="str">
        <x:v>English</x:v>
      </x:c>
      <x:c r="X465"/>
      <x:c r="Y465" t="n">
        <x:v>2458</x:v>
      </x:c>
      <x:c r="Z465" s="17" t="n">
        <x:v>4.41</x:v>
      </x:c>
      <x:c r="AA465" s="16" t="n">
        <x:v>0.7185</x:v>
      </x:c>
      <x:c r="AB465" s="16" t="n">
        <x:v>0.9172</x:v>
      </x:c>
      <x:c r="AC465" s="16" t="n">
        <x:v>0.9827</x:v>
      </x:c>
      <x:c r="AD465" t="n">
        <x:v>0</x:v>
      </x:c>
      <x:c r="AE465" t="str">
        <x:f>IF(O465&lt;&gt;"ACTIVE","NOT_RATED",IF(AND(Z465&gt;=4.8,AB465&gt;=0.97,AC465&gt;=0.93,AD465=0),"ELITE",IF(AND(Z465&gt;=4.6,AB465&gt;=0.94,AC465&gt;=0.88),"HIGH_PERFORMER",IF(OR(Z465&lt;4.2,AB465&lt;0.85,AD465&gt;=2),"AT_RISK","STANDARD"))))</x:f>
        <x:v>STANDARD</x:v>
      </x:c>
      <x:c r="AF465" s="15" t="n">
        <x:v>46022</x:v>
      </x:c>
      <x:c r="AG465" t="str">
        <x:v>VERIFIED</x:v>
      </x:c>
      <x:c r="AH465" t="str">
        <x:v>COMPLETE</x:v>
      </x:c>
      <x:c r="AI465" t="str">
        <x:v>Chris Clark</x:v>
      </x:c>
      <x:c r="AJ465" t="str">
        <x:v>PARENT</x:v>
      </x:c>
      <x:c r="AK465" t="str">
        <x:v>+1 (617) 555-0164</x:v>
      </x:c>
    </x:row>
    <x:row r="466" ht="18" customHeight="1">
      <x:c r="A466" t="str">
        <x:v>DHR-00465</x:v>
      </x:c>
      <x:c r="B466" t="str">
        <x:v>Parker Lee</x:v>
      </x:c>
      <x:c r="C466" t="str">
        <x:v>https://api.dicebear.com/9.x/adventurer/png?seed=DHR-00465-Parker%20Lee&amp;size=256&amp;radius=50&amp;backgroundColor=b6e3f4,c0aede,d1d4f9,ffd5dc,ffdfbf</x:v>
      </x:c>
      <x:c r="D466" t="str">
        <x:v>parker.lee.465@example.com</x:v>
      </x:c>
      <x:c r="E466" t="str">
        <x:v>+1 (312) 555-0164</x:v>
      </x:c>
      <x:c r="F466" t="str">
        <x:v>Chicago, IL</x:v>
      </x:c>
      <x:c r="G466" t="str">
        <x:v>Chicago</x:v>
      </x:c>
      <x:c r="H466" t="str">
        <x:v>IL</x:v>
      </x:c>
      <x:c r="I466" s="18" t="str">
        <x:v>60601</x:v>
      </x:c>
      <x:c r="J466" s="15" t="n">
        <x:v>33678.82203959491</x:v>
      </x:c>
      <x:c r="K466" t="n">
        <x:f>INT((DATE(2025,12,31)-J466)/365.25)</x:f>
        <x:v>33</x:v>
      </x:c>
      <x:c r="L466" t="str">
        <x:f>IF(K466&lt;25,"18-24",IF(K466&lt;35,"25-34",IF(K466&lt;45,"35-44",IF(K466&lt;55,"45-54","55+"))))</x:f>
        <x:v>25-34</x:v>
      </x:c>
      <x:c r="M466" s="15" t="n">
        <x:v>43638.995870949075</x:v>
      </x:c>
      <x:c r="N466" t="n">
        <x:f>(YEAR(DATE(2025,12,31))-YEAR(M466))*12+MONTH(DATE(2025,12,31))-MONTH(M466)</x:f>
        <x:v>78</x:v>
      </x:c>
      <x:c r="O466" t="str">
        <x:v>ACTIVE</x:v>
      </x:c>
      <x:c r="P466" t="str">
        <x:v>INDEPENDENT_CONTRACTOR</x:v>
      </x:c>
      <x:c r="Q466" t="str">
        <x:v>CAR</x:v>
      </x:c>
      <x:c r="R466" t="str">
        <x:v>LUNCH</x:v>
      </x:c>
      <x:c r="S466" t="n">
        <x:v>19</x:v>
      </x:c>
      <x:c r="T466" t="str">
        <x:v>CLEARED</x:v>
      </x:c>
      <x:c r="U466" t="str">
        <x:v>VALID</x:v>
      </x:c>
      <x:c r="V466" s="16" t="n">
        <x:v>0.9547</x:v>
      </x:c>
      <x:c r="W466" t="str">
        <x:v>English</x:v>
      </x:c>
      <x:c r="X466"/>
      <x:c r="Y466" t="n">
        <x:v>4496</x:v>
      </x:c>
      <x:c r="Z466" s="17" t="n">
        <x:v>4.53</x:v>
      </x:c>
      <x:c r="AA466" s="16" t="n">
        <x:v>0.8634</x:v>
      </x:c>
      <x:c r="AB466" s="16" t="n">
        <x:v>0.9195</x:v>
      </x:c>
      <x:c r="AC466" s="16" t="n">
        <x:v>0.961</x:v>
      </x:c>
      <x:c r="AD466" t="n">
        <x:v>0</x:v>
      </x:c>
      <x:c r="AE466" t="str">
        <x:f>IF(O466&lt;&gt;"ACTIVE","NOT_RATED",IF(AND(Z466&gt;=4.8,AB466&gt;=0.97,AC466&gt;=0.93,AD466=0),"ELITE",IF(AND(Z466&gt;=4.6,AB466&gt;=0.94,AC466&gt;=0.88),"HIGH_PERFORMER",IF(OR(Z466&lt;4.2,AB466&lt;0.85,AD466&gt;=2),"AT_RISK","STANDARD"))))</x:f>
        <x:v>STANDARD</x:v>
      </x:c>
      <x:c r="AF466" s="15" t="n">
        <x:v>46021</x:v>
      </x:c>
      <x:c r="AG466" t="str">
        <x:v>VERIFIED</x:v>
      </x:c>
      <x:c r="AH466" t="str">
        <x:v>COMPLETE</x:v>
      </x:c>
      <x:c r="AI466" t="str">
        <x:v>Mia Thomas</x:v>
      </x:c>
      <x:c r="AJ466" t="str">
        <x:v>FRIEND</x:v>
      </x:c>
      <x:c r="AK466" t="str">
        <x:v>+1 (312) 555-0171</x:v>
      </x:c>
    </x:row>
    <x:row r="467" ht="18" customHeight="1">
      <x:c r="A467" t="str">
        <x:v>DHR-00466</x:v>
      </x:c>
      <x:c r="B467" t="str">
        <x:v>Parker Lewis</x:v>
      </x:c>
      <x:c r="C467" t="str">
        <x:v>https://api.dicebear.com/9.x/adventurer/png?seed=DHR-00466-Parker%20Lewis&amp;size=256&amp;radius=50&amp;backgroundColor=b6e3f4,c0aede,d1d4f9,ffd5dc,ffdfbf</x:v>
      </x:c>
      <x:c r="D467" t="str">
        <x:v>parker.lewis.466@example.com</x:v>
      </x:c>
      <x:c r="E467" t="str">
        <x:v>+1 (212) 555-0165</x:v>
      </x:c>
      <x:c r="F467" t="str">
        <x:v>New York, NY</x:v>
      </x:c>
      <x:c r="G467" t="str">
        <x:v>New York</x:v>
      </x:c>
      <x:c r="H467" t="str">
        <x:v>NY</x:v>
      </x:c>
      <x:c r="I467" s="18" t="str">
        <x:v>10001</x:v>
      </x:c>
      <x:c r="J467" s="15" t="n">
        <x:v>23542.860268078704</x:v>
      </x:c>
      <x:c r="K467" t="n">
        <x:f>INT((DATE(2025,12,31)-J467)/365.25)</x:f>
        <x:v>61</x:v>
      </x:c>
      <x:c r="L467" t="str">
        <x:f>IF(K467&lt;25,"18-24",IF(K467&lt;35,"25-34",IF(K467&lt;45,"35-44",IF(K467&lt;55,"45-54","55+"))))</x:f>
        <x:v>55+</x:v>
      </x:c>
      <x:c r="M467" s="15" t="n">
        <x:v>44043.87276787037</x:v>
      </x:c>
      <x:c r="N467" t="n">
        <x:f>(YEAR(DATE(2025,12,31))-YEAR(M467))*12+MONTH(DATE(2025,12,31))-MONTH(M467)</x:f>
        <x:v>65</x:v>
      </x:c>
      <x:c r="O467" t="str">
        <x:v>ACTIVE</x:v>
      </x:c>
      <x:c r="P467" t="str">
        <x:v>INDEPENDENT_CONTRACTOR</x:v>
      </x:c>
      <x:c r="Q467" t="str">
        <x:v>CAR</x:v>
      </x:c>
      <x:c r="R467" t="str">
        <x:v>WEEKENDS</x:v>
      </x:c>
      <x:c r="S467" t="n">
        <x:v>34</x:v>
      </x:c>
      <x:c r="T467" t="str">
        <x:v>CLEARED</x:v>
      </x:c>
      <x:c r="U467" t="str">
        <x:v>VALID</x:v>
      </x:c>
      <x:c r="V467" s="16" t="n">
        <x:v>0.96</x:v>
      </x:c>
      <x:c r="W467" t="str">
        <x:v>English</x:v>
      </x:c>
      <x:c r="X467"/>
      <x:c r="Y467" t="n">
        <x:v>6556</x:v>
      </x:c>
      <x:c r="Z467" s="17" t="n">
        <x:v>4.61</x:v>
      </x:c>
      <x:c r="AA467" s="16" t="n">
        <x:v>0.99</x:v>
      </x:c>
      <x:c r="AB467" s="16" t="n">
        <x:v>0.974</x:v>
      </x:c>
      <x:c r="AC467" s="16" t="n">
        <x:v>0.9814</x:v>
      </x:c>
      <x:c r="AD467" t="n">
        <x:v>2</x:v>
      </x:c>
      <x:c r="AE467" t="str">
        <x:f>IF(O467&lt;&gt;"ACTIVE","NOT_RATED",IF(AND(Z467&gt;=4.8,AB467&gt;=0.97,AC467&gt;=0.93,AD467=0),"ELITE",IF(AND(Z467&gt;=4.6,AB467&gt;=0.94,AC467&gt;=0.88),"HIGH_PERFORMER",IF(OR(Z467&lt;4.2,AB467&lt;0.85,AD467&gt;=2),"AT_RISK","STANDARD"))))</x:f>
        <x:v>HIGH_PERFORMER</x:v>
      </x:c>
      <x:c r="AF467" s="15" t="n">
        <x:v>46011</x:v>
      </x:c>
      <x:c r="AG467" t="str">
        <x:v>VERIFIED</x:v>
      </x:c>
      <x:c r="AH467" t="str">
        <x:v>COMPLETE</x:v>
      </x:c>
      <x:c r="AI467" t="str">
        <x:v>Parker Davis</x:v>
      </x:c>
      <x:c r="AJ467" t="str">
        <x:v>SPOUSE_PARTNER</x:v>
      </x:c>
      <x:c r="AK467" t="str">
        <x:v>+1 (212) 555-0178</x:v>
      </x:c>
    </x:row>
    <x:row r="468" ht="18" customHeight="1">
      <x:c r="A468" t="str">
        <x:v>DHR-00467</x:v>
      </x:c>
      <x:c r="B468" t="str">
        <x:v>Parker Martin</x:v>
      </x:c>
      <x:c r="C468" t="str">
        <x:v>https://api.dicebear.com/9.x/adventurer/png?seed=DHR-00467-Parker%20Martin&amp;size=256&amp;radius=50&amp;backgroundColor=b6e3f4,c0aede,d1d4f9,ffd5dc,ffdfbf</x:v>
      </x:c>
      <x:c r="D468" t="str">
        <x:v>parker.martin.467@example.com</x:v>
      </x:c>
      <x:c r="E468" t="str">
        <x:v>+1 (512) 555-0166</x:v>
      </x:c>
      <x:c r="F468" t="str">
        <x:v>Austin, TX</x:v>
      </x:c>
      <x:c r="G468" t="str">
        <x:v>Austin</x:v>
      </x:c>
      <x:c r="H468" t="str">
        <x:v>TX</x:v>
      </x:c>
      <x:c r="I468" s="18" t="str">
        <x:v>78701</x:v>
      </x:c>
      <x:c r="J468" s="15" t="n">
        <x:v>37381.467801087965</x:v>
      </x:c>
      <x:c r="K468" t="n">
        <x:f>INT((DATE(2025,12,31)-J468)/365.25)</x:f>
        <x:v>23</x:v>
      </x:c>
      <x:c r="L468" t="str">
        <x:f>IF(K468&lt;25,"18-24",IF(K468&lt;35,"25-34",IF(K468&lt;45,"35-44",IF(K468&lt;55,"45-54","55+"))))</x:f>
        <x:v>18-24</x:v>
      </x:c>
      <x:c r="M468" s="15" t="n">
        <x:v>45728.66167543981</x:v>
      </x:c>
      <x:c r="N468" t="n">
        <x:f>(YEAR(DATE(2025,12,31))-YEAR(M468))*12+MONTH(DATE(2025,12,31))-MONTH(M468)</x:f>
        <x:v>9</x:v>
      </x:c>
      <x:c r="O468" t="str">
        <x:v>ACTIVE</x:v>
      </x:c>
      <x:c r="P468" t="str">
        <x:v>INDEPENDENT_CONTRACTOR</x:v>
      </x:c>
      <x:c r="Q468" t="str">
        <x:v>CAR</x:v>
      </x:c>
      <x:c r="R468" t="str">
        <x:v>WEEKENDS</x:v>
      </x:c>
      <x:c r="S468" t="n">
        <x:v>44</x:v>
      </x:c>
      <x:c r="T468" t="str">
        <x:v>CLEARED</x:v>
      </x:c>
      <x:c r="U468" t="str">
        <x:v>VALID</x:v>
      </x:c>
      <x:c r="V468" s="16" t="n">
        <x:v>0.943</x:v>
      </x:c>
      <x:c r="W468" t="str">
        <x:v>Spanish</x:v>
      </x:c>
      <x:c r="X468"/>
      <x:c r="Y468" t="n">
        <x:v>1352</x:v>
      </x:c>
      <x:c r="Z468" s="17" t="n">
        <x:v>4.94</x:v>
      </x:c>
      <x:c r="AA468" s="16" t="n">
        <x:v>0.9367</x:v>
      </x:c>
      <x:c r="AB468" s="16" t="n">
        <x:v>0.9656</x:v>
      </x:c>
      <x:c r="AC468" s="16" t="n">
        <x:v>0.8623</x:v>
      </x:c>
      <x:c r="AD468" t="n">
        <x:v>0</x:v>
      </x:c>
      <x:c r="AE468" t="str">
        <x:f>IF(O468&lt;&gt;"ACTIVE","NOT_RATED",IF(AND(Z468&gt;=4.8,AB468&gt;=0.97,AC468&gt;=0.93,AD468=0),"ELITE",IF(AND(Z468&gt;=4.6,AB468&gt;=0.94,AC468&gt;=0.88),"HIGH_PERFORMER",IF(OR(Z468&lt;4.2,AB468&lt;0.85,AD468&gt;=2),"AT_RISK","STANDARD"))))</x:f>
        <x:v>STANDARD</x:v>
      </x:c>
      <x:c r="AF468" s="15" t="n">
        <x:v>46013</x:v>
      </x:c>
      <x:c r="AG468" t="str">
        <x:v>VERIFIED</x:v>
      </x:c>
      <x:c r="AH468" t="str">
        <x:v>COMPLETE</x:v>
      </x:c>
      <x:c r="AI468" t="str">
        <x:v>Cameron Jones</x:v>
      </x:c>
      <x:c r="AJ468" t="str">
        <x:v>SPOUSE_PARTNER</x:v>
      </x:c>
      <x:c r="AK468" t="str">
        <x:v>+1 (512) 555-0185</x:v>
      </x:c>
    </x:row>
    <x:row r="469" ht="18" customHeight="1">
      <x:c r="A469" t="str">
        <x:v>DHR-00468</x:v>
      </x:c>
      <x:c r="B469" t="str">
        <x:v>Parker Martinez</x:v>
      </x:c>
      <x:c r="C469" t="str">
        <x:v>https://api.dicebear.com/9.x/adventurer/png?seed=DHR-00468-Parker%20Martinez&amp;size=256&amp;radius=50&amp;backgroundColor=b6e3f4,c0aede,d1d4f9,ffd5dc,ffdfbf</x:v>
      </x:c>
      <x:c r="D469" t="str">
        <x:v>parker.martinez.468@example.com</x:v>
      </x:c>
      <x:c r="E469" t="str">
        <x:v>+1 (212) 555-0167</x:v>
      </x:c>
      <x:c r="F469" t="str">
        <x:v>New York, NY</x:v>
      </x:c>
      <x:c r="G469" t="str">
        <x:v>New York</x:v>
      </x:c>
      <x:c r="H469" t="str">
        <x:v>NY</x:v>
      </x:c>
      <x:c r="I469" s="18" t="str">
        <x:v>10001</x:v>
      </x:c>
      <x:c r="J469" s="15" t="n">
        <x:v>23776.261231053242</x:v>
      </x:c>
      <x:c r="K469" t="n">
        <x:f>INT((DATE(2025,12,31)-J469)/365.25)</x:f>
        <x:v>60</x:v>
      </x:c>
      <x:c r="L469" t="str">
        <x:f>IF(K469&lt;25,"18-24",IF(K469&lt;35,"25-34",IF(K469&lt;45,"35-44",IF(K469&lt;55,"45-54","55+"))))</x:f>
        <x:v>55+</x:v>
      </x:c>
      <x:c r="M469" s="15" t="n">
        <x:v>44577.23367847222</x:v>
      </x:c>
      <x:c r="N469" t="n">
        <x:f>(YEAR(DATE(2025,12,31))-YEAR(M469))*12+MONTH(DATE(2025,12,31))-MONTH(M469)</x:f>
        <x:v>47</x:v>
      </x:c>
      <x:c r="O469" t="str">
        <x:v>ACTIVE</x:v>
      </x:c>
      <x:c r="P469" t="str">
        <x:v>INDEPENDENT_CONTRACTOR</x:v>
      </x:c>
      <x:c r="Q469" t="str">
        <x:v>E_BIKE</x:v>
      </x:c>
      <x:c r="R469" t="str">
        <x:v>FLEXIBLE</x:v>
      </x:c>
      <x:c r="S469" t="n">
        <x:v>39</x:v>
      </x:c>
      <x:c r="T469" t="str">
        <x:v>CLEARED</x:v>
      </x:c>
      <x:c r="U469" t="str">
        <x:v>NOT_REQUIRED</x:v>
      </x:c>
      <x:c r="V469" s="16" t="n">
        <x:v>0.9159</x:v>
      </x:c>
      <x:c r="W469" t="str">
        <x:v>English</x:v>
      </x:c>
      <x:c r="X469"/>
      <x:c r="Y469" t="n">
        <x:v>7119</x:v>
      </x:c>
      <x:c r="Z469" s="17" t="n">
        <x:v>4.63</x:v>
      </x:c>
      <x:c r="AA469" s="16" t="n">
        <x:v>0.8892</x:v>
      </x:c>
      <x:c r="AB469" s="16" t="n">
        <x:v>0.9914</x:v>
      </x:c>
      <x:c r="AC469" s="16" t="n">
        <x:v>0.8924</x:v>
      </x:c>
      <x:c r="AD469" t="n">
        <x:v>0</x:v>
      </x:c>
      <x:c r="AE469" t="str">
        <x:f>IF(O469&lt;&gt;"ACTIVE","NOT_RATED",IF(AND(Z469&gt;=4.8,AB469&gt;=0.97,AC469&gt;=0.93,AD469=0),"ELITE",IF(AND(Z469&gt;=4.6,AB469&gt;=0.94,AC469&gt;=0.88),"HIGH_PERFORMER",IF(OR(Z469&lt;4.2,AB469&lt;0.85,AD469&gt;=2),"AT_RISK","STANDARD"))))</x:f>
        <x:v>HIGH_PERFORMER</x:v>
      </x:c>
      <x:c r="AF469" s="15" t="n">
        <x:v>46010</x:v>
      </x:c>
      <x:c r="AG469" t="str">
        <x:v>VERIFIED</x:v>
      </x:c>
      <x:c r="AH469" t="str">
        <x:v>COMPLETE</x:v>
      </x:c>
      <x:c r="AI469" t="str">
        <x:v>Emma Miller</x:v>
      </x:c>
      <x:c r="AJ469" t="str">
        <x:v>PARENT</x:v>
      </x:c>
      <x:c r="AK469" t="str">
        <x:v>+1 (212) 555-0192</x:v>
      </x:c>
    </x:row>
    <x:row r="470" ht="18" customHeight="1">
      <x:c r="A470" t="str">
        <x:v>DHR-00469</x:v>
      </x:c>
      <x:c r="B470" t="str">
        <x:v>Parker Miller</x:v>
      </x:c>
      <x:c r="C470" t="str">
        <x:v>https://api.dicebear.com/9.x/adventurer/png?seed=DHR-00469-Parker%20Miller&amp;size=256&amp;radius=50&amp;backgroundColor=b6e3f4,c0aede,d1d4f9,ffd5dc,ffdfbf</x:v>
      </x:c>
      <x:c r="D470" t="str">
        <x:v>parker.miller.469@example.com</x:v>
      </x:c>
      <x:c r="E470" t="str">
        <x:v>+1 (312) 555-0168</x:v>
      </x:c>
      <x:c r="F470" t="str">
        <x:v>Chicago, IL</x:v>
      </x:c>
      <x:c r="G470" t="str">
        <x:v>Chicago</x:v>
      </x:c>
      <x:c r="H470" t="str">
        <x:v>IL</x:v>
      </x:c>
      <x:c r="I470" s="18" t="str">
        <x:v>60601</x:v>
      </x:c>
      <x:c r="J470" s="15" t="n">
        <x:v>32455.960869953702</x:v>
      </x:c>
      <x:c r="K470" t="n">
        <x:f>INT((DATE(2025,12,31)-J470)/365.25)</x:f>
        <x:v>37</x:v>
      </x:c>
      <x:c r="L470" t="str">
        <x:f>IF(K470&lt;25,"18-24",IF(K470&lt;35,"25-34",IF(K470&lt;45,"35-44",IF(K470&lt;55,"45-54","55+"))))</x:f>
        <x:v>35-44</x:v>
      </x:c>
      <x:c r="M470" s="15" t="n">
        <x:v>43606.98816813657</x:v>
      </x:c>
      <x:c r="N470" t="n">
        <x:f>(YEAR(DATE(2025,12,31))-YEAR(M470))*12+MONTH(DATE(2025,12,31))-MONTH(M470)</x:f>
        <x:v>79</x:v>
      </x:c>
      <x:c r="O470" t="str">
        <x:v>ACTIVE</x:v>
      </x:c>
      <x:c r="P470" t="str">
        <x:v>INDEPENDENT_CONTRACTOR</x:v>
      </x:c>
      <x:c r="Q470" t="str">
        <x:v>CAR</x:v>
      </x:c>
      <x:c r="R470" t="str">
        <x:v>LUNCH</x:v>
      </x:c>
      <x:c r="S470" t="n">
        <x:v>43</x:v>
      </x:c>
      <x:c r="T470" t="str">
        <x:v>CLEARED</x:v>
      </x:c>
      <x:c r="U470" t="str">
        <x:v>VALID</x:v>
      </x:c>
      <x:c r="V470" s="16" t="n">
        <x:v>0.7866</x:v>
      </x:c>
      <x:c r="W470" t="str">
        <x:v>Spanish</x:v>
      </x:c>
      <x:c r="X470"/>
      <x:c r="Y470" t="n">
        <x:v>9254</x:v>
      </x:c>
      <x:c r="Z470" s="17" t="n">
        <x:v>4.5</x:v>
      </x:c>
      <x:c r="AA470" s="16" t="n">
        <x:v>0.9872</x:v>
      </x:c>
      <x:c r="AB470" s="16" t="n">
        <x:v>0.9669</x:v>
      </x:c>
      <x:c r="AC470" s="16" t="n">
        <x:v>0.8841</x:v>
      </x:c>
      <x:c r="AD470" t="n">
        <x:v>0</x:v>
      </x:c>
      <x:c r="AE470" t="str">
        <x:f>IF(O470&lt;&gt;"ACTIVE","NOT_RATED",IF(AND(Z470&gt;=4.8,AB470&gt;=0.97,AC470&gt;=0.93,AD470=0),"ELITE",IF(AND(Z470&gt;=4.6,AB470&gt;=0.94,AC470&gt;=0.88),"HIGH_PERFORMER",IF(OR(Z470&lt;4.2,AB470&lt;0.85,AD470&gt;=2),"AT_RISK","STANDARD"))))</x:f>
        <x:v>STANDARD</x:v>
      </x:c>
      <x:c r="AF470" s="15" t="n">
        <x:v>46009</x:v>
      </x:c>
      <x:c r="AG470" t="str">
        <x:v>VERIFIED</x:v>
      </x:c>
      <x:c r="AH470" t="str">
        <x:v>COMPLETE</x:v>
      </x:c>
      <x:c r="AI470" t="str">
        <x:v>Alex Harris</x:v>
      </x:c>
      <x:c r="AJ470" t="str">
        <x:v>SPOUSE_PARTNER</x:v>
      </x:c>
      <x:c r="AK470" t="str">
        <x:v>+1 (312) 555-0199</x:v>
      </x:c>
    </x:row>
    <x:row r="471" ht="18" customHeight="1">
      <x:c r="A471" t="str">
        <x:v>DHR-00470</x:v>
      </x:c>
      <x:c r="B471" t="str">
        <x:v>Parker Moore</x:v>
      </x:c>
      <x:c r="C471" t="str">
        <x:v>https://api.dicebear.com/9.x/adventurer/png?seed=DHR-00470-Parker%20Moore&amp;size=256&amp;radius=50&amp;backgroundColor=b6e3f4,c0aede,d1d4f9,ffd5dc,ffdfbf</x:v>
      </x:c>
      <x:c r="D471" t="str">
        <x:v>parker.moore.470@example.com</x:v>
      </x:c>
      <x:c r="E471" t="str">
        <x:v>+1 (404) 555-0169</x:v>
      </x:c>
      <x:c r="F471" t="str">
        <x:v>Atlanta, GA</x:v>
      </x:c>
      <x:c r="G471" t="str">
        <x:v>Atlanta</x:v>
      </x:c>
      <x:c r="H471" t="str">
        <x:v>GA</x:v>
      </x:c>
      <x:c r="I471" s="18" t="str">
        <x:v>30303</x:v>
      </x:c>
      <x:c r="J471" s="15" t="n">
        <x:v>30148.94535261574</x:v>
      </x:c>
      <x:c r="K471" t="n">
        <x:f>INT((DATE(2025,12,31)-J471)/365.25)</x:f>
        <x:v>43</x:v>
      </x:c>
      <x:c r="L471" t="str">
        <x:f>IF(K471&lt;25,"18-24",IF(K471&lt;35,"25-34",IF(K471&lt;45,"35-44",IF(K471&lt;55,"45-54","55+"))))</x:f>
        <x:v>35-44</x:v>
      </x:c>
      <x:c r="M471" s="15" t="n">
        <x:v>44751.41348303241</x:v>
      </x:c>
      <x:c r="N471" t="n">
        <x:f>(YEAR(DATE(2025,12,31))-YEAR(M471))*12+MONTH(DATE(2025,12,31))-MONTH(M471)</x:f>
        <x:v>41</x:v>
      </x:c>
      <x:c r="O471" t="str">
        <x:v>ACTIVE</x:v>
      </x:c>
      <x:c r="P471" t="str">
        <x:v>INDEPENDENT_CONTRACTOR</x:v>
      </x:c>
      <x:c r="Q471" t="str">
        <x:v>CAR</x:v>
      </x:c>
      <x:c r="R471" t="str">
        <x:v>FLEXIBLE</x:v>
      </x:c>
      <x:c r="S471" t="n">
        <x:v>29</x:v>
      </x:c>
      <x:c r="T471" t="str">
        <x:v>CLEARED</x:v>
      </x:c>
      <x:c r="U471" t="str">
        <x:v>EXPIRING_SOON</x:v>
      </x:c>
      <x:c r="V471" s="16" t="n">
        <x:v>0.7972</x:v>
      </x:c>
      <x:c r="W471" t="str">
        <x:v>English</x:v>
      </x:c>
      <x:c r="X471"/>
      <x:c r="Y471" t="n">
        <x:v>3623</x:v>
      </x:c>
      <x:c r="Z471" s="17" t="n">
        <x:v>4.72</x:v>
      </x:c>
      <x:c r="AA471" s="16" t="n">
        <x:v>0.9601</x:v>
      </x:c>
      <x:c r="AB471" s="16" t="n">
        <x:v>0.9008</x:v>
      </x:c>
      <x:c r="AC471" s="16" t="n">
        <x:v>0.8433</x:v>
      </x:c>
      <x:c r="AD471" t="n">
        <x:v>0</x:v>
      </x:c>
      <x:c r="AE471" t="str">
        <x:f>IF(O471&lt;&gt;"ACTIVE","NOT_RATED",IF(AND(Z471&gt;=4.8,AB471&gt;=0.97,AC471&gt;=0.93,AD471=0),"ELITE",IF(AND(Z471&gt;=4.6,AB471&gt;=0.94,AC471&gt;=0.88),"HIGH_PERFORMER",IF(OR(Z471&lt;4.2,AB471&lt;0.85,AD471&gt;=2),"AT_RISK","STANDARD"))))</x:f>
        <x:v>STANDARD</x:v>
      </x:c>
      <x:c r="AF471" s="15" t="n">
        <x:v>46014</x:v>
      </x:c>
      <x:c r="AG471" t="str">
        <x:v>VERIFIED</x:v>
      </x:c>
      <x:c r="AH471" t="str">
        <x:v>COMPLETE</x:v>
      </x:c>
      <x:c r="AI471" t="str">
        <x:v>Robin Walker</x:v>
      </x:c>
      <x:c r="AJ471" t="str">
        <x:v>SPOUSE_PARTNER</x:v>
      </x:c>
      <x:c r="AK471" t="str">
        <x:v>+1 (404) 555-0106</x:v>
      </x:c>
    </x:row>
    <x:row r="472" ht="18" customHeight="1">
      <x:c r="A472" t="str">
        <x:v>DHR-00471</x:v>
      </x:c>
      <x:c r="B472" t="str">
        <x:v>Parker Perez</x:v>
      </x:c>
      <x:c r="C472" t="str">
        <x:v>https://api.dicebear.com/9.x/adventurer/png?seed=DHR-00471-Parker%20Perez&amp;size=256&amp;radius=50&amp;backgroundColor=b6e3f4,c0aede,d1d4f9,ffd5dc,ffdfbf</x:v>
      </x:c>
      <x:c r="D472" t="str">
        <x:v>parker.perez.471@example.com</x:v>
      </x:c>
      <x:c r="E472" t="str">
        <x:v>+1 (702) 555-0170</x:v>
      </x:c>
      <x:c r="F472" t="str">
        <x:v>Las Vegas, NV</x:v>
      </x:c>
      <x:c r="G472" t="str">
        <x:v>Las Vegas</x:v>
      </x:c>
      <x:c r="H472" t="str">
        <x:v>NV</x:v>
      </x:c>
      <x:c r="I472" s="18" t="str">
        <x:v>89101</x:v>
      </x:c>
      <x:c r="J472" s="15" t="n">
        <x:v>29111.84093255787</x:v>
      </x:c>
      <x:c r="K472" t="n">
        <x:f>INT((DATE(2025,12,31)-J472)/365.25)</x:f>
        <x:v>46</x:v>
      </x:c>
      <x:c r="L472" t="str">
        <x:f>IF(K472&lt;25,"18-24",IF(K472&lt;35,"25-34",IF(K472&lt;45,"35-44",IF(K472&lt;55,"45-54","55+"))))</x:f>
        <x:v>45-54</x:v>
      </x:c>
      <x:c r="M472" s="15" t="n">
        <x:v>45379.82871771991</x:v>
      </x:c>
      <x:c r="N472" t="n">
        <x:f>(YEAR(DATE(2025,12,31))-YEAR(M472))*12+MONTH(DATE(2025,12,31))-MONTH(M472)</x:f>
        <x:v>21</x:v>
      </x:c>
      <x:c r="O472" t="str">
        <x:v>ACTIVE</x:v>
      </x:c>
      <x:c r="P472" t="str">
        <x:v>INDEPENDENT_CONTRACTOR</x:v>
      </x:c>
      <x:c r="Q472" t="str">
        <x:v>CAR</x:v>
      </x:c>
      <x:c r="R472" t="str">
        <x:v>LUNCH</x:v>
      </x:c>
      <x:c r="S472" t="n">
        <x:v>39</x:v>
      </x:c>
      <x:c r="T472" t="str">
        <x:v>CLEARED</x:v>
      </x:c>
      <x:c r="U472" t="str">
        <x:v>SUSPENDED</x:v>
      </x:c>
      <x:c r="V472" s="16" t="n">
        <x:v>0.8286</x:v>
      </x:c>
      <x:c r="W472" t="str">
        <x:v>English</x:v>
      </x:c>
      <x:c r="X472"/>
      <x:c r="Y472" t="n">
        <x:v>2419</x:v>
      </x:c>
      <x:c r="Z472" s="17" t="n">
        <x:v>4.38</x:v>
      </x:c>
      <x:c r="AA472" s="16" t="n">
        <x:v>0.6043</x:v>
      </x:c>
      <x:c r="AB472" s="16" t="n">
        <x:v>0.8779</x:v>
      </x:c>
      <x:c r="AC472" s="16" t="n">
        <x:v>0.9321</x:v>
      </x:c>
      <x:c r="AD472" t="n">
        <x:v>0</x:v>
      </x:c>
      <x:c r="AE472" t="str">
        <x:f>IF(O472&lt;&gt;"ACTIVE","NOT_RATED",IF(AND(Z472&gt;=4.8,AB472&gt;=0.97,AC472&gt;=0.93,AD472=0),"ELITE",IF(AND(Z472&gt;=4.6,AB472&gt;=0.94,AC472&gt;=0.88),"HIGH_PERFORMER",IF(OR(Z472&lt;4.2,AB472&lt;0.85,AD472&gt;=2),"AT_RISK","STANDARD"))))</x:f>
        <x:v>STANDARD</x:v>
      </x:c>
      <x:c r="AF472" s="15" t="n">
        <x:v>46015</x:v>
      </x:c>
      <x:c r="AG472" t="str">
        <x:v>VERIFIED</x:v>
      </x:c>
      <x:c r="AH472" t="str">
        <x:v>COMPLETE</x:v>
      </x:c>
      <x:c r="AI472" t="str">
        <x:v>Sam Jones</x:v>
      </x:c>
      <x:c r="AJ472" t="str">
        <x:v>PARENT</x:v>
      </x:c>
      <x:c r="AK472" t="str">
        <x:v>+1 (702) 555-0113</x:v>
      </x:c>
    </x:row>
    <x:row r="473" ht="18" customHeight="1">
      <x:c r="A473" t="str">
        <x:v>DHR-00472</x:v>
      </x:c>
      <x:c r="B473" t="str">
        <x:v>Parker Rodriguez</x:v>
      </x:c>
      <x:c r="C473" t="str">
        <x:v>https://api.dicebear.com/9.x/adventurer/png?seed=DHR-00472-Parker%20Rodriguez&amp;size=256&amp;radius=50&amp;backgroundColor=b6e3f4,c0aede,d1d4f9,ffd5dc,ffdfbf</x:v>
      </x:c>
      <x:c r="D473" t="str">
        <x:v>parker.rodriguez.472@example.com</x:v>
      </x:c>
      <x:c r="E473" t="str">
        <x:v>+1 (303) 555-0171</x:v>
      </x:c>
      <x:c r="F473" t="str">
        <x:v>Denver, CO</x:v>
      </x:c>
      <x:c r="G473" t="str">
        <x:v>Denver</x:v>
      </x:c>
      <x:c r="H473" t="str">
        <x:v>CO</x:v>
      </x:c>
      <x:c r="I473" s="18" t="str">
        <x:v>80202</x:v>
      </x:c>
      <x:c r="J473" s="15" t="n">
        <x:v>31476.29539037037</x:v>
      </x:c>
      <x:c r="K473" t="n">
        <x:f>INT((DATE(2025,12,31)-J473)/365.25)</x:f>
        <x:v>39</x:v>
      </x:c>
      <x:c r="L473" t="str">
        <x:f>IF(K473&lt;25,"18-24",IF(K473&lt;35,"25-34",IF(K473&lt;45,"35-44",IF(K473&lt;55,"45-54","55+"))))</x:f>
        <x:v>35-44</x:v>
      </x:c>
      <x:c r="M473" s="15" t="n">
        <x:v>43900.94165945602</x:v>
      </x:c>
      <x:c r="N473" t="n">
        <x:f>(YEAR(DATE(2025,12,31))-YEAR(M473))*12+MONTH(DATE(2025,12,31))-MONTH(M473)</x:f>
        <x:v>69</x:v>
      </x:c>
      <x:c r="O473" t="str">
        <x:v>ACTIVE</x:v>
      </x:c>
      <x:c r="P473" t="str">
        <x:v>INDEPENDENT_CONTRACTOR</x:v>
      </x:c>
      <x:c r="Q473" t="str">
        <x:v>CAR</x:v>
      </x:c>
      <x:c r="R473" t="str">
        <x:v>DINNER</x:v>
      </x:c>
      <x:c r="S473" t="n">
        <x:v>19</x:v>
      </x:c>
      <x:c r="T473" t="str">
        <x:v>CLEARED</x:v>
      </x:c>
      <x:c r="U473" t="str">
        <x:v>VALID</x:v>
      </x:c>
      <x:c r="V473" s="16" t="n">
        <x:v>0.9739</x:v>
      </x:c>
      <x:c r="W473" t="str">
        <x:v>English</x:v>
      </x:c>
      <x:c r="X473" t="str">
        <x:v>Arabic</x:v>
      </x:c>
      <x:c r="Y473" t="n">
        <x:v>4681</x:v>
      </x:c>
      <x:c r="Z473" s="17" t="n">
        <x:v>4.52</x:v>
      </x:c>
      <x:c r="AA473" s="16" t="n">
        <x:v>0.6425</x:v>
      </x:c>
      <x:c r="AB473" s="16" t="n">
        <x:v>0.8991</x:v>
      </x:c>
      <x:c r="AC473" s="16" t="n">
        <x:v>0.9925</x:v>
      </x:c>
      <x:c r="AD473" t="n">
        <x:v>0</x:v>
      </x:c>
      <x:c r="AE473" t="str">
        <x:f>IF(O473&lt;&gt;"ACTIVE","NOT_RATED",IF(AND(Z473&gt;=4.8,AB473&gt;=0.97,AC473&gt;=0.93,AD473=0),"ELITE",IF(AND(Z473&gt;=4.6,AB473&gt;=0.94,AC473&gt;=0.88),"HIGH_PERFORMER",IF(OR(Z473&lt;4.2,AB473&lt;0.85,AD473&gt;=2),"AT_RISK","STANDARD"))))</x:f>
        <x:v>STANDARD</x:v>
      </x:c>
      <x:c r="AF473" s="15" t="n">
        <x:v>46013</x:v>
      </x:c>
      <x:c r="AG473" t="str">
        <x:v>VERIFIED</x:v>
      </x:c>
      <x:c r="AH473" t="str">
        <x:v>COMPLETE</x:v>
      </x:c>
      <x:c r="AI473" t="str">
        <x:v>Liam Johnson</x:v>
      </x:c>
      <x:c r="AJ473" t="str">
        <x:v>FRIEND</x:v>
      </x:c>
      <x:c r="AK473" t="str">
        <x:v>+1 (303) 555-0120</x:v>
      </x:c>
    </x:row>
    <x:row r="474" ht="18" customHeight="1">
      <x:c r="A474" t="str">
        <x:v>DHR-00473</x:v>
      </x:c>
      <x:c r="B474" t="str">
        <x:v>Parker Taylor</x:v>
      </x:c>
      <x:c r="C474" t="str">
        <x:v>https://api.dicebear.com/9.x/adventurer/png?seed=DHR-00473-Parker%20Taylor&amp;size=256&amp;radius=50&amp;backgroundColor=b6e3f4,c0aede,d1d4f9,ffd5dc,ffdfbf</x:v>
      </x:c>
      <x:c r="D474" t="str">
        <x:v>parker.taylor.473@example.com</x:v>
      </x:c>
      <x:c r="E474" t="str">
        <x:v>+1 (210) 555-0172</x:v>
      </x:c>
      <x:c r="F474" t="str">
        <x:v>San Antonio, TX</x:v>
      </x:c>
      <x:c r="G474" t="str">
        <x:v>San Antonio</x:v>
      </x:c>
      <x:c r="H474" t="str">
        <x:v>TX</x:v>
      </x:c>
      <x:c r="I474" s="18" t="str">
        <x:v>78205</x:v>
      </x:c>
      <x:c r="J474" s="15" t="n">
        <x:v>27795.019247337965</x:v>
      </x:c>
      <x:c r="K474" t="n">
        <x:f>INT((DATE(2025,12,31)-J474)/365.25)</x:f>
        <x:v>49</x:v>
      </x:c>
      <x:c r="L474" t="str">
        <x:f>IF(K474&lt;25,"18-24",IF(K474&lt;35,"25-34",IF(K474&lt;45,"35-44",IF(K474&lt;55,"45-54","55+"))))</x:f>
        <x:v>45-54</x:v>
      </x:c>
      <x:c r="M474" s="15" t="n">
        <x:v>43560.719504189816</x:v>
      </x:c>
      <x:c r="N474" t="n">
        <x:f>(YEAR(DATE(2025,12,31))-YEAR(M474))*12+MONTH(DATE(2025,12,31))-MONTH(M474)</x:f>
        <x:v>80</x:v>
      </x:c>
      <x:c r="O474" t="str">
        <x:v>ACTIVE</x:v>
      </x:c>
      <x:c r="P474" t="str">
        <x:v>INDEPENDENT_CONTRACTOR</x:v>
      </x:c>
      <x:c r="Q474" t="str">
        <x:v>CAR</x:v>
      </x:c>
      <x:c r="R474" t="str">
        <x:v>FLEXIBLE</x:v>
      </x:c>
      <x:c r="S474" t="n">
        <x:v>42</x:v>
      </x:c>
      <x:c r="T474" t="str">
        <x:v>CLEARED</x:v>
      </x:c>
      <x:c r="U474" t="str">
        <x:v>VALID</x:v>
      </x:c>
      <x:c r="V474" s="16" t="n">
        <x:v>0.9362</x:v>
      </x:c>
      <x:c r="W474" t="str">
        <x:v>Spanish</x:v>
      </x:c>
      <x:c r="X474"/>
      <x:c r="Y474" t="n">
        <x:v>10922</x:v>
      </x:c>
      <x:c r="Z474" s="17" t="n">
        <x:v>4.49</x:v>
      </x:c>
      <x:c r="AA474" s="16" t="n">
        <x:v>0.8663</x:v>
      </x:c>
      <x:c r="AB474" s="16" t="n">
        <x:v>0.9279</x:v>
      </x:c>
      <x:c r="AC474" s="16" t="n">
        <x:v>0.9665</x:v>
      </x:c>
      <x:c r="AD474" t="n">
        <x:v>0</x:v>
      </x:c>
      <x:c r="AE474" t="str">
        <x:f>IF(O474&lt;&gt;"ACTIVE","NOT_RATED",IF(AND(Z474&gt;=4.8,AB474&gt;=0.97,AC474&gt;=0.93,AD474=0),"ELITE",IF(AND(Z474&gt;=4.6,AB474&gt;=0.94,AC474&gt;=0.88),"HIGH_PERFORMER",IF(OR(Z474&lt;4.2,AB474&lt;0.85,AD474&gt;=2),"AT_RISK","STANDARD"))))</x:f>
        <x:v>STANDARD</x:v>
      </x:c>
      <x:c r="AF474" s="15" t="n">
        <x:v>46012</x:v>
      </x:c>
      <x:c r="AG474" t="str">
        <x:v>VERIFIED</x:v>
      </x:c>
      <x:c r="AH474" t="str">
        <x:v>COMPLETE</x:v>
      </x:c>
      <x:c r="AI474" t="str">
        <x:v>Olivia Brown</x:v>
      </x:c>
      <x:c r="AJ474" t="str">
        <x:v>PARENT</x:v>
      </x:c>
      <x:c r="AK474" t="str">
        <x:v>+1 (210) 555-0127</x:v>
      </x:c>
    </x:row>
    <x:row r="475" ht="18" customHeight="1">
      <x:c r="A475" t="str">
        <x:v>DHR-00474</x:v>
      </x:c>
      <x:c r="B475" t="str">
        <x:v>Parker Thomas</x:v>
      </x:c>
      <x:c r="C475" t="str">
        <x:v>https://api.dicebear.com/9.x/adventurer/png?seed=DHR-00474-Parker%20Thomas&amp;size=256&amp;radius=50&amp;backgroundColor=b6e3f4,c0aede,d1d4f9,ffd5dc,ffdfbf</x:v>
      </x:c>
      <x:c r="D475" t="str">
        <x:v>parker.thomas.474@example.com</x:v>
      </x:c>
      <x:c r="E475" t="str">
        <x:v>+1 (215) 555-0173</x:v>
      </x:c>
      <x:c r="F475" t="str">
        <x:v>Philadelphia, PA</x:v>
      </x:c>
      <x:c r="G475" t="str">
        <x:v>Philadelphia</x:v>
      </x:c>
      <x:c r="H475" t="str">
        <x:v>PA</x:v>
      </x:c>
      <x:c r="I475" s="18" t="str">
        <x:v>19103</x:v>
      </x:c>
      <x:c r="J475" s="15" t="n">
        <x:v>32188.812053587964</x:v>
      </x:c>
      <x:c r="K475" t="n">
        <x:f>INT((DATE(2025,12,31)-J475)/365.25)</x:f>
        <x:v>37</x:v>
      </x:c>
      <x:c r="L475" t="str">
        <x:f>IF(K475&lt;25,"18-24",IF(K475&lt;35,"25-34",IF(K475&lt;45,"35-44",IF(K475&lt;55,"45-54","55+"))))</x:f>
        <x:v>35-44</x:v>
      </x:c>
      <x:c r="M475" s="15" t="n">
        <x:v>45025.39016980324</x:v>
      </x:c>
      <x:c r="N475" t="n">
        <x:f>(YEAR(DATE(2025,12,31))-YEAR(M475))*12+MONTH(DATE(2025,12,31))-MONTH(M475)</x:f>
        <x:v>32</x:v>
      </x:c>
      <x:c r="O475" t="str">
        <x:v>ACTIVE</x:v>
      </x:c>
      <x:c r="P475" t="str">
        <x:v>INDEPENDENT_CONTRACTOR</x:v>
      </x:c>
      <x:c r="Q475" t="str">
        <x:v>CAR</x:v>
      </x:c>
      <x:c r="R475" t="str">
        <x:v>FLEXIBLE</x:v>
      </x:c>
      <x:c r="S475" t="n">
        <x:v>39</x:v>
      </x:c>
      <x:c r="T475" t="str">
        <x:v>CLEARED</x:v>
      </x:c>
      <x:c r="U475" t="str">
        <x:v>VALID</x:v>
      </x:c>
      <x:c r="V475" s="16" t="n">
        <x:v>0.8997</x:v>
      </x:c>
      <x:c r="W475" t="str">
        <x:v>Spanish</x:v>
      </x:c>
      <x:c r="X475"/>
      <x:c r="Y475" t="n">
        <x:v>3688</x:v>
      </x:c>
      <x:c r="Z475" s="17" t="n">
        <x:v>4.54</x:v>
      </x:c>
      <x:c r="AA475" s="16" t="n">
        <x:v>0.9074</x:v>
      </x:c>
      <x:c r="AB475" s="16" t="n">
        <x:v>0.9412</x:v>
      </x:c>
      <x:c r="AC475" s="16" t="n">
        <x:v>0.8284</x:v>
      </x:c>
      <x:c r="AD475" t="n">
        <x:v>0</x:v>
      </x:c>
      <x:c r="AE475" t="str">
        <x:f>IF(O475&lt;&gt;"ACTIVE","NOT_RATED",IF(AND(Z475&gt;=4.8,AB475&gt;=0.97,AC475&gt;=0.93,AD475=0),"ELITE",IF(AND(Z475&gt;=4.6,AB475&gt;=0.94,AC475&gt;=0.88),"HIGH_PERFORMER",IF(OR(Z475&lt;4.2,AB475&lt;0.85,AD475&gt;=2),"AT_RISK","STANDARD"))))</x:f>
        <x:v>STANDARD</x:v>
      </x:c>
      <x:c r="AF475" s="15" t="n">
        <x:v>46009</x:v>
      </x:c>
      <x:c r="AG475" t="str">
        <x:v>VERIFIED</x:v>
      </x:c>
      <x:c r="AH475" t="str">
        <x:v>COMPLETE</x:v>
      </x:c>
      <x:c r="AI475" t="str">
        <x:v>Mia Walker</x:v>
      </x:c>
      <x:c r="AJ475" t="str">
        <x:v>FRIEND</x:v>
      </x:c>
      <x:c r="AK475" t="str">
        <x:v>+1 (215) 555-0134</x:v>
      </x:c>
    </x:row>
    <x:row r="476" ht="18" customHeight="1">
      <x:c r="A476" t="str">
        <x:v>DHR-00475</x:v>
      </x:c>
      <x:c r="B476" t="str">
        <x:v>Parker Thompson</x:v>
      </x:c>
      <x:c r="C476" t="str">
        <x:v>https://api.dicebear.com/9.x/adventurer/png?seed=DHR-00475-Parker%20Thompson&amp;size=256&amp;radius=50&amp;backgroundColor=b6e3f4,c0aede,d1d4f9,ffd5dc,ffdfbf</x:v>
      </x:c>
      <x:c r="D476" t="str">
        <x:v>parker.thompson.475@example.com</x:v>
      </x:c>
      <x:c r="E476" t="str">
        <x:v>+1 (415) 555-0174</x:v>
      </x:c>
      <x:c r="F476" t="str">
        <x:v>San Francisco, CA</x:v>
      </x:c>
      <x:c r="G476" t="str">
        <x:v>San Francisco</x:v>
      </x:c>
      <x:c r="H476" t="str">
        <x:v>CA</x:v>
      </x:c>
      <x:c r="I476" s="18" t="str">
        <x:v>94103</x:v>
      </x:c>
      <x:c r="J476" s="15" t="n">
        <x:v>27634.81315703704</x:v>
      </x:c>
      <x:c r="K476" t="n">
        <x:f>INT((DATE(2025,12,31)-J476)/365.25)</x:f>
        <x:v>50</x:v>
      </x:c>
      <x:c r="L476" t="str">
        <x:f>IF(K476&lt;25,"18-24",IF(K476&lt;35,"25-34",IF(K476&lt;45,"35-44",IF(K476&lt;55,"45-54","55+"))))</x:f>
        <x:v>45-54</x:v>
      </x:c>
      <x:c r="M476" s="15" t="n">
        <x:v>45707.03992217593</x:v>
      </x:c>
      <x:c r="N476" t="n">
        <x:f>(YEAR(DATE(2025,12,31))-YEAR(M476))*12+MONTH(DATE(2025,12,31))-MONTH(M476)</x:f>
        <x:v>10</x:v>
      </x:c>
      <x:c r="O476" t="str">
        <x:v>ACTIVE</x:v>
      </x:c>
      <x:c r="P476" t="str">
        <x:v>INDEPENDENT_CONTRACTOR</x:v>
      </x:c>
      <x:c r="Q476" t="str">
        <x:v>E_BIKE</x:v>
      </x:c>
      <x:c r="R476" t="str">
        <x:v>LUNCH</x:v>
      </x:c>
      <x:c r="S476" t="n">
        <x:v>15</x:v>
      </x:c>
      <x:c r="T476" t="str">
        <x:v>CLEARED</x:v>
      </x:c>
      <x:c r="U476" t="str">
        <x:v>NOT_REQUIRED</x:v>
      </x:c>
      <x:c r="V476" s="16" t="n">
        <x:v>0.9485</x:v>
      </x:c>
      <x:c r="W476" t="str">
        <x:v>English</x:v>
      </x:c>
      <x:c r="X476" t="str">
        <x:v>Portuguese</x:v>
      </x:c>
      <x:c r="Y476" t="n">
        <x:v>319</x:v>
      </x:c>
      <x:c r="Z476" s="17" t="n">
        <x:v>4.91</x:v>
      </x:c>
      <x:c r="AA476" s="16" t="n">
        <x:v>0.8371</x:v>
      </x:c>
      <x:c r="AB476" s="16" t="n">
        <x:v>0.9304</x:v>
      </x:c>
      <x:c r="AC476" s="16" t="n">
        <x:v>0.8353</x:v>
      </x:c>
      <x:c r="AD476" t="n">
        <x:v>0</x:v>
      </x:c>
      <x:c r="AE476" t="str">
        <x:f>IF(O476&lt;&gt;"ACTIVE","NOT_RATED",IF(AND(Z476&gt;=4.8,AB476&gt;=0.97,AC476&gt;=0.93,AD476=0),"ELITE",IF(AND(Z476&gt;=4.6,AB476&gt;=0.94,AC476&gt;=0.88),"HIGH_PERFORMER",IF(OR(Z476&lt;4.2,AB476&lt;0.85,AD476&gt;=2),"AT_RISK","STANDARD"))))</x:f>
        <x:v>STANDARD</x:v>
      </x:c>
      <x:c r="AF476" s="15" t="n">
        <x:v>46022</x:v>
      </x:c>
      <x:c r="AG476" t="str">
        <x:v>VERIFIED</x:v>
      </x:c>
      <x:c r="AH476" t="str">
        <x:v>COMPLETE</x:v>
      </x:c>
      <x:c r="AI476" t="str">
        <x:v>Olivia Jackson</x:v>
      </x:c>
      <x:c r="AJ476" t="str">
        <x:v>OTHER</x:v>
      </x:c>
      <x:c r="AK476" t="str">
        <x:v>+1 (415) 555-0141</x:v>
      </x:c>
    </x:row>
    <x:row r="477" ht="18" customHeight="1">
      <x:c r="A477" t="str">
        <x:v>DHR-00476</x:v>
      </x:c>
      <x:c r="B477" t="str">
        <x:v>Parker White</x:v>
      </x:c>
      <x:c r="C477" t="str">
        <x:v>https://api.dicebear.com/9.x/adventurer/png?seed=DHR-00476-Parker%20White&amp;size=256&amp;radius=50&amp;backgroundColor=b6e3f4,c0aede,d1d4f9,ffd5dc,ffdfbf</x:v>
      </x:c>
      <x:c r="D477" t="str">
        <x:v>parker.white.476@example.com</x:v>
      </x:c>
      <x:c r="E477" t="str">
        <x:v>+1 (312) 555-0175</x:v>
      </x:c>
      <x:c r="F477" t="str">
        <x:v>Chicago, IL</x:v>
      </x:c>
      <x:c r="G477" t="str">
        <x:v>Chicago</x:v>
      </x:c>
      <x:c r="H477" t="str">
        <x:v>IL</x:v>
      </x:c>
      <x:c r="I477" s="18" t="str">
        <x:v>60601</x:v>
      </x:c>
      <x:c r="J477" s="15" t="n">
        <x:v>33390.046619409724</x:v>
      </x:c>
      <x:c r="K477" t="n">
        <x:f>INT((DATE(2025,12,31)-J477)/365.25)</x:f>
        <x:v>34</x:v>
      </x:c>
      <x:c r="L477" t="str">
        <x:f>IF(K477&lt;25,"18-24",IF(K477&lt;35,"25-34",IF(K477&lt;45,"35-44",IF(K477&lt;55,"45-54","55+"))))</x:f>
        <x:v>25-34</x:v>
      </x:c>
      <x:c r="M477" s="15" t="n">
        <x:v>45879.24644096065</x:v>
      </x:c>
      <x:c r="N477" t="n">
        <x:f>(YEAR(DATE(2025,12,31))-YEAR(M477))*12+MONTH(DATE(2025,12,31))-MONTH(M477)</x:f>
        <x:v>4</x:v>
      </x:c>
      <x:c r="O477" t="str">
        <x:v>ACTIVE</x:v>
      </x:c>
      <x:c r="P477" t="str">
        <x:v>INDEPENDENT_CONTRACTOR</x:v>
      </x:c>
      <x:c r="Q477" t="str">
        <x:v>CAR</x:v>
      </x:c>
      <x:c r="R477" t="str">
        <x:v>WEEKENDS</x:v>
      </x:c>
      <x:c r="S477" t="n">
        <x:v>47</x:v>
      </x:c>
      <x:c r="T477" t="str">
        <x:v>CLEARED</x:v>
      </x:c>
      <x:c r="U477" t="str">
        <x:v>VALID</x:v>
      </x:c>
      <x:c r="V477" s="16" t="n">
        <x:v>0.9716</x:v>
      </x:c>
      <x:c r="W477" t="str">
        <x:v>English</x:v>
      </x:c>
      <x:c r="X477"/>
      <x:c r="Y477" t="n">
        <x:v>567</x:v>
      </x:c>
      <x:c r="Z477" s="17" t="n">
        <x:v>4.39</x:v>
      </x:c>
      <x:c r="AA477" s="16" t="n">
        <x:v>0.5924</x:v>
      </x:c>
      <x:c r="AB477" s="16" t="n">
        <x:v>0.9093</x:v>
      </x:c>
      <x:c r="AC477" s="16" t="n">
        <x:v>0.8289</x:v>
      </x:c>
      <x:c r="AD477" t="n">
        <x:v>0</x:v>
      </x:c>
      <x:c r="AE477" t="str">
        <x:f>IF(O477&lt;&gt;"ACTIVE","NOT_RATED",IF(AND(Z477&gt;=4.8,AB477&gt;=0.97,AC477&gt;=0.93,AD477=0),"ELITE",IF(AND(Z477&gt;=4.6,AB477&gt;=0.94,AC477&gt;=0.88),"HIGH_PERFORMER",IF(OR(Z477&lt;4.2,AB477&lt;0.85,AD477&gt;=2),"AT_RISK","STANDARD"))))</x:f>
        <x:v>STANDARD</x:v>
      </x:c>
      <x:c r="AF477" s="15" t="n">
        <x:v>46016</x:v>
      </x:c>
      <x:c r="AG477" t="str">
        <x:v>VERIFIED</x:v>
      </x:c>
      <x:c r="AH477" t="str">
        <x:v>COMPLETE</x:v>
      </x:c>
      <x:c r="AI477" t="str">
        <x:v>Mia Harris</x:v>
      </x:c>
      <x:c r="AJ477" t="str">
        <x:v>PARENT</x:v>
      </x:c>
      <x:c r="AK477" t="str">
        <x:v>+1 (312) 555-0148</x:v>
      </x:c>
    </x:row>
    <x:row r="478" ht="18" customHeight="1">
      <x:c r="A478" t="str">
        <x:v>DHR-00477</x:v>
      </x:c>
      <x:c r="B478" t="str">
        <x:v>Parker Williams</x:v>
      </x:c>
      <x:c r="C478" t="str">
        <x:v>https://api.dicebear.com/9.x/adventurer/png?seed=DHR-00477-Parker%20Williams&amp;size=256&amp;radius=50&amp;backgroundColor=b6e3f4,c0aede,d1d4f9,ffd5dc,ffdfbf</x:v>
      </x:c>
      <x:c r="D478" t="str">
        <x:v>parker.williams.477@example.com</x:v>
      </x:c>
      <x:c r="E478" t="str">
        <x:v>+1 (312) 555-0176</x:v>
      </x:c>
      <x:c r="F478" t="str">
        <x:v>Chicago, IL</x:v>
      </x:c>
      <x:c r="G478" t="str">
        <x:v>Chicago</x:v>
      </x:c>
      <x:c r="H478" t="str">
        <x:v>IL</x:v>
      </x:c>
      <x:c r="I478" s="18" t="str">
        <x:v>60601</x:v>
      </x:c>
      <x:c r="J478" s="15" t="n">
        <x:v>32180.704721493057</x:v>
      </x:c>
      <x:c r="K478" t="n">
        <x:f>INT((DATE(2025,12,31)-J478)/365.25)</x:f>
        <x:v>37</x:v>
      </x:c>
      <x:c r="L478" t="str">
        <x:f>IF(K478&lt;25,"18-24",IF(K478&lt;35,"25-34",IF(K478&lt;45,"35-44",IF(K478&lt;55,"45-54","55+"))))</x:f>
        <x:v>35-44</x:v>
      </x:c>
      <x:c r="M478" s="15" t="n">
        <x:v>44891.3650746412</x:v>
      </x:c>
      <x:c r="N478" t="n">
        <x:f>(YEAR(DATE(2025,12,31))-YEAR(M478))*12+MONTH(DATE(2025,12,31))-MONTH(M478)</x:f>
        <x:v>37</x:v>
      </x:c>
      <x:c r="O478" t="str">
        <x:v>ACTIVE</x:v>
      </x:c>
      <x:c r="P478" t="str">
        <x:v>INDEPENDENT_CONTRACTOR</x:v>
      </x:c>
      <x:c r="Q478" t="str">
        <x:v>CAR</x:v>
      </x:c>
      <x:c r="R478" t="str">
        <x:v>FLEXIBLE</x:v>
      </x:c>
      <x:c r="S478" t="n">
        <x:v>43</x:v>
      </x:c>
      <x:c r="T478" t="str">
        <x:v>CLEARED</x:v>
      </x:c>
      <x:c r="U478" t="str">
        <x:v>VALID</x:v>
      </x:c>
      <x:c r="V478" s="16" t="n">
        <x:v>0.9486</x:v>
      </x:c>
      <x:c r="W478" t="str">
        <x:v>English</x:v>
      </x:c>
      <x:c r="X478"/>
      <x:c r="Y478" t="n">
        <x:v>4623</x:v>
      </x:c>
      <x:c r="Z478" s="17" t="n">
        <x:v>4.73</x:v>
      </x:c>
      <x:c r="AA478" s="16" t="n">
        <x:v>0.9477</x:v>
      </x:c>
      <x:c r="AB478" s="16" t="n">
        <x:v>0.8963</x:v>
      </x:c>
      <x:c r="AC478" s="16" t="n">
        <x:v>0.9346</x:v>
      </x:c>
      <x:c r="AD478" t="n">
        <x:v>0</x:v>
      </x:c>
      <x:c r="AE478" t="str">
        <x:f>IF(O478&lt;&gt;"ACTIVE","NOT_RATED",IF(AND(Z478&gt;=4.8,AB478&gt;=0.97,AC478&gt;=0.93,AD478=0),"ELITE",IF(AND(Z478&gt;=4.6,AB478&gt;=0.94,AC478&gt;=0.88),"HIGH_PERFORMER",IF(OR(Z478&lt;4.2,AB478&lt;0.85,AD478&gt;=2),"AT_RISK","STANDARD"))))</x:f>
        <x:v>STANDARD</x:v>
      </x:c>
      <x:c r="AF478" s="15" t="n">
        <x:v>46017</x:v>
      </x:c>
      <x:c r="AG478" t="str">
        <x:v>VERIFIED</x:v>
      </x:c>
      <x:c r="AH478" t="str">
        <x:v>COMPLETE</x:v>
      </x:c>
      <x:c r="AI478" t="str">
        <x:v>Jesse Brown</x:v>
      </x:c>
      <x:c r="AJ478" t="str">
        <x:v>FRIEND</x:v>
      </x:c>
      <x:c r="AK478" t="str">
        <x:v>+1 (312) 555-0155</x:v>
      </x:c>
    </x:row>
    <x:row r="479" ht="18" customHeight="1">
      <x:c r="A479" t="str">
        <x:v>DHR-00478</x:v>
      </x:c>
      <x:c r="B479" t="str">
        <x:v>Parker Wilson</x:v>
      </x:c>
      <x:c r="C479" t="str">
        <x:v>https://api.dicebear.com/9.x/adventurer/png?seed=DHR-00478-Parker%20Wilson&amp;size=256&amp;radius=50&amp;backgroundColor=b6e3f4,c0aede,d1d4f9,ffd5dc,ffdfbf</x:v>
      </x:c>
      <x:c r="D479" t="str">
        <x:v>parker.wilson.478@example.com</x:v>
      </x:c>
      <x:c r="E479" t="str">
        <x:v>+1 (904) 555-0177</x:v>
      </x:c>
      <x:c r="F479" t="str">
        <x:v>Jacksonville, FL</x:v>
      </x:c>
      <x:c r="G479" t="str">
        <x:v>Jacksonville</x:v>
      </x:c>
      <x:c r="H479" t="str">
        <x:v>FL</x:v>
      </x:c>
      <x:c r="I479" s="18" t="str">
        <x:v>32202</x:v>
      </x:c>
      <x:c r="J479" s="15" t="n">
        <x:v>28023.70339763889</x:v>
      </x:c>
      <x:c r="K479" t="n">
        <x:f>INT((DATE(2025,12,31)-J479)/365.25)</x:f>
        <x:v>49</x:v>
      </x:c>
      <x:c r="L479" t="str">
        <x:f>IF(K479&lt;25,"18-24",IF(K479&lt;35,"25-34",IF(K479&lt;45,"35-44",IF(K479&lt;55,"45-54","55+"))))</x:f>
        <x:v>45-54</x:v>
      </x:c>
      <x:c r="M479" s="15" t="n">
        <x:v>43768.77951465278</x:v>
      </x:c>
      <x:c r="N479" t="n">
        <x:f>(YEAR(DATE(2025,12,31))-YEAR(M479))*12+MONTH(DATE(2025,12,31))-MONTH(M479)</x:f>
        <x:v>74</x:v>
      </x:c>
      <x:c r="O479" t="str">
        <x:v>ACTIVE</x:v>
      </x:c>
      <x:c r="P479" t="str">
        <x:v>INDEPENDENT_CONTRACTOR</x:v>
      </x:c>
      <x:c r="Q479" t="str">
        <x:v>CAR</x:v>
      </x:c>
      <x:c r="R479" t="str">
        <x:v>FLEXIBLE</x:v>
      </x:c>
      <x:c r="S479" t="n">
        <x:v>12</x:v>
      </x:c>
      <x:c r="T479" t="str">
        <x:v>CLEARED</x:v>
      </x:c>
      <x:c r="U479" t="str">
        <x:v>VALID</x:v>
      </x:c>
      <x:c r="V479" s="16" t="n">
        <x:v>0.8562</x:v>
      </x:c>
      <x:c r="W479" t="str">
        <x:v>English</x:v>
      </x:c>
      <x:c r="X479" t="str">
        <x:v>French</x:v>
      </x:c>
      <x:c r="Y479" t="n">
        <x:v>1570</x:v>
      </x:c>
      <x:c r="Z479" s="17" t="n">
        <x:v>4.41</x:v>
      </x:c>
      <x:c r="AA479" s="16" t="n">
        <x:v>0.7071</x:v>
      </x:c>
      <x:c r="AB479" s="16" t="n">
        <x:v>0.9396</x:v>
      </x:c>
      <x:c r="AC479" s="16" t="n">
        <x:v>0.9568</x:v>
      </x:c>
      <x:c r="AD479" t="n">
        <x:v>0</x:v>
      </x:c>
      <x:c r="AE479" t="str">
        <x:f>IF(O479&lt;&gt;"ACTIVE","NOT_RATED",IF(AND(Z479&gt;=4.8,AB479&gt;=0.97,AC479&gt;=0.93,AD479=0),"ELITE",IF(AND(Z479&gt;=4.6,AB479&gt;=0.94,AC479&gt;=0.88),"HIGH_PERFORMER",IF(OR(Z479&lt;4.2,AB479&lt;0.85,AD479&gt;=2),"AT_RISK","STANDARD"))))</x:f>
        <x:v>STANDARD</x:v>
      </x:c>
      <x:c r="AF479" s="15" t="n">
        <x:v>46019</x:v>
      </x:c>
      <x:c r="AG479" t="str">
        <x:v>PENDING</x:v>
      </x:c>
      <x:c r="AH479" t="str">
        <x:v>COMPLETE</x:v>
      </x:c>
      <x:c r="AI479" t="str">
        <x:v>Jamie Garcia</x:v>
      </x:c>
      <x:c r="AJ479" t="str">
        <x:v>PARENT</x:v>
      </x:c>
      <x:c r="AK479" t="str">
        <x:v>+1 (904) 555-0162</x:v>
      </x:c>
    </x:row>
    <x:row r="480" ht="18" customHeight="1">
      <x:c r="A480" t="str">
        <x:v>DHR-00479</x:v>
      </x:c>
      <x:c r="B480" t="str">
        <x:v>Parker Young</x:v>
      </x:c>
      <x:c r="C480" t="str">
        <x:v>https://api.dicebear.com/9.x/adventurer/png?seed=DHR-00479-Parker%20Young&amp;size=256&amp;radius=50&amp;backgroundColor=b6e3f4,c0aede,d1d4f9,ffd5dc,ffdfbf</x:v>
      </x:c>
      <x:c r="D480" t="str">
        <x:v>parker.young.479@example.com</x:v>
      </x:c>
      <x:c r="E480" t="str">
        <x:v>+1 (213) 555-0178</x:v>
      </x:c>
      <x:c r="F480" t="str">
        <x:v>Los Angeles, CA</x:v>
      </x:c>
      <x:c r="G480" t="str">
        <x:v>Los Angeles</x:v>
      </x:c>
      <x:c r="H480" t="str">
        <x:v>CA</x:v>
      </x:c>
      <x:c r="I480" s="18" t="str">
        <x:v>90012</x:v>
      </x:c>
      <x:c r="J480" s="15" t="n">
        <x:v>30536.125300555555</x:v>
      </x:c>
      <x:c r="K480" t="n">
        <x:f>INT((DATE(2025,12,31)-J480)/365.25)</x:f>
        <x:v>42</x:v>
      </x:c>
      <x:c r="L480" t="str">
        <x:f>IF(K480&lt;25,"18-24",IF(K480&lt;35,"25-34",IF(K480&lt;45,"35-44",IF(K480&lt;55,"45-54","55+"))))</x:f>
        <x:v>35-44</x:v>
      </x:c>
      <x:c r="M480" s="15" t="n">
        <x:v>43496.53792408565</x:v>
      </x:c>
      <x:c r="N480" t="n">
        <x:f>(YEAR(DATE(2025,12,31))-YEAR(M480))*12+MONTH(DATE(2025,12,31))-MONTH(M480)</x:f>
        <x:v>83</x:v>
      </x:c>
      <x:c r="O480" t="str">
        <x:v>PAUSED</x:v>
      </x:c>
      <x:c r="P480" t="str">
        <x:v>INDEPENDENT_CONTRACTOR</x:v>
      </x:c>
      <x:c r="Q480" t="str">
        <x:v>BICYCLE</x:v>
      </x:c>
      <x:c r="R480" t="str">
        <x:v>DINNER</x:v>
      </x:c>
      <x:c r="S480" t="n">
        <x:v>45</x:v>
      </x:c>
      <x:c r="T480" t="str">
        <x:v>CLEARED</x:v>
      </x:c>
      <x:c r="U480" t="str">
        <x:v>NOT_REQUIRED</x:v>
      </x:c>
      <x:c r="V480" s="16" t="n">
        <x:v>0.8582</x:v>
      </x:c>
      <x:c r="W480" t="str">
        <x:v>English</x:v>
      </x:c>
      <x:c r="X480" t="str">
        <x:v>Arabic</x:v>
      </x:c>
      <x:c r="Y480" t="n">
        <x:v>12227</x:v>
      </x:c>
      <x:c r="Z480" s="17" t="n">
        <x:v>4.32</x:v>
      </x:c>
      <x:c r="AA480" s="16" t="n">
        <x:v>0.6563</x:v>
      </x:c>
      <x:c r="AB480" s="16" t="n">
        <x:v>0.9776</x:v>
      </x:c>
      <x:c r="AC480" s="16" t="n">
        <x:v>0.9106</x:v>
      </x:c>
      <x:c r="AD480" t="n">
        <x:v>0</x:v>
      </x:c>
      <x:c r="AE480" t="str">
        <x:f>IF(O480&lt;&gt;"ACTIVE","NOT_RATED",IF(AND(Z480&gt;=4.8,AB480&gt;=0.97,AC480&gt;=0.93,AD480=0),"ELITE",IF(AND(Z480&gt;=4.6,AB480&gt;=0.94,AC480&gt;=0.88),"HIGH_PERFORMER",IF(OR(Z480&lt;4.2,AB480&lt;0.85,AD480&gt;=2),"AT_RISK","STANDARD"))))</x:f>
        <x:v>NOT_RATED</x:v>
      </x:c>
      <x:c r="AF480" s="15" t="n">
        <x:v>45909</x:v>
      </x:c>
      <x:c r="AG480" t="str">
        <x:v>VERIFIED</x:v>
      </x:c>
      <x:c r="AH480" t="str">
        <x:v>COMPLETE</x:v>
      </x:c>
      <x:c r="AI480" t="str">
        <x:v>Devin Clark</x:v>
      </x:c>
      <x:c r="AJ480" t="str">
        <x:v>PARENT</x:v>
      </x:c>
      <x:c r="AK480" t="str">
        <x:v>+1 (213) 555-0169</x:v>
      </x:c>
    </x:row>
    <x:row r="481" ht="18" customHeight="1">
      <x:c r="A481" t="str">
        <x:v>DHR-00480</x:v>
      </x:c>
      <x:c r="B481" t="str">
        <x:v>Quinn Anderson</x:v>
      </x:c>
      <x:c r="C481" t="str">
        <x:v>https://api.dicebear.com/9.x/adventurer/png?seed=DHR-00480-Quinn%20Anderson&amp;size=256&amp;radius=50&amp;backgroundColor=b6e3f4,c0aede,d1d4f9,ffd5dc,ffdfbf</x:v>
      </x:c>
      <x:c r="D481" t="str">
        <x:v>quinn.anderson.480@example.com</x:v>
      </x:c>
      <x:c r="E481" t="str">
        <x:v>+1 (713) 555-0179</x:v>
      </x:c>
      <x:c r="F481" t="str">
        <x:v>Houston, TX</x:v>
      </x:c>
      <x:c r="G481" t="str">
        <x:v>Houston</x:v>
      </x:c>
      <x:c r="H481" t="str">
        <x:v>TX</x:v>
      </x:c>
      <x:c r="I481" s="18" t="str">
        <x:v>77002</x:v>
      </x:c>
      <x:c r="J481" s="15" t="n">
        <x:v>36382.197212928244</x:v>
      </x:c>
      <x:c r="K481" t="n">
        <x:f>INT((DATE(2025,12,31)-J481)/365.25)</x:f>
        <x:v>26</x:v>
      </x:c>
      <x:c r="L481" t="str">
        <x:f>IF(K481&lt;25,"18-24",IF(K481&lt;35,"25-34",IF(K481&lt;45,"35-44",IF(K481&lt;55,"45-54","55+"))))</x:f>
        <x:v>25-34</x:v>
      </x:c>
      <x:c r="M481" s="15" t="n">
        <x:v>44901.661078923615</x:v>
      </x:c>
      <x:c r="N481" t="n">
        <x:f>(YEAR(DATE(2025,12,31))-YEAR(M481))*12+MONTH(DATE(2025,12,31))-MONTH(M481)</x:f>
        <x:v>36</x:v>
      </x:c>
      <x:c r="O481" t="str">
        <x:v>ACTIVE</x:v>
      </x:c>
      <x:c r="P481" t="str">
        <x:v>INDEPENDENT_CONTRACTOR</x:v>
      </x:c>
      <x:c r="Q481" t="str">
        <x:v>CAR</x:v>
      </x:c>
      <x:c r="R481" t="str">
        <x:v>FLEXIBLE</x:v>
      </x:c>
      <x:c r="S481" t="n">
        <x:v>28</x:v>
      </x:c>
      <x:c r="T481" t="str">
        <x:v>CLEARED</x:v>
      </x:c>
      <x:c r="U481" t="str">
        <x:v>VALID</x:v>
      </x:c>
      <x:c r="V481" s="16" t="n">
        <x:v>0.9522</x:v>
      </x:c>
      <x:c r="W481" t="str">
        <x:v>English</x:v>
      </x:c>
      <x:c r="X481"/>
      <x:c r="Y481" t="n">
        <x:v>2086</x:v>
      </x:c>
      <x:c r="Z481" s="17" t="n">
        <x:v>4.55</x:v>
      </x:c>
      <x:c r="AA481" s="16" t="n">
        <x:v>0.6381</x:v>
      </x:c>
      <x:c r="AB481" s="16" t="n">
        <x:v>0.9366</x:v>
      </x:c>
      <x:c r="AC481" s="16" t="n">
        <x:v>0.8596</x:v>
      </x:c>
      <x:c r="AD481" t="n">
        <x:v>0</x:v>
      </x:c>
      <x:c r="AE481" t="str">
        <x:f>IF(O481&lt;&gt;"ACTIVE","NOT_RATED",IF(AND(Z481&gt;=4.8,AB481&gt;=0.97,AC481&gt;=0.93,AD481=0),"ELITE",IF(AND(Z481&gt;=4.6,AB481&gt;=0.94,AC481&gt;=0.88),"HIGH_PERFORMER",IF(OR(Z481&lt;4.2,AB481&lt;0.85,AD481&gt;=2),"AT_RISK","STANDARD"))))</x:f>
        <x:v>STANDARD</x:v>
      </x:c>
      <x:c r="AF481" s="15" t="n">
        <x:v>46015</x:v>
      </x:c>
      <x:c r="AG481" t="str">
        <x:v>VERIFIED</x:v>
      </x:c>
      <x:c r="AH481" t="str">
        <x:v>COMPLETE</x:v>
      </x:c>
      <x:c r="AI481" t="str">
        <x:v>Jesse Williams</x:v>
      </x:c>
      <x:c r="AJ481" t="str">
        <x:v>PARENT</x:v>
      </x:c>
      <x:c r="AK481" t="str">
        <x:v>+1 (713) 555-0176</x:v>
      </x:c>
    </x:row>
    <x:row r="482" ht="18" customHeight="1">
      <x:c r="A482" t="str">
        <x:v>DHR-00481</x:v>
      </x:c>
      <x:c r="B482" t="str">
        <x:v>Quinn Brown</x:v>
      </x:c>
      <x:c r="C482" t="str">
        <x:v>https://api.dicebear.com/9.x/adventurer/png?seed=DHR-00481-Quinn%20Brown&amp;size=256&amp;radius=50&amp;backgroundColor=b6e3f4,c0aede,d1d4f9,ffd5dc,ffdfbf</x:v>
      </x:c>
      <x:c r="D482" t="str">
        <x:v>quinn.brown.481@example.com</x:v>
      </x:c>
      <x:c r="E482" t="str">
        <x:v>+1 (512) 555-0180</x:v>
      </x:c>
      <x:c r="F482" t="str">
        <x:v>Austin, TX</x:v>
      </x:c>
      <x:c r="G482" t="str">
        <x:v>Austin</x:v>
      </x:c>
      <x:c r="H482" t="str">
        <x:v>TX</x:v>
      </x:c>
      <x:c r="I482" s="18" t="str">
        <x:v>78701</x:v>
      </x:c>
      <x:c r="J482" s="15" t="n">
        <x:v>30265.914482592594</x:v>
      </x:c>
      <x:c r="K482" t="n">
        <x:f>INT((DATE(2025,12,31)-J482)/365.25)</x:f>
        <x:v>43</x:v>
      </x:c>
      <x:c r="L482" t="str">
        <x:f>IF(K482&lt;25,"18-24",IF(K482&lt;35,"25-34",IF(K482&lt;45,"35-44",IF(K482&lt;55,"45-54","55+"))))</x:f>
        <x:v>35-44</x:v>
      </x:c>
      <x:c r="M482" s="15" t="n">
        <x:v>44243.02129413195</x:v>
      </x:c>
      <x:c r="N482" t="n">
        <x:f>(YEAR(DATE(2025,12,31))-YEAR(M482))*12+MONTH(DATE(2025,12,31))-MONTH(M482)</x:f>
        <x:v>58</x:v>
      </x:c>
      <x:c r="O482" t="str">
        <x:v>ACTIVE</x:v>
      </x:c>
      <x:c r="P482" t="str">
        <x:v>INDEPENDENT_CONTRACTOR</x:v>
      </x:c>
      <x:c r="Q482" t="str">
        <x:v>BICYCLE</x:v>
      </x:c>
      <x:c r="R482" t="str">
        <x:v>DINNER</x:v>
      </x:c>
      <x:c r="S482" t="n">
        <x:v>34</x:v>
      </x:c>
      <x:c r="T482" t="str">
        <x:v>CLEARED</x:v>
      </x:c>
      <x:c r="U482" t="str">
        <x:v>NOT_REQUIRED</x:v>
      </x:c>
      <x:c r="V482" s="16" t="n">
        <x:v>0.9595</x:v>
      </x:c>
      <x:c r="W482" t="str">
        <x:v>English</x:v>
      </x:c>
      <x:c r="X482" t="str">
        <x:v>Arabic</x:v>
      </x:c>
      <x:c r="Y482" t="n">
        <x:v>4818</x:v>
      </x:c>
      <x:c r="Z482" s="17" t="n">
        <x:v>4.53</x:v>
      </x:c>
      <x:c r="AA482" s="16" t="n">
        <x:v>0.8104</x:v>
      </x:c>
      <x:c r="AB482" s="16" t="n">
        <x:v>0.998</x:v>
      </x:c>
      <x:c r="AC482" s="16" t="n">
        <x:v>0.9172</x:v>
      </x:c>
      <x:c r="AD482" t="n">
        <x:v>0</x:v>
      </x:c>
      <x:c r="AE482" t="str">
        <x:f>IF(O482&lt;&gt;"ACTIVE","NOT_RATED",IF(AND(Z482&gt;=4.8,AB482&gt;=0.97,AC482&gt;=0.93,AD482=0),"ELITE",IF(AND(Z482&gt;=4.6,AB482&gt;=0.94,AC482&gt;=0.88),"HIGH_PERFORMER",IF(OR(Z482&lt;4.2,AB482&lt;0.85,AD482&gt;=2),"AT_RISK","STANDARD"))))</x:f>
        <x:v>STANDARD</x:v>
      </x:c>
      <x:c r="AF482" s="15" t="n">
        <x:v>46015</x:v>
      </x:c>
      <x:c r="AG482" t="str">
        <x:v>VERIFIED</x:v>
      </x:c>
      <x:c r="AH482" t="str">
        <x:v>COMPLETE</x:v>
      </x:c>
      <x:c r="AI482" t="str">
        <x:v>Casey Young</x:v>
      </x:c>
      <x:c r="AJ482" t="str">
        <x:v>SPOUSE_PARTNER</x:v>
      </x:c>
      <x:c r="AK482" t="str">
        <x:v>+1 (512) 555-0183</x:v>
      </x:c>
    </x:row>
    <x:row r="483" ht="18" customHeight="1">
      <x:c r="A483" t="str">
        <x:v>DHR-00482</x:v>
      </x:c>
      <x:c r="B483" t="str">
        <x:v>Quinn Clark</x:v>
      </x:c>
      <x:c r="C483" t="str">
        <x:v>https://api.dicebear.com/9.x/adventurer/png?seed=DHR-00482-Quinn%20Clark&amp;size=256&amp;radius=50&amp;backgroundColor=b6e3f4,c0aede,d1d4f9,ffd5dc,ffdfbf</x:v>
      </x:c>
      <x:c r="D483" t="str">
        <x:v>quinn.clark.482@example.com</x:v>
      </x:c>
      <x:c r="E483" t="str">
        <x:v>+1 (213) 555-0181</x:v>
      </x:c>
      <x:c r="F483" t="str">
        <x:v>Los Angeles, CA</x:v>
      </x:c>
      <x:c r="G483" t="str">
        <x:v>Los Angeles</x:v>
      </x:c>
      <x:c r="H483" t="str">
        <x:v>CA</x:v>
      </x:c>
      <x:c r="I483" s="18" t="str">
        <x:v>90012</x:v>
      </x:c>
      <x:c r="J483" s="15" t="n">
        <x:v>24575.331837141202</x:v>
      </x:c>
      <x:c r="K483" t="n">
        <x:f>INT((DATE(2025,12,31)-J483)/365.25)</x:f>
        <x:v>58</x:v>
      </x:c>
      <x:c r="L483" t="str">
        <x:f>IF(K483&lt;25,"18-24",IF(K483&lt;35,"25-34",IF(K483&lt;45,"35-44",IF(K483&lt;55,"45-54","55+"))))</x:f>
        <x:v>55+</x:v>
      </x:c>
      <x:c r="M483" s="15" t="n">
        <x:v>43840.13908361111</x:v>
      </x:c>
      <x:c r="N483" t="n">
        <x:f>(YEAR(DATE(2025,12,31))-YEAR(M483))*12+MONTH(DATE(2025,12,31))-MONTH(M483)</x:f>
        <x:v>71</x:v>
      </x:c>
      <x:c r="O483" t="str">
        <x:v>ACTIVE</x:v>
      </x:c>
      <x:c r="P483" t="str">
        <x:v>INDEPENDENT_CONTRACTOR</x:v>
      </x:c>
      <x:c r="Q483" t="str">
        <x:v>E_BIKE</x:v>
      </x:c>
      <x:c r="R483" t="str">
        <x:v>LUNCH</x:v>
      </x:c>
      <x:c r="S483" t="n">
        <x:v>17</x:v>
      </x:c>
      <x:c r="T483" t="str">
        <x:v>CLEARED</x:v>
      </x:c>
      <x:c r="U483" t="str">
        <x:v>NOT_REQUIRED</x:v>
      </x:c>
      <x:c r="V483" s="16" t="n">
        <x:v>0.9815</x:v>
      </x:c>
      <x:c r="W483" t="str">
        <x:v>English</x:v>
      </x:c>
      <x:c r="X483"/>
      <x:c r="Y483" t="n">
        <x:v>4199</x:v>
      </x:c>
      <x:c r="Z483" s="17" t="n">
        <x:v>4.68</x:v>
      </x:c>
      <x:c r="AA483" s="16" t="n">
        <x:v>0.9723</x:v>
      </x:c>
      <x:c r="AB483" s="16" t="n">
        <x:v>0.9224</x:v>
      </x:c>
      <x:c r="AC483" s="16" t="n">
        <x:v>0.9822</x:v>
      </x:c>
      <x:c r="AD483" t="n">
        <x:v>0</x:v>
      </x:c>
      <x:c r="AE483" t="str">
        <x:f>IF(O483&lt;&gt;"ACTIVE","NOT_RATED",IF(AND(Z483&gt;=4.8,AB483&gt;=0.97,AC483&gt;=0.93,AD483=0),"ELITE",IF(AND(Z483&gt;=4.6,AB483&gt;=0.94,AC483&gt;=0.88),"HIGH_PERFORMER",IF(OR(Z483&lt;4.2,AB483&lt;0.85,AD483&gt;=2),"AT_RISK","STANDARD"))))</x:f>
        <x:v>STANDARD</x:v>
      </x:c>
      <x:c r="AF483" s="15" t="n">
        <x:v>46008</x:v>
      </x:c>
      <x:c r="AG483" t="str">
        <x:v>VERIFIED</x:v>
      </x:c>
      <x:c r="AH483" t="str">
        <x:v>COMPLETE</x:v>
      </x:c>
      <x:c r="AI483" t="str">
        <x:v>Hayden Williams</x:v>
      </x:c>
      <x:c r="AJ483" t="str">
        <x:v>SPOUSE_PARTNER</x:v>
      </x:c>
      <x:c r="AK483" t="str">
        <x:v>+1 (213) 555-0190</x:v>
      </x:c>
    </x:row>
    <x:row r="484" ht="18" customHeight="1">
      <x:c r="A484" t="str">
        <x:v>DHR-00483</x:v>
      </x:c>
      <x:c r="B484" t="str">
        <x:v>Quinn Davis</x:v>
      </x:c>
      <x:c r="C484" t="str">
        <x:v>https://api.dicebear.com/9.x/adventurer/png?seed=DHR-00483-Quinn%20Davis&amp;size=256&amp;radius=50&amp;backgroundColor=b6e3f4,c0aede,d1d4f9,ffd5dc,ffdfbf</x:v>
      </x:c>
      <x:c r="D484" t="str">
        <x:v>quinn.davis.483@example.com</x:v>
      </x:c>
      <x:c r="E484" t="str">
        <x:v>+1 (213) 555-0182</x:v>
      </x:c>
      <x:c r="F484" t="str">
        <x:v>Los Angeles, CA</x:v>
      </x:c>
      <x:c r="G484" t="str">
        <x:v>Los Angeles</x:v>
      </x:c>
      <x:c r="H484" t="str">
        <x:v>CA</x:v>
      </x:c>
      <x:c r="I484" s="18" t="str">
        <x:v>90012</x:v>
      </x:c>
      <x:c r="J484" s="15" t="n">
        <x:v>31940.514137094906</x:v>
      </x:c>
      <x:c r="K484" t="n">
        <x:f>INT((DATE(2025,12,31)-J484)/365.25)</x:f>
        <x:v>38</x:v>
      </x:c>
      <x:c r="L484" t="str">
        <x:f>IF(K484&lt;25,"18-24",IF(K484&lt;35,"25-34",IF(K484&lt;45,"35-44",IF(K484&lt;55,"45-54","55+"))))</x:f>
        <x:v>35-44</x:v>
      </x:c>
      <x:c r="M484" s="15" t="n">
        <x:v>43749.45596403935</x:v>
      </x:c>
      <x:c r="N484" t="n">
        <x:f>(YEAR(DATE(2025,12,31))-YEAR(M484))*12+MONTH(DATE(2025,12,31))-MONTH(M484)</x:f>
        <x:v>74</x:v>
      </x:c>
      <x:c r="O484" t="str">
        <x:v>ACTIVE</x:v>
      </x:c>
      <x:c r="P484" t="str">
        <x:v>INDEPENDENT_CONTRACTOR</x:v>
      </x:c>
      <x:c r="Q484" t="str">
        <x:v>CAR</x:v>
      </x:c>
      <x:c r="R484" t="str">
        <x:v>DINNER</x:v>
      </x:c>
      <x:c r="S484" t="n">
        <x:v>44</x:v>
      </x:c>
      <x:c r="T484" t="str">
        <x:v>CLEARED</x:v>
      </x:c>
      <x:c r="U484" t="str">
        <x:v>VALID</x:v>
      </x:c>
      <x:c r="V484" s="16" t="n">
        <x:v>0.8877</x:v>
      </x:c>
      <x:c r="W484" t="str">
        <x:v>English</x:v>
      </x:c>
      <x:c r="X484"/>
      <x:c r="Y484" t="n">
        <x:v>13573</x:v>
      </x:c>
      <x:c r="Z484" s="17" t="n">
        <x:v>4.9</x:v>
      </x:c>
      <x:c r="AA484" s="16" t="n">
        <x:v>0.9857</x:v>
      </x:c>
      <x:c r="AB484" s="16" t="n">
        <x:v>0.9778</x:v>
      </x:c>
      <x:c r="AC484" s="16" t="n">
        <x:v>0.9198</x:v>
      </x:c>
      <x:c r="AD484" t="n">
        <x:v>0</x:v>
      </x:c>
      <x:c r="AE484" t="str">
        <x:f>IF(O484&lt;&gt;"ACTIVE","NOT_RATED",IF(AND(Z484&gt;=4.8,AB484&gt;=0.97,AC484&gt;=0.93,AD484=0),"ELITE",IF(AND(Z484&gt;=4.6,AB484&gt;=0.94,AC484&gt;=0.88),"HIGH_PERFORMER",IF(OR(Z484&lt;4.2,AB484&lt;0.85,AD484&gt;=2),"AT_RISK","STANDARD"))))</x:f>
        <x:v>HIGH_PERFORMER</x:v>
      </x:c>
      <x:c r="AF484" s="15" t="n">
        <x:v>46017</x:v>
      </x:c>
      <x:c r="AG484" t="str">
        <x:v>PENDING</x:v>
      </x:c>
      <x:c r="AH484" t="str">
        <x:v>COMPLETE</x:v>
      </x:c>
      <x:c r="AI484" t="str">
        <x:v>Hayden Perez</x:v>
      </x:c>
      <x:c r="AJ484" t="str">
        <x:v>SPOUSE_PARTNER</x:v>
      </x:c>
      <x:c r="AK484" t="str">
        <x:v>+1 (213) 555-0197</x:v>
      </x:c>
    </x:row>
    <x:row r="485" ht="18" customHeight="1">
      <x:c r="A485" t="str">
        <x:v>DHR-00484</x:v>
      </x:c>
      <x:c r="B485" t="str">
        <x:v>Quinn Garcia</x:v>
      </x:c>
      <x:c r="C485" t="str">
        <x:v>https://api.dicebear.com/9.x/adventurer/png?seed=DHR-00484-Quinn%20Garcia&amp;size=256&amp;radius=50&amp;backgroundColor=b6e3f4,c0aede,d1d4f9,ffd5dc,ffdfbf</x:v>
      </x:c>
      <x:c r="D485" t="str">
        <x:v>quinn.garcia.484@example.com</x:v>
      </x:c>
      <x:c r="E485" t="str">
        <x:v>+1 (214) 555-0183</x:v>
      </x:c>
      <x:c r="F485" t="str">
        <x:v>Dallas, TX</x:v>
      </x:c>
      <x:c r="G485" t="str">
        <x:v>Dallas</x:v>
      </x:c>
      <x:c r="H485" t="str">
        <x:v>TX</x:v>
      </x:c>
      <x:c r="I485" s="18" t="str">
        <x:v>75201</x:v>
      </x:c>
      <x:c r="J485" s="15" t="n">
        <x:v>26186.82845142361</x:v>
      </x:c>
      <x:c r="K485" t="n">
        <x:f>INT((DATE(2025,12,31)-J485)/365.25)</x:f>
        <x:v>54</x:v>
      </x:c>
      <x:c r="L485" t="str">
        <x:f>IF(K485&lt;25,"18-24",IF(K485&lt;35,"25-34",IF(K485&lt;45,"35-44",IF(K485&lt;55,"45-54","55+"))))</x:f>
        <x:v>45-54</x:v>
      </x:c>
      <x:c r="M485" s="15" t="n">
        <x:v>43482.33364800926</x:v>
      </x:c>
      <x:c r="N485" t="n">
        <x:f>(YEAR(DATE(2025,12,31))-YEAR(M485))*12+MONTH(DATE(2025,12,31))-MONTH(M485)</x:f>
        <x:v>83</x:v>
      </x:c>
      <x:c r="O485" t="str">
        <x:v>ACTIVE</x:v>
      </x:c>
      <x:c r="P485" t="str">
        <x:v>INDEPENDENT_CONTRACTOR</x:v>
      </x:c>
      <x:c r="Q485" t="str">
        <x:v>CAR</x:v>
      </x:c>
      <x:c r="R485" t="str">
        <x:v>DINNER</x:v>
      </x:c>
      <x:c r="S485" t="n">
        <x:v>12</x:v>
      </x:c>
      <x:c r="T485" t="str">
        <x:v>CLEARED</x:v>
      </x:c>
      <x:c r="U485" t="str">
        <x:v>VALID</x:v>
      </x:c>
      <x:c r="V485" s="16" t="n">
        <x:v>0.7903</x:v>
      </x:c>
      <x:c r="W485" t="str">
        <x:v>Korean</x:v>
      </x:c>
      <x:c r="X485"/>
      <x:c r="Y485" t="n">
        <x:v>3725</x:v>
      </x:c>
      <x:c r="Z485" s="17" t="n">
        <x:v>4.48</x:v>
      </x:c>
      <x:c r="AA485" s="16" t="n">
        <x:v>0.7907</x:v>
      </x:c>
      <x:c r="AB485" s="16" t="n">
        <x:v>0.9144</x:v>
      </x:c>
      <x:c r="AC485" s="16" t="n">
        <x:v>0.9084</x:v>
      </x:c>
      <x:c r="AD485" t="n">
        <x:v>0</x:v>
      </x:c>
      <x:c r="AE485" t="str">
        <x:f>IF(O485&lt;&gt;"ACTIVE","NOT_RATED",IF(AND(Z485&gt;=4.8,AB485&gt;=0.97,AC485&gt;=0.93,AD485=0),"ELITE",IF(AND(Z485&gt;=4.6,AB485&gt;=0.94,AC485&gt;=0.88),"HIGH_PERFORMER",IF(OR(Z485&lt;4.2,AB485&lt;0.85,AD485&gt;=2),"AT_RISK","STANDARD"))))</x:f>
        <x:v>STANDARD</x:v>
      </x:c>
      <x:c r="AF485" s="15" t="n">
        <x:v>46009</x:v>
      </x:c>
      <x:c r="AG485" t="str">
        <x:v>VERIFIED</x:v>
      </x:c>
      <x:c r="AH485" t="str">
        <x:v>COMPLETE</x:v>
      </x:c>
      <x:c r="AI485" t="str">
        <x:v>Quinn Williams</x:v>
      </x:c>
      <x:c r="AJ485" t="str">
        <x:v>FRIEND</x:v>
      </x:c>
      <x:c r="AK485" t="str">
        <x:v>+1 (214) 555-0104</x:v>
      </x:c>
    </x:row>
    <x:row r="486" ht="18" customHeight="1">
      <x:c r="A486" t="str">
        <x:v>DHR-00485</x:v>
      </x:c>
      <x:c r="B486" t="str">
        <x:v>Quinn Harris</x:v>
      </x:c>
      <x:c r="C486" t="str">
        <x:v>https://api.dicebear.com/9.x/adventurer/png?seed=DHR-00485-Quinn%20Harris&amp;size=256&amp;radius=50&amp;backgroundColor=b6e3f4,c0aede,d1d4f9,ffd5dc,ffdfbf</x:v>
      </x:c>
      <x:c r="D486" t="str">
        <x:v>quinn.harris.485@example.com</x:v>
      </x:c>
      <x:c r="E486" t="str">
        <x:v>+1 (704) 555-0184</x:v>
      </x:c>
      <x:c r="F486" t="str">
        <x:v>Charlotte, NC</x:v>
      </x:c>
      <x:c r="G486" t="str">
        <x:v>Charlotte</x:v>
      </x:c>
      <x:c r="H486" t="str">
        <x:v>NC</x:v>
      </x:c>
      <x:c r="I486" s="18" t="str">
        <x:v>28202</x:v>
      </x:c>
      <x:c r="J486" s="15" t="n">
        <x:v>24308.002768148148</x:v>
      </x:c>
      <x:c r="K486" t="n">
        <x:f>INT((DATE(2025,12,31)-J486)/365.25)</x:f>
        <x:v>59</x:v>
      </x:c>
      <x:c r="L486" t="str">
        <x:f>IF(K486&lt;25,"18-24",IF(K486&lt;35,"25-34",IF(K486&lt;45,"35-44",IF(K486&lt;55,"45-54","55+"))))</x:f>
        <x:v>55+</x:v>
      </x:c>
      <x:c r="M486" s="15" t="n">
        <x:v>44446.736801782405</x:v>
      </x:c>
      <x:c r="N486" t="n">
        <x:f>(YEAR(DATE(2025,12,31))-YEAR(M486))*12+MONTH(DATE(2025,12,31))-MONTH(M486)</x:f>
        <x:v>51</x:v>
      </x:c>
      <x:c r="O486" t="str">
        <x:v>ACTIVE</x:v>
      </x:c>
      <x:c r="P486" t="str">
        <x:v>INDEPENDENT_CONTRACTOR</x:v>
      </x:c>
      <x:c r="Q486" t="str">
        <x:v>CAR</x:v>
      </x:c>
      <x:c r="R486" t="str">
        <x:v>WEEKENDS</x:v>
      </x:c>
      <x:c r="S486" t="n">
        <x:v>13</x:v>
      </x:c>
      <x:c r="T486" t="str">
        <x:v>CLEARED</x:v>
      </x:c>
      <x:c r="U486" t="str">
        <x:v>VALID</x:v>
      </x:c>
      <x:c r="V486" s="16" t="n">
        <x:v>0.9021</x:v>
      </x:c>
      <x:c r="W486" t="str">
        <x:v>English</x:v>
      </x:c>
      <x:c r="X486" t="str">
        <x:v>Spanish</x:v>
      </x:c>
      <x:c r="Y486" t="n">
        <x:v>1828</x:v>
      </x:c>
      <x:c r="Z486" s="17" t="n">
        <x:v>4.48</x:v>
      </x:c>
      <x:c r="AA486" s="16" t="n">
        <x:v>0.99</x:v>
      </x:c>
      <x:c r="AB486" s="16" t="n">
        <x:v>0.8913</x:v>
      </x:c>
      <x:c r="AC486" s="16" t="n">
        <x:v>0.8781</x:v>
      </x:c>
      <x:c r="AD486" t="n">
        <x:v>0</x:v>
      </x:c>
      <x:c r="AE486" t="str">
        <x:f>IF(O486&lt;&gt;"ACTIVE","NOT_RATED",IF(AND(Z486&gt;=4.8,AB486&gt;=0.97,AC486&gt;=0.93,AD486=0),"ELITE",IF(AND(Z486&gt;=4.6,AB486&gt;=0.94,AC486&gt;=0.88),"HIGH_PERFORMER",IF(OR(Z486&lt;4.2,AB486&lt;0.85,AD486&gt;=2),"AT_RISK","STANDARD"))))</x:f>
        <x:v>STANDARD</x:v>
      </x:c>
      <x:c r="AF486" s="15" t="n">
        <x:v>46021</x:v>
      </x:c>
      <x:c r="AG486" t="str">
        <x:v>VERIFIED</x:v>
      </x:c>
      <x:c r="AH486" t="str">
        <x:v>COMPLETE</x:v>
      </x:c>
      <x:c r="AI486" t="str">
        <x:v>Sam Lewis</x:v>
      </x:c>
      <x:c r="AJ486" t="str">
        <x:v>OTHER</x:v>
      </x:c>
      <x:c r="AK486" t="str">
        <x:v>+1 (704) 555-0111</x:v>
      </x:c>
    </x:row>
    <x:row r="487" ht="18" customHeight="1">
      <x:c r="A487" t="str">
        <x:v>DHR-00486</x:v>
      </x:c>
      <x:c r="B487" t="str">
        <x:v>Quinn Jackson</x:v>
      </x:c>
      <x:c r="C487" t="str">
        <x:v>https://api.dicebear.com/9.x/adventurer/png?seed=DHR-00486-Quinn%20Jackson&amp;size=256&amp;radius=50&amp;backgroundColor=b6e3f4,c0aede,d1d4f9,ffd5dc,ffdfbf</x:v>
      </x:c>
      <x:c r="D487" t="str">
        <x:v>quinn.jackson.486@example.com</x:v>
      </x:c>
      <x:c r="E487" t="str">
        <x:v>+1 (305) 555-0185</x:v>
      </x:c>
      <x:c r="F487" t="str">
        <x:v>Miami, FL</x:v>
      </x:c>
      <x:c r="G487" t="str">
        <x:v>Miami</x:v>
      </x:c>
      <x:c r="H487" t="str">
        <x:v>FL</x:v>
      </x:c>
      <x:c r="I487" s="18" t="str">
        <x:v>33130</x:v>
      </x:c>
      <x:c r="J487" s="15" t="n">
        <x:v>32749.20112846065</x:v>
      </x:c>
      <x:c r="K487" t="n">
        <x:f>INT((DATE(2025,12,31)-J487)/365.25)</x:f>
        <x:v>36</x:v>
      </x:c>
      <x:c r="L487" t="str">
        <x:f>IF(K487&lt;25,"18-24",IF(K487&lt;35,"25-34",IF(K487&lt;45,"35-44",IF(K487&lt;55,"45-54","55+"))))</x:f>
        <x:v>35-44</x:v>
      </x:c>
      <x:c r="M487" s="15" t="n">
        <x:v>44649.663357627316</x:v>
      </x:c>
      <x:c r="N487" t="n">
        <x:f>(YEAR(DATE(2025,12,31))-YEAR(M487))*12+MONTH(DATE(2025,12,31))-MONTH(M487)</x:f>
        <x:v>45</x:v>
      </x:c>
      <x:c r="O487" t="str">
        <x:v>OFFBOARDED</x:v>
      </x:c>
      <x:c r="P487" t="str">
        <x:v>INDEPENDENT_CONTRACTOR</x:v>
      </x:c>
      <x:c r="Q487" t="str">
        <x:v>CAR</x:v>
      </x:c>
      <x:c r="R487" t="str">
        <x:v>WEEKENDS</x:v>
      </x:c>
      <x:c r="S487" t="n">
        <x:v>37</x:v>
      </x:c>
      <x:c r="T487" t="str">
        <x:v>CLEARED</x:v>
      </x:c>
      <x:c r="U487" t="str">
        <x:v>VALID</x:v>
      </x:c>
      <x:c r="V487" s="16" t="n">
        <x:v>0.7499</x:v>
      </x:c>
      <x:c r="W487" t="str">
        <x:v>English</x:v>
      </x:c>
      <x:c r="X487"/>
      <x:c r="Y487" t="n">
        <x:v>5614</x:v>
      </x:c>
      <x:c r="Z487" s="17" t="n">
        <x:v>4.65</x:v>
      </x:c>
      <x:c r="AA487" s="16" t="n">
        <x:v>0.826</x:v>
      </x:c>
      <x:c r="AB487" s="16" t="n">
        <x:v>0.9036</x:v>
      </x:c>
      <x:c r="AC487" s="16" t="n">
        <x:v>0.9756</x:v>
      </x:c>
      <x:c r="AD487" t="n">
        <x:v>0</x:v>
      </x:c>
      <x:c r="AE487" t="str">
        <x:f>IF(O487&lt;&gt;"ACTIVE","NOT_RATED",IF(AND(Z487&gt;=4.8,AB487&gt;=0.97,AC487&gt;=0.93,AD487=0),"ELITE",IF(AND(Z487&gt;=4.6,AB487&gt;=0.94,AC487&gt;=0.88),"HIGH_PERFORMER",IF(OR(Z487&lt;4.2,AB487&lt;0.85,AD487&gt;=2),"AT_RISK","STANDARD"))))</x:f>
        <x:v>NOT_RATED</x:v>
      </x:c>
      <x:c r="AF487" s="15" t="n">
        <x:v>45565</x:v>
      </x:c>
      <x:c r="AG487" t="str">
        <x:v>VERIFIED</x:v>
      </x:c>
      <x:c r="AH487" t="str">
        <x:v>COMPLETE</x:v>
      </x:c>
      <x:c r="AI487" t="str">
        <x:v>Cameron White</x:v>
      </x:c>
      <x:c r="AJ487" t="str">
        <x:v>SIBLING</x:v>
      </x:c>
      <x:c r="AK487" t="str">
        <x:v>+1 (305) 555-0118</x:v>
      </x:c>
    </x:row>
    <x:row r="488" ht="18" customHeight="1">
      <x:c r="A488" t="str">
        <x:v>DHR-00487</x:v>
      </x:c>
      <x:c r="B488" t="str">
        <x:v>Quinn Johnson</x:v>
      </x:c>
      <x:c r="C488" t="str">
        <x:v>https://api.dicebear.com/9.x/adventurer/png?seed=DHR-00487-Quinn%20Johnson&amp;size=256&amp;radius=50&amp;backgroundColor=b6e3f4,c0aede,d1d4f9,ffd5dc,ffdfbf</x:v>
      </x:c>
      <x:c r="D488" t="str">
        <x:v>quinn.johnson.487@example.com</x:v>
      </x:c>
      <x:c r="E488" t="str">
        <x:v>+1 (702) 555-0186</x:v>
      </x:c>
      <x:c r="F488" t="str">
        <x:v>Las Vegas, NV</x:v>
      </x:c>
      <x:c r="G488" t="str">
        <x:v>Las Vegas</x:v>
      </x:c>
      <x:c r="H488" t="str">
        <x:v>NV</x:v>
      </x:c>
      <x:c r="I488" s="18" t="str">
        <x:v>89101</x:v>
      </x:c>
      <x:c r="J488" s="15" t="n">
        <x:v>34880.74072462963</x:v>
      </x:c>
      <x:c r="K488" t="n">
        <x:f>INT((DATE(2025,12,31)-J488)/365.25)</x:f>
        <x:v>30</x:v>
      </x:c>
      <x:c r="L488" t="str">
        <x:f>IF(K488&lt;25,"18-24",IF(K488&lt;35,"25-34",IF(K488&lt;45,"35-44",IF(K488&lt;55,"45-54","55+"))))</x:f>
        <x:v>25-34</x:v>
      </x:c>
      <x:c r="M488" s="15" t="n">
        <x:v>45955.87818891204</x:v>
      </x:c>
      <x:c r="N488" t="n">
        <x:f>(YEAR(DATE(2025,12,31))-YEAR(M488))*12+MONTH(DATE(2025,12,31))-MONTH(M488)</x:f>
        <x:v>2</x:v>
      </x:c>
      <x:c r="O488" t="str">
        <x:v>ACTIVE</x:v>
      </x:c>
      <x:c r="P488" t="str">
        <x:v>INDEPENDENT_CONTRACTOR</x:v>
      </x:c>
      <x:c r="Q488" t="str">
        <x:v>BICYCLE</x:v>
      </x:c>
      <x:c r="R488" t="str">
        <x:v>LUNCH</x:v>
      </x:c>
      <x:c r="S488" t="n">
        <x:v>41</x:v>
      </x:c>
      <x:c r="T488" t="str">
        <x:v>CLEARED</x:v>
      </x:c>
      <x:c r="U488" t="str">
        <x:v>NOT_REQUIRED</x:v>
      </x:c>
      <x:c r="V488" s="16" t="n">
        <x:v>0.8084</x:v>
      </x:c>
      <x:c r="W488" t="str">
        <x:v>Spanish</x:v>
      </x:c>
      <x:c r="X488"/>
      <x:c r="Y488" t="n">
        <x:v>247</x:v>
      </x:c>
      <x:c r="Z488" s="17" t="n">
        <x:v>4.86</x:v>
      </x:c>
      <x:c r="AA488" s="16" t="n">
        <x:v>0.9248</x:v>
      </x:c>
      <x:c r="AB488" s="16" t="n">
        <x:v>0.9295</x:v>
      </x:c>
      <x:c r="AC488" s="16" t="n">
        <x:v>0.9632</x:v>
      </x:c>
      <x:c r="AD488" t="n">
        <x:v>0</x:v>
      </x:c>
      <x:c r="AE488" t="str">
        <x:f>IF(O488&lt;&gt;"ACTIVE","NOT_RATED",IF(AND(Z488&gt;=4.8,AB488&gt;=0.97,AC488&gt;=0.93,AD488=0),"ELITE",IF(AND(Z488&gt;=4.6,AB488&gt;=0.94,AC488&gt;=0.88),"HIGH_PERFORMER",IF(OR(Z488&lt;4.2,AB488&lt;0.85,AD488&gt;=2),"AT_RISK","STANDARD"))))</x:f>
        <x:v>STANDARD</x:v>
      </x:c>
      <x:c r="AF488" s="15" t="n">
        <x:v>46008</x:v>
      </x:c>
      <x:c r="AG488" t="str">
        <x:v>VERIFIED</x:v>
      </x:c>
      <x:c r="AH488" t="str">
        <x:v>COMPLETE</x:v>
      </x:c>
      <x:c r="AI488" t="str">
        <x:v>Drew Young</x:v>
      </x:c>
      <x:c r="AJ488" t="str">
        <x:v>SPOUSE_PARTNER</x:v>
      </x:c>
      <x:c r="AK488" t="str">
        <x:v>+1 (702) 555-0125</x:v>
      </x:c>
    </x:row>
    <x:row r="489" ht="18" customHeight="1">
      <x:c r="A489" t="str">
        <x:v>DHR-00488</x:v>
      </x:c>
      <x:c r="B489" t="str">
        <x:v>Quinn Jones</x:v>
      </x:c>
      <x:c r="C489" t="str">
        <x:v>https://api.dicebear.com/9.x/adventurer/png?seed=DHR-00488-Quinn%20Jones&amp;size=256&amp;radius=50&amp;backgroundColor=b6e3f4,c0aede,d1d4f9,ffd5dc,ffdfbf</x:v>
      </x:c>
      <x:c r="D489" t="str">
        <x:v>quinn.jones.488@example.com</x:v>
      </x:c>
      <x:c r="E489" t="str">
        <x:v>+1 (213) 555-0187</x:v>
      </x:c>
      <x:c r="F489" t="str">
        <x:v>Los Angeles, CA</x:v>
      </x:c>
      <x:c r="G489" t="str">
        <x:v>Los Angeles</x:v>
      </x:c>
      <x:c r="H489" t="str">
        <x:v>CA</x:v>
      </x:c>
      <x:c r="I489" s="18" t="str">
        <x:v>90012</x:v>
      </x:c>
      <x:c r="J489" s="15" t="n">
        <x:v>27167.718197337963</x:v>
      </x:c>
      <x:c r="K489" t="n">
        <x:f>INT((DATE(2025,12,31)-J489)/365.25)</x:f>
        <x:v>51</x:v>
      </x:c>
      <x:c r="L489" t="str">
        <x:f>IF(K489&lt;25,"18-24",IF(K489&lt;35,"25-34",IF(K489&lt;45,"35-44",IF(K489&lt;55,"45-54","55+"))))</x:f>
        <x:v>45-54</x:v>
      </x:c>
      <x:c r="M489" s="15" t="n">
        <x:v>43729.42458438657</x:v>
      </x:c>
      <x:c r="N489" t="n">
        <x:f>(YEAR(DATE(2025,12,31))-YEAR(M489))*12+MONTH(DATE(2025,12,31))-MONTH(M489)</x:f>
        <x:v>75</x:v>
      </x:c>
      <x:c r="O489" t="str">
        <x:v>ACTIVE</x:v>
      </x:c>
      <x:c r="P489" t="str">
        <x:v>INDEPENDENT_CONTRACTOR</x:v>
      </x:c>
      <x:c r="Q489" t="str">
        <x:v>CAR</x:v>
      </x:c>
      <x:c r="R489" t="str">
        <x:v>LUNCH</x:v>
      </x:c>
      <x:c r="S489" t="n">
        <x:v>41</x:v>
      </x:c>
      <x:c r="T489" t="str">
        <x:v>CLEARED</x:v>
      </x:c>
      <x:c r="U489" t="str">
        <x:v>VALID</x:v>
      </x:c>
      <x:c r="V489" s="16" t="n">
        <x:v>0.9302</x:v>
      </x:c>
      <x:c r="W489" t="str">
        <x:v>English</x:v>
      </x:c>
      <x:c r="X489"/>
      <x:c r="Y489" t="n">
        <x:v>7904</x:v>
      </x:c>
      <x:c r="Z489" s="17" t="n">
        <x:v>4.7</x:v>
      </x:c>
      <x:c r="AA489" s="16" t="n">
        <x:v>0.782</x:v>
      </x:c>
      <x:c r="AB489" s="16" t="n">
        <x:v>0.9097</x:v>
      </x:c>
      <x:c r="AC489" s="16" t="n">
        <x:v>0.8292</x:v>
      </x:c>
      <x:c r="AD489" t="n">
        <x:v>1</x:v>
      </x:c>
      <x:c r="AE489" t="str">
        <x:f>IF(O489&lt;&gt;"ACTIVE","NOT_RATED",IF(AND(Z489&gt;=4.8,AB489&gt;=0.97,AC489&gt;=0.93,AD489=0),"ELITE",IF(AND(Z489&gt;=4.6,AB489&gt;=0.94,AC489&gt;=0.88),"HIGH_PERFORMER",IF(OR(Z489&lt;4.2,AB489&lt;0.85,AD489&gt;=2),"AT_RISK","STANDARD"))))</x:f>
        <x:v>STANDARD</x:v>
      </x:c>
      <x:c r="AF489" s="15" t="n">
        <x:v>46009</x:v>
      </x:c>
      <x:c r="AG489" t="str">
        <x:v>VERIFIED</x:v>
      </x:c>
      <x:c r="AH489" t="str">
        <x:v>COMPLETE</x:v>
      </x:c>
      <x:c r="AI489" t="str">
        <x:v>Riley Martin</x:v>
      </x:c>
      <x:c r="AJ489" t="str">
        <x:v>SPOUSE_PARTNER</x:v>
      </x:c>
      <x:c r="AK489" t="str">
        <x:v>+1 (213) 555-0132</x:v>
      </x:c>
    </x:row>
    <x:row r="490" ht="18" customHeight="1">
      <x:c r="A490" t="str">
        <x:v>DHR-00489</x:v>
      </x:c>
      <x:c r="B490" t="str">
        <x:v>Quinn Lee</x:v>
      </x:c>
      <x:c r="C490" t="str">
        <x:v>https://api.dicebear.com/9.x/adventurer/png?seed=DHR-00489-Quinn%20Lee&amp;size=256&amp;radius=50&amp;backgroundColor=b6e3f4,c0aede,d1d4f9,ffd5dc,ffdfbf</x:v>
      </x:c>
      <x:c r="D490" t="str">
        <x:v>quinn.lee.489@example.com</x:v>
      </x:c>
      <x:c r="E490" t="str">
        <x:v>+1 (713) 555-0188</x:v>
      </x:c>
      <x:c r="F490" t="str">
        <x:v>Houston, TX</x:v>
      </x:c>
      <x:c r="G490" t="str">
        <x:v>Houston</x:v>
      </x:c>
      <x:c r="H490" t="str">
        <x:v>TX</x:v>
      </x:c>
      <x:c r="I490" s="18" t="str">
        <x:v>77002</x:v>
      </x:c>
      <x:c r="J490" s="15" t="n">
        <x:v>29480.414826030094</x:v>
      </x:c>
      <x:c r="K490" t="n">
        <x:f>INT((DATE(2025,12,31)-J490)/365.25)</x:f>
        <x:v>45</x:v>
      </x:c>
      <x:c r="L490" t="str">
        <x:f>IF(K490&lt;25,"18-24",IF(K490&lt;35,"25-34",IF(K490&lt;45,"35-44",IF(K490&lt;55,"45-54","55+"))))</x:f>
        <x:v>45-54</x:v>
      </x:c>
      <x:c r="M490" s="15" t="n">
        <x:v>44176.64408841435</x:v>
      </x:c>
      <x:c r="N490" t="n">
        <x:f>(YEAR(DATE(2025,12,31))-YEAR(M490))*12+MONTH(DATE(2025,12,31))-MONTH(M490)</x:f>
        <x:v>60</x:v>
      </x:c>
      <x:c r="O490" t="str">
        <x:v>ACTIVE</x:v>
      </x:c>
      <x:c r="P490" t="str">
        <x:v>INDEPENDENT_CONTRACTOR</x:v>
      </x:c>
      <x:c r="Q490" t="str">
        <x:v>CAR</x:v>
      </x:c>
      <x:c r="R490" t="str">
        <x:v>WEEKENDS</x:v>
      </x:c>
      <x:c r="S490" t="n">
        <x:v>28</x:v>
      </x:c>
      <x:c r="T490" t="str">
        <x:v>CLEARED</x:v>
      </x:c>
      <x:c r="U490" t="str">
        <x:v>VALID</x:v>
      </x:c>
      <x:c r="V490" s="16" t="n">
        <x:v>0.7932</x:v>
      </x:c>
      <x:c r="W490" t="str">
        <x:v>Spanish</x:v>
      </x:c>
      <x:c r="X490" t="str">
        <x:v>Portuguese</x:v>
      </x:c>
      <x:c r="Y490" t="n">
        <x:v>5049</x:v>
      </x:c>
      <x:c r="Z490" s="17" t="n">
        <x:v>4.3</x:v>
      </x:c>
      <x:c r="AA490" s="16" t="n">
        <x:v>0.96</x:v>
      </x:c>
      <x:c r="AB490" s="16" t="n">
        <x:v>0.9411</x:v>
      </x:c>
      <x:c r="AC490" s="16" t="n">
        <x:v>0.8851</x:v>
      </x:c>
      <x:c r="AD490" t="n">
        <x:v>0</x:v>
      </x:c>
      <x:c r="AE490" t="str">
        <x:f>IF(O490&lt;&gt;"ACTIVE","NOT_RATED",IF(AND(Z490&gt;=4.8,AB490&gt;=0.97,AC490&gt;=0.93,AD490=0),"ELITE",IF(AND(Z490&gt;=4.6,AB490&gt;=0.94,AC490&gt;=0.88),"HIGH_PERFORMER",IF(OR(Z490&lt;4.2,AB490&lt;0.85,AD490&gt;=2),"AT_RISK","STANDARD"))))</x:f>
        <x:v>STANDARD</x:v>
      </x:c>
      <x:c r="AF490" s="15" t="n">
        <x:v>46019</x:v>
      </x:c>
      <x:c r="AG490" t="str">
        <x:v>VERIFIED</x:v>
      </x:c>
      <x:c r="AH490" t="str">
        <x:v>COMPLETE</x:v>
      </x:c>
      <x:c r="AI490" t="str">
        <x:v>Parker Martin</x:v>
      </x:c>
      <x:c r="AJ490" t="str">
        <x:v>SPOUSE_PARTNER</x:v>
      </x:c>
      <x:c r="AK490" t="str">
        <x:v>+1 (713) 555-0139</x:v>
      </x:c>
    </x:row>
    <x:row r="491" ht="18" customHeight="1">
      <x:c r="A491" t="str">
        <x:v>DHR-00490</x:v>
      </x:c>
      <x:c r="B491" t="str">
        <x:v>Quinn Martinez</x:v>
      </x:c>
      <x:c r="C491" t="str">
        <x:v>https://api.dicebear.com/9.x/adventurer/png?seed=DHR-00490-Quinn%20Martinez&amp;size=256&amp;radius=50&amp;backgroundColor=b6e3f4,c0aede,d1d4f9,ffd5dc,ffdfbf</x:v>
      </x:c>
      <x:c r="D491" t="str">
        <x:v>quinn.martinez.490@example.com</x:v>
      </x:c>
      <x:c r="E491" t="str">
        <x:v>+1 (303) 555-0189</x:v>
      </x:c>
      <x:c r="F491" t="str">
        <x:v>Denver, CO</x:v>
      </x:c>
      <x:c r="G491" t="str">
        <x:v>Denver</x:v>
      </x:c>
      <x:c r="H491" t="str">
        <x:v>CO</x:v>
      </x:c>
      <x:c r="I491" s="18" t="str">
        <x:v>80202</x:v>
      </x:c>
      <x:c r="J491" s="15" t="n">
        <x:v>35852.94353917824</x:v>
      </x:c>
      <x:c r="K491" t="n">
        <x:f>INT((DATE(2025,12,31)-J491)/365.25)</x:f>
        <x:v>27</x:v>
      </x:c>
      <x:c r="L491" t="str">
        <x:f>IF(K491&lt;25,"18-24",IF(K491&lt;35,"25-34",IF(K491&lt;45,"35-44",IF(K491&lt;55,"45-54","55+"))))</x:f>
        <x:v>25-34</x:v>
      </x:c>
      <x:c r="M491" s="15" t="n">
        <x:v>44386.25351475694</x:v>
      </x:c>
      <x:c r="N491" t="n">
        <x:f>(YEAR(DATE(2025,12,31))-YEAR(M491))*12+MONTH(DATE(2025,12,31))-MONTH(M491)</x:f>
        <x:v>53</x:v>
      </x:c>
      <x:c r="O491" t="str">
        <x:v>ACTIVE</x:v>
      </x:c>
      <x:c r="P491" t="str">
        <x:v>INDEPENDENT_CONTRACTOR</x:v>
      </x:c>
      <x:c r="Q491" t="str">
        <x:v>E_BIKE</x:v>
      </x:c>
      <x:c r="R491" t="str">
        <x:v>FLEXIBLE</x:v>
      </x:c>
      <x:c r="S491" t="n">
        <x:v>46</x:v>
      </x:c>
      <x:c r="T491" t="str">
        <x:v>CLEARED</x:v>
      </x:c>
      <x:c r="U491" t="str">
        <x:v>NOT_REQUIRED</x:v>
      </x:c>
      <x:c r="V491" s="16" t="n">
        <x:v>0.8955</x:v>
      </x:c>
      <x:c r="W491" t="str">
        <x:v>English</x:v>
      </x:c>
      <x:c r="X491"/>
      <x:c r="Y491" t="n">
        <x:v>10733</x:v>
      </x:c>
      <x:c r="Z491" s="17" t="n">
        <x:v>4.87</x:v>
      </x:c>
      <x:c r="AA491" s="16" t="n">
        <x:v>0.7178</x:v>
      </x:c>
      <x:c r="AB491" s="16" t="n">
        <x:v>0.8879</x:v>
      </x:c>
      <x:c r="AC491" s="16" t="n">
        <x:v>0.9564</x:v>
      </x:c>
      <x:c r="AD491" t="n">
        <x:v>0</x:v>
      </x:c>
      <x:c r="AE491" t="str">
        <x:f>IF(O491&lt;&gt;"ACTIVE","NOT_RATED",IF(AND(Z491&gt;=4.8,AB491&gt;=0.97,AC491&gt;=0.93,AD491=0),"ELITE",IF(AND(Z491&gt;=4.6,AB491&gt;=0.94,AC491&gt;=0.88),"HIGH_PERFORMER",IF(OR(Z491&lt;4.2,AB491&lt;0.85,AD491&gt;=2),"AT_RISK","STANDARD"))))</x:f>
        <x:v>STANDARD</x:v>
      </x:c>
      <x:c r="AF491" s="15" t="n">
        <x:v>46018</x:v>
      </x:c>
      <x:c r="AG491" t="str">
        <x:v>VERIFIED</x:v>
      </x:c>
      <x:c r="AH491" t="str">
        <x:v>COMPLETE</x:v>
      </x:c>
      <x:c r="AI491" t="str">
        <x:v>Robin Lee</x:v>
      </x:c>
      <x:c r="AJ491" t="str">
        <x:v>SPOUSE_PARTNER</x:v>
      </x:c>
      <x:c r="AK491" t="str">
        <x:v>+1 (303) 555-0146</x:v>
      </x:c>
    </x:row>
    <x:row r="492" ht="18" customHeight="1">
      <x:c r="A492" t="str">
        <x:v>DHR-00491</x:v>
      </x:c>
      <x:c r="B492" t="str">
        <x:v>Quinn Miller</x:v>
      </x:c>
      <x:c r="C492" t="str">
        <x:v>https://api.dicebear.com/9.x/adventurer/png?seed=DHR-00491-Quinn%20Miller&amp;size=256&amp;radius=50&amp;backgroundColor=b6e3f4,c0aede,d1d4f9,ffd5dc,ffdfbf</x:v>
      </x:c>
      <x:c r="D492" t="str">
        <x:v>quinn.miller.491@example.com</x:v>
      </x:c>
      <x:c r="E492" t="str">
        <x:v>+1 (305) 555-0190</x:v>
      </x:c>
      <x:c r="F492" t="str">
        <x:v>Miami, FL</x:v>
      </x:c>
      <x:c r="G492" t="str">
        <x:v>Miami</x:v>
      </x:c>
      <x:c r="H492" t="str">
        <x:v>FL</x:v>
      </x:c>
      <x:c r="I492" s="18" t="str">
        <x:v>33130</x:v>
      </x:c>
      <x:c r="J492" s="15" t="n">
        <x:v>26255.777383344906</x:v>
      </x:c>
      <x:c r="K492" t="n">
        <x:f>INT((DATE(2025,12,31)-J492)/365.25)</x:f>
        <x:v>54</x:v>
      </x:c>
      <x:c r="L492" t="str">
        <x:f>IF(K492&lt;25,"18-24",IF(K492&lt;35,"25-34",IF(K492&lt;45,"35-44",IF(K492&lt;55,"45-54","55+"))))</x:f>
        <x:v>45-54</x:v>
      </x:c>
      <x:c r="M492" s="15" t="n">
        <x:v>45852.83383037037</x:v>
      </x:c>
      <x:c r="N492" t="n">
        <x:f>(YEAR(DATE(2025,12,31))-YEAR(M492))*12+MONTH(DATE(2025,12,31))-MONTH(M492)</x:f>
        <x:v>5</x:v>
      </x:c>
      <x:c r="O492" t="str">
        <x:v>ACTIVE</x:v>
      </x:c>
      <x:c r="P492" t="str">
        <x:v>INDEPENDENT_CONTRACTOR</x:v>
      </x:c>
      <x:c r="Q492" t="str">
        <x:v>SCOOTER</x:v>
      </x:c>
      <x:c r="R492" t="str">
        <x:v>LUNCH</x:v>
      </x:c>
      <x:c r="S492" t="n">
        <x:v>35</x:v>
      </x:c>
      <x:c r="T492" t="str">
        <x:v>CLEARED</x:v>
      </x:c>
      <x:c r="U492" t="str">
        <x:v>VALID</x:v>
      </x:c>
      <x:c r="V492" s="16" t="n">
        <x:v>0.8613</x:v>
      </x:c>
      <x:c r="W492" t="str">
        <x:v>English</x:v>
      </x:c>
      <x:c r="X492"/>
      <x:c r="Y492" t="n">
        <x:v>902</x:v>
      </x:c>
      <x:c r="Z492" s="17" t="n">
        <x:v>4.43</x:v>
      </x:c>
      <x:c r="AA492" s="16" t="n">
        <x:v>0.7638</x:v>
      </x:c>
      <x:c r="AB492" s="16" t="n">
        <x:v>0.9675</x:v>
      </x:c>
      <x:c r="AC492" s="16" t="n">
        <x:v>0.8031</x:v>
      </x:c>
      <x:c r="AD492" t="n">
        <x:v>0</x:v>
      </x:c>
      <x:c r="AE492" t="str">
        <x:f>IF(O492&lt;&gt;"ACTIVE","NOT_RATED",IF(AND(Z492&gt;=4.8,AB492&gt;=0.97,AC492&gt;=0.93,AD492=0),"ELITE",IF(AND(Z492&gt;=4.6,AB492&gt;=0.94,AC492&gt;=0.88),"HIGH_PERFORMER",IF(OR(Z492&lt;4.2,AB492&lt;0.85,AD492&gt;=2),"AT_RISK","STANDARD"))))</x:f>
        <x:v>STANDARD</x:v>
      </x:c>
      <x:c r="AF492" s="15" t="n">
        <x:v>46019</x:v>
      </x:c>
      <x:c r="AG492" t="str">
        <x:v>VERIFIED</x:v>
      </x:c>
      <x:c r="AH492" t="str">
        <x:v>COMPLETE</x:v>
      </x:c>
      <x:c r="AI492" t="str">
        <x:v>Jesse Brown</x:v>
      </x:c>
      <x:c r="AJ492" t="str">
        <x:v>OTHER</x:v>
      </x:c>
      <x:c r="AK492" t="str">
        <x:v>+1 (305) 555-0153</x:v>
      </x:c>
    </x:row>
    <x:row r="493" ht="18" customHeight="1">
      <x:c r="A493" t="str">
        <x:v>DHR-00492</x:v>
      </x:c>
      <x:c r="B493" t="str">
        <x:v>Quinn Moore</x:v>
      </x:c>
      <x:c r="C493" t="str">
        <x:v>https://api.dicebear.com/9.x/adventurer/png?seed=DHR-00492-Quinn%20Moore&amp;size=256&amp;radius=50&amp;backgroundColor=b6e3f4,c0aede,d1d4f9,ffd5dc,ffdfbf</x:v>
      </x:c>
      <x:c r="D493" t="str">
        <x:v>quinn.moore.492@example.com</x:v>
      </x:c>
      <x:c r="E493" t="str">
        <x:v>+1 (415) 555-0191</x:v>
      </x:c>
      <x:c r="F493" t="str">
        <x:v>San Francisco, CA</x:v>
      </x:c>
      <x:c r="G493" t="str">
        <x:v>San Francisco</x:v>
      </x:c>
      <x:c r="H493" t="str">
        <x:v>CA</x:v>
      </x:c>
      <x:c r="I493" s="18" t="str">
        <x:v>94103</x:v>
      </x:c>
      <x:c r="J493" s="15" t="n">
        <x:v>26371.975410833333</x:v>
      </x:c>
      <x:c r="K493" t="n">
        <x:f>INT((DATE(2025,12,31)-J493)/365.25)</x:f>
        <x:v>53</x:v>
      </x:c>
      <x:c r="L493" t="str">
        <x:f>IF(K493&lt;25,"18-24",IF(K493&lt;35,"25-34",IF(K493&lt;45,"35-44",IF(K493&lt;55,"45-54","55+"))))</x:f>
        <x:v>45-54</x:v>
      </x:c>
      <x:c r="M493" s="15" t="n">
        <x:v>43471.28666185185</x:v>
      </x:c>
      <x:c r="N493" t="n">
        <x:f>(YEAR(DATE(2025,12,31))-YEAR(M493))*12+MONTH(DATE(2025,12,31))-MONTH(M493)</x:f>
        <x:v>83</x:v>
      </x:c>
      <x:c r="O493" t="str">
        <x:v>ACTIVE</x:v>
      </x:c>
      <x:c r="P493" t="str">
        <x:v>INDEPENDENT_CONTRACTOR</x:v>
      </x:c>
      <x:c r="Q493" t="str">
        <x:v>BICYCLE</x:v>
      </x:c>
      <x:c r="R493" t="str">
        <x:v>FLEXIBLE</x:v>
      </x:c>
      <x:c r="S493" t="n">
        <x:v>27</x:v>
      </x:c>
      <x:c r="T493" t="str">
        <x:v>CLEARED</x:v>
      </x:c>
      <x:c r="U493" t="str">
        <x:v>NOT_REQUIRED</x:v>
      </x:c>
      <x:c r="V493" s="16" t="n">
        <x:v>0.9497</x:v>
      </x:c>
      <x:c r="W493" t="str">
        <x:v>English</x:v>
      </x:c>
      <x:c r="X493"/>
      <x:c r="Y493" t="n">
        <x:v>6353</x:v>
      </x:c>
      <x:c r="Z493" s="17" t="n">
        <x:v>4.32</x:v>
      </x:c>
      <x:c r="AA493" s="16" t="n">
        <x:v>0.9703</x:v>
      </x:c>
      <x:c r="AB493" s="16" t="n">
        <x:v>0.9579</x:v>
      </x:c>
      <x:c r="AC493" s="16" t="n">
        <x:v>0.9211</x:v>
      </x:c>
      <x:c r="AD493" t="n">
        <x:v>0</x:v>
      </x:c>
      <x:c r="AE493" t="str">
        <x:f>IF(O493&lt;&gt;"ACTIVE","NOT_RATED",IF(AND(Z493&gt;=4.8,AB493&gt;=0.97,AC493&gt;=0.93,AD493=0),"ELITE",IF(AND(Z493&gt;=4.6,AB493&gt;=0.94,AC493&gt;=0.88),"HIGH_PERFORMER",IF(OR(Z493&lt;4.2,AB493&lt;0.85,AD493&gt;=2),"AT_RISK","STANDARD"))))</x:f>
        <x:v>STANDARD</x:v>
      </x:c>
      <x:c r="AF493" s="15" t="n">
        <x:v>46016</x:v>
      </x:c>
      <x:c r="AG493" t="str">
        <x:v>VERIFIED</x:v>
      </x:c>
      <x:c r="AH493" t="str">
        <x:v>COMPLETE</x:v>
      </x:c>
      <x:c r="AI493" t="str">
        <x:v>Chris Davis</x:v>
      </x:c>
      <x:c r="AJ493" t="str">
        <x:v>FRIEND</x:v>
      </x:c>
      <x:c r="AK493" t="str">
        <x:v>+1 (415) 555-0160</x:v>
      </x:c>
    </x:row>
    <x:row r="494" ht="18" customHeight="1">
      <x:c r="A494" t="str">
        <x:v>DHR-00493</x:v>
      </x:c>
      <x:c r="B494" t="str">
        <x:v>Quinn Perez</x:v>
      </x:c>
      <x:c r="C494" t="str">
        <x:v>https://api.dicebear.com/9.x/adventurer/png?seed=DHR-00493-Quinn%20Perez&amp;size=256&amp;radius=50&amp;backgroundColor=b6e3f4,c0aede,d1d4f9,ffd5dc,ffdfbf</x:v>
      </x:c>
      <x:c r="D494" t="str">
        <x:v>quinn.perez.493@example.com</x:v>
      </x:c>
      <x:c r="E494" t="str">
        <x:v>+1 (503) 555-0192</x:v>
      </x:c>
      <x:c r="F494" t="str">
        <x:v>Portland, OR</x:v>
      </x:c>
      <x:c r="G494" t="str">
        <x:v>Portland</x:v>
      </x:c>
      <x:c r="H494" t="str">
        <x:v>OR</x:v>
      </x:c>
      <x:c r="I494" s="18" t="str">
        <x:v>97205</x:v>
      </x:c>
      <x:c r="J494" s="15" t="n">
        <x:v>28958.80098048611</x:v>
      </x:c>
      <x:c r="K494" t="n">
        <x:f>INT((DATE(2025,12,31)-J494)/365.25)</x:f>
        <x:v>46</x:v>
      </x:c>
      <x:c r="L494" t="str">
        <x:f>IF(K494&lt;25,"18-24",IF(K494&lt;35,"25-34",IF(K494&lt;45,"35-44",IF(K494&lt;55,"45-54","55+"))))</x:f>
        <x:v>45-54</x:v>
      </x:c>
      <x:c r="M494" s="15" t="n">
        <x:v>45823.822994988426</x:v>
      </x:c>
      <x:c r="N494" t="n">
        <x:f>(YEAR(DATE(2025,12,31))-YEAR(M494))*12+MONTH(DATE(2025,12,31))-MONTH(M494)</x:f>
        <x:v>6</x:v>
      </x:c>
      <x:c r="O494" t="str">
        <x:v>ACTIVE</x:v>
      </x:c>
      <x:c r="P494" t="str">
        <x:v>INDEPENDENT_CONTRACTOR</x:v>
      </x:c>
      <x:c r="Q494" t="str">
        <x:v>CAR</x:v>
      </x:c>
      <x:c r="R494" t="str">
        <x:v>FLEXIBLE</x:v>
      </x:c>
      <x:c r="S494" t="n">
        <x:v>15</x:v>
      </x:c>
      <x:c r="T494" t="str">
        <x:v>CLEARED</x:v>
      </x:c>
      <x:c r="U494" t="str">
        <x:v>VALID</x:v>
      </x:c>
      <x:c r="V494" s="16" t="n">
        <x:v>0.9263</x:v>
      </x:c>
      <x:c r="W494" t="str">
        <x:v>Korean</x:v>
      </x:c>
      <x:c r="X494" t="str">
        <x:v>English</x:v>
      </x:c>
      <x:c r="Y494" t="n">
        <x:v>308</x:v>
      </x:c>
      <x:c r="Z494" s="17" t="n">
        <x:v>4.34</x:v>
      </x:c>
      <x:c r="AA494" s="16" t="n">
        <x:v>0.6372</x:v>
      </x:c>
      <x:c r="AB494" s="16" t="n">
        <x:v>0.8837</x:v>
      </x:c>
      <x:c r="AC494" s="16" t="n">
        <x:v>0.8533</x:v>
      </x:c>
      <x:c r="AD494" t="n">
        <x:v>0</x:v>
      </x:c>
      <x:c r="AE494" t="str">
        <x:f>IF(O494&lt;&gt;"ACTIVE","NOT_RATED",IF(AND(Z494&gt;=4.8,AB494&gt;=0.97,AC494&gt;=0.93,AD494=0),"ELITE",IF(AND(Z494&gt;=4.6,AB494&gt;=0.94,AC494&gt;=0.88),"HIGH_PERFORMER",IF(OR(Z494&lt;4.2,AB494&lt;0.85,AD494&gt;=2),"AT_RISK","STANDARD"))))</x:f>
        <x:v>STANDARD</x:v>
      </x:c>
      <x:c r="AF494" s="15" t="n">
        <x:v>46010</x:v>
      </x:c>
      <x:c r="AG494" t="str">
        <x:v>VERIFIED</x:v>
      </x:c>
      <x:c r="AH494" t="str">
        <x:v>COMPLETE</x:v>
      </x:c>
      <x:c r="AI494" t="str">
        <x:v>Mateo Martin</x:v>
      </x:c>
      <x:c r="AJ494" t="str">
        <x:v>PARENT</x:v>
      </x:c>
      <x:c r="AK494" t="str">
        <x:v>+1 (503) 555-0167</x:v>
      </x:c>
    </x:row>
    <x:row r="495" ht="18" customHeight="1">
      <x:c r="A495" t="str">
        <x:v>DHR-00494</x:v>
      </x:c>
      <x:c r="B495" t="str">
        <x:v>Quinn Rodriguez</x:v>
      </x:c>
      <x:c r="C495" t="str">
        <x:v>https://api.dicebear.com/9.x/adventurer/png?seed=DHR-00494-Quinn%20Rodriguez&amp;size=256&amp;radius=50&amp;backgroundColor=b6e3f4,c0aede,d1d4f9,ffd5dc,ffdfbf</x:v>
      </x:c>
      <x:c r="D495" t="str">
        <x:v>quinn.rodriguez.494@example.com</x:v>
      </x:c>
      <x:c r="E495" t="str">
        <x:v>+1 (212) 555-0193</x:v>
      </x:c>
      <x:c r="F495" t="str">
        <x:v>New York, NY</x:v>
      </x:c>
      <x:c r="G495" t="str">
        <x:v>New York</x:v>
      </x:c>
      <x:c r="H495" t="str">
        <x:v>NY</x:v>
      </x:c>
      <x:c r="I495" s="18" t="str">
        <x:v>10001</x:v>
      </x:c>
      <x:c r="J495" s="15" t="n">
        <x:v>26219.66544832176</x:v>
      </x:c>
      <x:c r="K495" t="n">
        <x:f>INT((DATE(2025,12,31)-J495)/365.25)</x:f>
        <x:v>54</x:v>
      </x:c>
      <x:c r="L495" t="str">
        <x:f>IF(K495&lt;25,"18-24",IF(K495&lt;35,"25-34",IF(K495&lt;45,"35-44",IF(K495&lt;55,"45-54","55+"))))</x:f>
        <x:v>45-54</x:v>
      </x:c>
      <x:c r="M495" s="15" t="n">
        <x:v>44451.81274123843</x:v>
      </x:c>
      <x:c r="N495" t="n">
        <x:f>(YEAR(DATE(2025,12,31))-YEAR(M495))*12+MONTH(DATE(2025,12,31))-MONTH(M495)</x:f>
        <x:v>51</x:v>
      </x:c>
      <x:c r="O495" t="str">
        <x:v>PAUSED</x:v>
      </x:c>
      <x:c r="P495" t="str">
        <x:v>INDEPENDENT_CONTRACTOR</x:v>
      </x:c>
      <x:c r="Q495" t="str">
        <x:v>CAR</x:v>
      </x:c>
      <x:c r="R495" t="str">
        <x:v>DINNER</x:v>
      </x:c>
      <x:c r="S495" t="n">
        <x:v>12</x:v>
      </x:c>
      <x:c r="T495" t="str">
        <x:v>CLEARED</x:v>
      </x:c>
      <x:c r="U495" t="str">
        <x:v>VALID</x:v>
      </x:c>
      <x:c r="V495" s="16" t="n">
        <x:v>0.9057</x:v>
      </x:c>
      <x:c r="W495" t="str">
        <x:v>English</x:v>
      </x:c>
      <x:c r="X495"/>
      <x:c r="Y495" t="n">
        <x:v>2677</x:v>
      </x:c>
      <x:c r="Z495" s="17" t="n">
        <x:v>4.96</x:v>
      </x:c>
      <x:c r="AA495" s="16" t="n">
        <x:v>0.7773</x:v>
      </x:c>
      <x:c r="AB495" s="16" t="n">
        <x:v>0.998</x:v>
      </x:c>
      <x:c r="AC495" s="16" t="n">
        <x:v>0.9482</x:v>
      </x:c>
      <x:c r="AD495" t="n">
        <x:v>0</x:v>
      </x:c>
      <x:c r="AE495" t="str">
        <x:f>IF(O495&lt;&gt;"ACTIVE","NOT_RATED",IF(AND(Z495&gt;=4.8,AB495&gt;=0.97,AC495&gt;=0.93,AD495=0),"ELITE",IF(AND(Z495&gt;=4.6,AB495&gt;=0.94,AC495&gt;=0.88),"HIGH_PERFORMER",IF(OR(Z495&lt;4.2,AB495&lt;0.85,AD495&gt;=2),"AT_RISK","STANDARD"))))</x:f>
        <x:v>NOT_RATED</x:v>
      </x:c>
      <x:c r="AF495" s="15" t="n">
        <x:v>45960</x:v>
      </x:c>
      <x:c r="AG495" t="str">
        <x:v>VERIFIED</x:v>
      </x:c>
      <x:c r="AH495" t="str">
        <x:v>COMPLETE</x:v>
      </x:c>
      <x:c r="AI495" t="str">
        <x:v>Reese Wilson</x:v>
      </x:c>
      <x:c r="AJ495" t="str">
        <x:v>PARENT</x:v>
      </x:c>
      <x:c r="AK495" t="str">
        <x:v>+1 (212) 555-0174</x:v>
      </x:c>
    </x:row>
    <x:row r="496" ht="18" customHeight="1">
      <x:c r="A496" t="str">
        <x:v>DHR-00495</x:v>
      </x:c>
      <x:c r="B496" t="str">
        <x:v>Quinn Taylor</x:v>
      </x:c>
      <x:c r="C496" t="str">
        <x:v>https://api.dicebear.com/9.x/adventurer/png?seed=DHR-00495-Quinn%20Taylor&amp;size=256&amp;radius=50&amp;backgroundColor=b6e3f4,c0aede,d1d4f9,ffd5dc,ffdfbf</x:v>
      </x:c>
      <x:c r="D496" t="str">
        <x:v>quinn.taylor.495@example.com</x:v>
      </x:c>
      <x:c r="E496" t="str">
        <x:v>+1 (512) 555-0194</x:v>
      </x:c>
      <x:c r="F496" t="str">
        <x:v>Austin, TX</x:v>
      </x:c>
      <x:c r="G496" t="str">
        <x:v>Austin</x:v>
      </x:c>
      <x:c r="H496" t="str">
        <x:v>TX</x:v>
      </x:c>
      <x:c r="I496" s="18" t="str">
        <x:v>78701</x:v>
      </x:c>
      <x:c r="J496" s="15" t="n">
        <x:v>30102.30060408565</x:v>
      </x:c>
      <x:c r="K496" t="n">
        <x:f>INT((DATE(2025,12,31)-J496)/365.25)</x:f>
        <x:v>43</x:v>
      </x:c>
      <x:c r="L496" t="str">
        <x:f>IF(K496&lt;25,"18-24",IF(K496&lt;35,"25-34",IF(K496&lt;45,"35-44",IF(K496&lt;55,"45-54","55+"))))</x:f>
        <x:v>35-44</x:v>
      </x:c>
      <x:c r="M496" s="15" t="n">
        <x:v>45701.33932590278</x:v>
      </x:c>
      <x:c r="N496" t="n">
        <x:f>(YEAR(DATE(2025,12,31))-YEAR(M496))*12+MONTH(DATE(2025,12,31))-MONTH(M496)</x:f>
        <x:v>10</x:v>
      </x:c>
      <x:c r="O496" t="str">
        <x:v>ACTIVE</x:v>
      </x:c>
      <x:c r="P496" t="str">
        <x:v>INDEPENDENT_CONTRACTOR</x:v>
      </x:c>
      <x:c r="Q496" t="str">
        <x:v>CAR</x:v>
      </x:c>
      <x:c r="R496" t="str">
        <x:v>DINNER</x:v>
      </x:c>
      <x:c r="S496" t="n">
        <x:v>40</x:v>
      </x:c>
      <x:c r="T496" t="str">
        <x:v>CLEARED</x:v>
      </x:c>
      <x:c r="U496" t="str">
        <x:v>VALID</x:v>
      </x:c>
      <x:c r="V496" s="16" t="n">
        <x:v>0.9806</x:v>
      </x:c>
      <x:c r="W496" t="str">
        <x:v>English</x:v>
      </x:c>
      <x:c r="X496" t="str">
        <x:v>Spanish</x:v>
      </x:c>
      <x:c r="Y496" t="n">
        <x:v>929</x:v>
      </x:c>
      <x:c r="Z496" s="17" t="n">
        <x:v>4.87</x:v>
      </x:c>
      <x:c r="AA496" s="16" t="n">
        <x:v>0.77</x:v>
      </x:c>
      <x:c r="AB496" s="16" t="n">
        <x:v>0.9385</x:v>
      </x:c>
      <x:c r="AC496" s="16" t="n">
        <x:v>0.8121</x:v>
      </x:c>
      <x:c r="AD496" t="n">
        <x:v>0</x:v>
      </x:c>
      <x:c r="AE496" t="str">
        <x:f>IF(O496&lt;&gt;"ACTIVE","NOT_RATED",IF(AND(Z496&gt;=4.8,AB496&gt;=0.97,AC496&gt;=0.93,AD496=0),"ELITE",IF(AND(Z496&gt;=4.6,AB496&gt;=0.94,AC496&gt;=0.88),"HIGH_PERFORMER",IF(OR(Z496&lt;4.2,AB496&lt;0.85,AD496&gt;=2),"AT_RISK","STANDARD"))))</x:f>
        <x:v>STANDARD</x:v>
      </x:c>
      <x:c r="AF496" s="15" t="n">
        <x:v>46020</x:v>
      </x:c>
      <x:c r="AG496" t="str">
        <x:v>VERIFIED</x:v>
      </x:c>
      <x:c r="AH496" t="str">
        <x:v>COMPLETE</x:v>
      </x:c>
      <x:c r="AI496" t="str">
        <x:v>Liam Taylor</x:v>
      </x:c>
      <x:c r="AJ496" t="str">
        <x:v>PARENT</x:v>
      </x:c>
      <x:c r="AK496" t="str">
        <x:v>+1 (512) 555-0181</x:v>
      </x:c>
    </x:row>
    <x:row r="497" ht="18" customHeight="1">
      <x:c r="A497" t="str">
        <x:v>DHR-00496</x:v>
      </x:c>
      <x:c r="B497" t="str">
        <x:v>Quinn Thomas</x:v>
      </x:c>
      <x:c r="C497" t="str">
        <x:v>https://api.dicebear.com/9.x/adventurer/png?seed=DHR-00496-Quinn%20Thomas&amp;size=256&amp;radius=50&amp;backgroundColor=b6e3f4,c0aede,d1d4f9,ffd5dc,ffdfbf</x:v>
      </x:c>
      <x:c r="D497" t="str">
        <x:v>quinn.thomas.496@example.com</x:v>
      </x:c>
      <x:c r="E497" t="str">
        <x:v>+1 (214) 555-0195</x:v>
      </x:c>
      <x:c r="F497" t="str">
        <x:v>Dallas, TX</x:v>
      </x:c>
      <x:c r="G497" t="str">
        <x:v>Dallas</x:v>
      </x:c>
      <x:c r="H497" t="str">
        <x:v>TX</x:v>
      </x:c>
      <x:c r="I497" s="18" t="str">
        <x:v>75201</x:v>
      </x:c>
      <x:c r="J497" s="15" t="n">
        <x:v>35560.396164641206</x:v>
      </x:c>
      <x:c r="K497" t="n">
        <x:f>INT((DATE(2025,12,31)-J497)/365.25)</x:f>
        <x:v>28</x:v>
      </x:c>
      <x:c r="L497" t="str">
        <x:f>IF(K497&lt;25,"18-24",IF(K497&lt;35,"25-34",IF(K497&lt;45,"35-44",IF(K497&lt;55,"45-54","55+"))))</x:f>
        <x:v>25-34</x:v>
      </x:c>
      <x:c r="M497" s="15" t="n">
        <x:v>44969.32421196759</x:v>
      </x:c>
      <x:c r="N497" t="n">
        <x:f>(YEAR(DATE(2025,12,31))-YEAR(M497))*12+MONTH(DATE(2025,12,31))-MONTH(M497)</x:f>
        <x:v>34</x:v>
      </x:c>
      <x:c r="O497" t="str">
        <x:v>ACTIVE</x:v>
      </x:c>
      <x:c r="P497" t="str">
        <x:v>INDEPENDENT_CONTRACTOR</x:v>
      </x:c>
      <x:c r="Q497" t="str">
        <x:v>E_BIKE</x:v>
      </x:c>
      <x:c r="R497" t="str">
        <x:v>DINNER</x:v>
      </x:c>
      <x:c r="S497" t="n">
        <x:v>38</x:v>
      </x:c>
      <x:c r="T497" t="str">
        <x:v>CLEARED</x:v>
      </x:c>
      <x:c r="U497" t="str">
        <x:v>NOT_REQUIRED</x:v>
      </x:c>
      <x:c r="V497" s="16" t="n">
        <x:v>0.933</x:v>
      </x:c>
      <x:c r="W497" t="str">
        <x:v>English</x:v>
      </x:c>
      <x:c r="X497" t="str">
        <x:v>Spanish</x:v>
      </x:c>
      <x:c r="Y497" t="n">
        <x:v>3801</x:v>
      </x:c>
      <x:c r="Z497" s="17" t="n">
        <x:v>4.3</x:v>
      </x:c>
      <x:c r="AA497" s="16" t="n">
        <x:v>0.6577</x:v>
      </x:c>
      <x:c r="AB497" s="16" t="n">
        <x:v>0.9039</x:v>
      </x:c>
      <x:c r="AC497" s="16" t="n">
        <x:v>0.9686</x:v>
      </x:c>
      <x:c r="AD497" t="n">
        <x:v>0</x:v>
      </x:c>
      <x:c r="AE497" t="str">
        <x:f>IF(O497&lt;&gt;"ACTIVE","NOT_RATED",IF(AND(Z497&gt;=4.8,AB497&gt;=0.97,AC497&gt;=0.93,AD497=0),"ELITE",IF(AND(Z497&gt;=4.6,AB497&gt;=0.94,AC497&gt;=0.88),"HIGH_PERFORMER",IF(OR(Z497&lt;4.2,AB497&lt;0.85,AD497&gt;=2),"AT_RISK","STANDARD"))))</x:f>
        <x:v>STANDARD</x:v>
      </x:c>
      <x:c r="AF497" s="15" t="n">
        <x:v>46022</x:v>
      </x:c>
      <x:c r="AG497" t="str">
        <x:v>PENDING</x:v>
      </x:c>
      <x:c r="AH497" t="str">
        <x:v>COMPLETE</x:v>
      </x:c>
      <x:c r="AI497" t="str">
        <x:v>Sofia Johnson</x:v>
      </x:c>
      <x:c r="AJ497" t="str">
        <x:v>SPOUSE_PARTNER</x:v>
      </x:c>
      <x:c r="AK497" t="str">
        <x:v>+1 (214) 555-0188</x:v>
      </x:c>
    </x:row>
    <x:row r="498" ht="18" customHeight="1">
      <x:c r="A498" t="str">
        <x:v>DHR-00497</x:v>
      </x:c>
      <x:c r="B498" t="str">
        <x:v>Quinn Thompson</x:v>
      </x:c>
      <x:c r="C498" t="str">
        <x:v>https://api.dicebear.com/9.x/adventurer/png?seed=DHR-00497-Quinn%20Thompson&amp;size=256&amp;radius=50&amp;backgroundColor=b6e3f4,c0aede,d1d4f9,ffd5dc,ffdfbf</x:v>
      </x:c>
      <x:c r="D498" t="str">
        <x:v>quinn.thompson.497@example.com</x:v>
      </x:c>
      <x:c r="E498" t="str">
        <x:v>+1 (212) 555-0196</x:v>
      </x:c>
      <x:c r="F498" t="str">
        <x:v>New York, NY</x:v>
      </x:c>
      <x:c r="G498" t="str">
        <x:v>New York</x:v>
      </x:c>
      <x:c r="H498" t="str">
        <x:v>NY</x:v>
      </x:c>
      <x:c r="I498" s="18" t="str">
        <x:v>10001</x:v>
      </x:c>
      <x:c r="J498" s="15" t="n">
        <x:v>24493.36991449074</x:v>
      </x:c>
      <x:c r="K498" t="n">
        <x:f>INT((DATE(2025,12,31)-J498)/365.25)</x:f>
        <x:v>58</x:v>
      </x:c>
      <x:c r="L498" t="str">
        <x:f>IF(K498&lt;25,"18-24",IF(K498&lt;35,"25-34",IF(K498&lt;45,"35-44",IF(K498&lt;55,"45-54","55+"))))</x:f>
        <x:v>55+</x:v>
      </x:c>
      <x:c r="M498" s="15" t="n">
        <x:v>44147.87341615741</x:v>
      </x:c>
      <x:c r="N498" t="n">
        <x:f>(YEAR(DATE(2025,12,31))-YEAR(M498))*12+MONTH(DATE(2025,12,31))-MONTH(M498)</x:f>
        <x:v>61</x:v>
      </x:c>
      <x:c r="O498" t="str">
        <x:v>ACTIVE</x:v>
      </x:c>
      <x:c r="P498" t="str">
        <x:v>INDEPENDENT_CONTRACTOR</x:v>
      </x:c>
      <x:c r="Q498" t="str">
        <x:v>BICYCLE</x:v>
      </x:c>
      <x:c r="R498" t="str">
        <x:v>DINNER</x:v>
      </x:c>
      <x:c r="S498" t="n">
        <x:v>10</x:v>
      </x:c>
      <x:c r="T498" t="str">
        <x:v>CLEARED</x:v>
      </x:c>
      <x:c r="U498" t="str">
        <x:v>NOT_REQUIRED</x:v>
      </x:c>
      <x:c r="V498" s="16" t="n">
        <x:v>0.923</x:v>
      </x:c>
      <x:c r="W498" t="str">
        <x:v>Vietnamese</x:v>
      </x:c>
      <x:c r="X498"/>
      <x:c r="Y498" t="n">
        <x:v>1640</x:v>
      </x:c>
      <x:c r="Z498" s="17" t="n">
        <x:v>4.96</x:v>
      </x:c>
      <x:c r="AA498" s="16" t="n">
        <x:v>0.7464</x:v>
      </x:c>
      <x:c r="AB498" s="16" t="n">
        <x:v>0.9565</x:v>
      </x:c>
      <x:c r="AC498" s="16" t="n">
        <x:v>0.8805</x:v>
      </x:c>
      <x:c r="AD498" t="n">
        <x:v>0</x:v>
      </x:c>
      <x:c r="AE498" t="str">
        <x:f>IF(O498&lt;&gt;"ACTIVE","NOT_RATED",IF(AND(Z498&gt;=4.8,AB498&gt;=0.97,AC498&gt;=0.93,AD498=0),"ELITE",IF(AND(Z498&gt;=4.6,AB498&gt;=0.94,AC498&gt;=0.88),"HIGH_PERFORMER",IF(OR(Z498&lt;4.2,AB498&lt;0.85,AD498&gt;=2),"AT_RISK","STANDARD"))))</x:f>
        <x:v>HIGH_PERFORMER</x:v>
      </x:c>
      <x:c r="AF498" s="15" t="n">
        <x:v>46016</x:v>
      </x:c>
      <x:c r="AG498" t="str">
        <x:v>PENDING</x:v>
      </x:c>
      <x:c r="AH498" t="str">
        <x:v>COMPLETE</x:v>
      </x:c>
      <x:c r="AI498" t="str">
        <x:v>Jamie Lewis</x:v>
      </x:c>
      <x:c r="AJ498" t="str">
        <x:v>PARENT</x:v>
      </x:c>
      <x:c r="AK498" t="str">
        <x:v>+1 (212) 555-0195</x:v>
      </x:c>
    </x:row>
    <x:row r="499" ht="18" customHeight="1">
      <x:c r="A499" t="str">
        <x:v>DHR-00498</x:v>
      </x:c>
      <x:c r="B499" t="str">
        <x:v>Quinn Walker</x:v>
      </x:c>
      <x:c r="C499" t="str">
        <x:v>https://api.dicebear.com/9.x/adventurer/png?seed=DHR-00498-Quinn%20Walker&amp;size=256&amp;radius=50&amp;backgroundColor=b6e3f4,c0aede,d1d4f9,ffd5dc,ffdfbf</x:v>
      </x:c>
      <x:c r="D499" t="str">
        <x:v>quinn.walker.498@example.com</x:v>
      </x:c>
      <x:c r="E499" t="str">
        <x:v>+1 (404) 555-0197</x:v>
      </x:c>
      <x:c r="F499" t="str">
        <x:v>Atlanta, GA</x:v>
      </x:c>
      <x:c r="G499" t="str">
        <x:v>Atlanta</x:v>
      </x:c>
      <x:c r="H499" t="str">
        <x:v>GA</x:v>
      </x:c>
      <x:c r="I499" s="18" t="str">
        <x:v>30303</x:v>
      </x:c>
      <x:c r="J499" s="15" t="n">
        <x:v>27907.43868439815</x:v>
      </x:c>
      <x:c r="K499" t="n">
        <x:f>INT((DATE(2025,12,31)-J499)/365.25)</x:f>
        <x:v>49</x:v>
      </x:c>
      <x:c r="L499" t="str">
        <x:f>IF(K499&lt;25,"18-24",IF(K499&lt;35,"25-34",IF(K499&lt;45,"35-44",IF(K499&lt;55,"45-54","55+"))))</x:f>
        <x:v>45-54</x:v>
      </x:c>
      <x:c r="M499" s="15" t="n">
        <x:v>45958.13170185185</x:v>
      </x:c>
      <x:c r="N499" t="n">
        <x:f>(YEAR(DATE(2025,12,31))-YEAR(M499))*12+MONTH(DATE(2025,12,31))-MONTH(M499)</x:f>
        <x:v>2</x:v>
      </x:c>
      <x:c r="O499" t="str">
        <x:v>ACTIVE</x:v>
      </x:c>
      <x:c r="P499" t="str">
        <x:v>INDEPENDENT_CONTRACTOR</x:v>
      </x:c>
      <x:c r="Q499" t="str">
        <x:v>CAR</x:v>
      </x:c>
      <x:c r="R499" t="str">
        <x:v>DINNER</x:v>
      </x:c>
      <x:c r="S499" t="n">
        <x:v>37</x:v>
      </x:c>
      <x:c r="T499" t="str">
        <x:v>CLEARED</x:v>
      </x:c>
      <x:c r="U499" t="str">
        <x:v>VALID</x:v>
      </x:c>
      <x:c r="V499" s="16" t="n">
        <x:v>0.7857</x:v>
      </x:c>
      <x:c r="W499" t="str">
        <x:v>English</x:v>
      </x:c>
      <x:c r="X499"/>
      <x:c r="Y499" t="n">
        <x:v>219</x:v>
      </x:c>
      <x:c r="Z499" s="17" t="n">
        <x:v>4.77</x:v>
      </x:c>
      <x:c r="AA499" s="16" t="n">
        <x:v>0.7243</x:v>
      </x:c>
      <x:c r="AB499" s="16" t="n">
        <x:v>0.872</x:v>
      </x:c>
      <x:c r="AC499" s="16" t="n">
        <x:v>0.9708</x:v>
      </x:c>
      <x:c r="AD499" t="n">
        <x:v>0</x:v>
      </x:c>
      <x:c r="AE499" t="str">
        <x:f>IF(O499&lt;&gt;"ACTIVE","NOT_RATED",IF(AND(Z499&gt;=4.8,AB499&gt;=0.97,AC499&gt;=0.93,AD499=0),"ELITE",IF(AND(Z499&gt;=4.6,AB499&gt;=0.94,AC499&gt;=0.88),"HIGH_PERFORMER",IF(OR(Z499&lt;4.2,AB499&lt;0.85,AD499&gt;=2),"AT_RISK","STANDARD"))))</x:f>
        <x:v>STANDARD</x:v>
      </x:c>
      <x:c r="AF499" s="15" t="n">
        <x:v>46012</x:v>
      </x:c>
      <x:c r="AG499" t="str">
        <x:v>VERIFIED</x:v>
      </x:c>
      <x:c r="AH499" t="str">
        <x:v>COMPLETE</x:v>
      </x:c>
      <x:c r="AI499" t="str">
        <x:v>Lucas Garcia</x:v>
      </x:c>
      <x:c r="AJ499" t="str">
        <x:v>SIBLING</x:v>
      </x:c>
      <x:c r="AK499" t="str">
        <x:v>+1 (404) 555-0102</x:v>
      </x:c>
    </x:row>
    <x:row r="500" ht="18" customHeight="1">
      <x:c r="A500" t="str">
        <x:v>DHR-00499</x:v>
      </x:c>
      <x:c r="B500" t="str">
        <x:v>Quinn White</x:v>
      </x:c>
      <x:c r="C500" t="str">
        <x:v>https://api.dicebear.com/9.x/adventurer/png?seed=DHR-00499-Quinn%20White&amp;size=256&amp;radius=50&amp;backgroundColor=b6e3f4,c0aede,d1d4f9,ffd5dc,ffdfbf</x:v>
      </x:c>
      <x:c r="D500" t="str">
        <x:v>quinn.white.499@example.com</x:v>
      </x:c>
      <x:c r="E500" t="str">
        <x:v>+1 (214) 555-0198</x:v>
      </x:c>
      <x:c r="F500" t="str">
        <x:v>Dallas, TX</x:v>
      </x:c>
      <x:c r="G500" t="str">
        <x:v>Dallas</x:v>
      </x:c>
      <x:c r="H500" t="str">
        <x:v>TX</x:v>
      </x:c>
      <x:c r="I500" s="18" t="str">
        <x:v>75201</x:v>
      </x:c>
      <x:c r="J500" s="15" t="n">
        <x:v>33458.92833340278</x:v>
      </x:c>
      <x:c r="K500" t="n">
        <x:f>INT((DATE(2025,12,31)-J500)/365.25)</x:f>
        <x:v>34</x:v>
      </x:c>
      <x:c r="L500" t="str">
        <x:f>IF(K500&lt;25,"18-24",IF(K500&lt;35,"25-34",IF(K500&lt;45,"35-44",IF(K500&lt;55,"45-54","55+"))))</x:f>
        <x:v>25-34</x:v>
      </x:c>
      <x:c r="M500" s="15" t="n">
        <x:v>45356.82412</x:v>
      </x:c>
      <x:c r="N500" t="n">
        <x:f>(YEAR(DATE(2025,12,31))-YEAR(M500))*12+MONTH(DATE(2025,12,31))-MONTH(M500)</x:f>
        <x:v>21</x:v>
      </x:c>
      <x:c r="O500" t="str">
        <x:v>ACTIVE</x:v>
      </x:c>
      <x:c r="P500" t="str">
        <x:v>INDEPENDENT_CONTRACTOR</x:v>
      </x:c>
      <x:c r="Q500" t="str">
        <x:v>BICYCLE</x:v>
      </x:c>
      <x:c r="R500" t="str">
        <x:v>DINNER</x:v>
      </x:c>
      <x:c r="S500" t="n">
        <x:v>28</x:v>
      </x:c>
      <x:c r="T500" t="str">
        <x:v>CLEARED</x:v>
      </x:c>
      <x:c r="U500" t="str">
        <x:v>NOT_REQUIRED</x:v>
      </x:c>
      <x:c r="V500" s="16" t="n">
        <x:v>0.78</x:v>
      </x:c>
      <x:c r="W500" t="str">
        <x:v>English</x:v>
      </x:c>
      <x:c r="X500" t="str">
        <x:v>Mandarin</x:v>
      </x:c>
      <x:c r="Y500" t="n">
        <x:v>1723</x:v>
      </x:c>
      <x:c r="Z500" s="17" t="n">
        <x:v>4.64</x:v>
      </x:c>
      <x:c r="AA500" s="16" t="n">
        <x:v>0.8211</x:v>
      </x:c>
      <x:c r="AB500" s="16" t="n">
        <x:v>0.8969</x:v>
      </x:c>
      <x:c r="AC500" s="16" t="n">
        <x:v>0.9488</x:v>
      </x:c>
      <x:c r="AD500" t="n">
        <x:v>0</x:v>
      </x:c>
      <x:c r="AE500" t="str">
        <x:f>IF(O500&lt;&gt;"ACTIVE","NOT_RATED",IF(AND(Z500&gt;=4.8,AB500&gt;=0.97,AC500&gt;=0.93,AD500=0),"ELITE",IF(AND(Z500&gt;=4.6,AB500&gt;=0.94,AC500&gt;=0.88),"HIGH_PERFORMER",IF(OR(Z500&lt;4.2,AB500&lt;0.85,AD500&gt;=2),"AT_RISK","STANDARD"))))</x:f>
        <x:v>STANDARD</x:v>
      </x:c>
      <x:c r="AF500" s="15" t="n">
        <x:v>46020</x:v>
      </x:c>
      <x:c r="AG500" t="str">
        <x:v>VERIFIED</x:v>
      </x:c>
      <x:c r="AH500" t="str">
        <x:v>COMPLETE</x:v>
      </x:c>
      <x:c r="AI500" t="str">
        <x:v>Alex Taylor</x:v>
      </x:c>
      <x:c r="AJ500" t="str">
        <x:v>PARENT</x:v>
      </x:c>
      <x:c r="AK500" t="str">
        <x:v>+1 (214) 555-0109</x:v>
      </x:c>
    </x:row>
    <x:row r="501" ht="18" customHeight="1">
      <x:c r="A501" t="str">
        <x:v>DHR-00500</x:v>
      </x:c>
      <x:c r="B501" t="str">
        <x:v>Quinn Williams</x:v>
      </x:c>
      <x:c r="C501" t="str">
        <x:v>https://api.dicebear.com/9.x/adventurer/png?seed=DHR-00500-Quinn%20Williams&amp;size=256&amp;radius=50&amp;backgroundColor=b6e3f4,c0aede,d1d4f9,ffd5dc,ffdfbf</x:v>
      </x:c>
      <x:c r="D501" t="str">
        <x:v>quinn.williams.500@example.com</x:v>
      </x:c>
      <x:c r="E501" t="str">
        <x:v>+1 (713) 555-0199</x:v>
      </x:c>
      <x:c r="F501" t="str">
        <x:v>Houston, TX</x:v>
      </x:c>
      <x:c r="G501" t="str">
        <x:v>Houston</x:v>
      </x:c>
      <x:c r="H501" t="str">
        <x:v>TX</x:v>
      </x:c>
      <x:c r="I501" s="18" t="str">
        <x:v>77002</x:v>
      </x:c>
      <x:c r="J501" s="15" t="n">
        <x:v>25459.237232233798</x:v>
      </x:c>
      <x:c r="K501" t="n">
        <x:f>INT((DATE(2025,12,31)-J501)/365.25)</x:f>
        <x:v>56</x:v>
      </x:c>
      <x:c r="L501" t="str">
        <x:f>IF(K501&lt;25,"18-24",IF(K501&lt;35,"25-34",IF(K501&lt;45,"35-44",IF(K501&lt;55,"45-54","55+"))))</x:f>
        <x:v>55+</x:v>
      </x:c>
      <x:c r="M501" s="15" t="n">
        <x:v>44634.3259346412</x:v>
      </x:c>
      <x:c r="N501" t="n">
        <x:f>(YEAR(DATE(2025,12,31))-YEAR(M501))*12+MONTH(DATE(2025,12,31))-MONTH(M501)</x:f>
        <x:v>45</x:v>
      </x:c>
      <x:c r="O501" t="str">
        <x:v>ACTIVE</x:v>
      </x:c>
      <x:c r="P501" t="str">
        <x:v>INDEPENDENT_CONTRACTOR</x:v>
      </x:c>
      <x:c r="Q501" t="str">
        <x:v>CAR</x:v>
      </x:c>
      <x:c r="R501" t="str">
        <x:v>FLEXIBLE</x:v>
      </x:c>
      <x:c r="S501" t="n">
        <x:v>23</x:v>
      </x:c>
      <x:c r="T501" t="str">
        <x:v>CLEARED</x:v>
      </x:c>
      <x:c r="U501" t="str">
        <x:v>VALID</x:v>
      </x:c>
      <x:c r="V501" s="16" t="n">
        <x:v>0.8846</x:v>
      </x:c>
      <x:c r="W501" t="str">
        <x:v>English</x:v>
      </x:c>
      <x:c r="X501"/>
      <x:c r="Y501" t="n">
        <x:v>2141</x:v>
      </x:c>
      <x:c r="Z501" s="17" t="n">
        <x:v>4.3</x:v>
      </x:c>
      <x:c r="AA501" s="16" t="n">
        <x:v>0.9167</x:v>
      </x:c>
      <x:c r="AB501" s="16" t="n">
        <x:v>0.8869</x:v>
      </x:c>
      <x:c r="AC501" s="16" t="n">
        <x:v>0.9845</x:v>
      </x:c>
      <x:c r="AD501" t="n">
        <x:v>0</x:v>
      </x:c>
      <x:c r="AE501" t="str">
        <x:f>IF(O501&lt;&gt;"ACTIVE","NOT_RATED",IF(AND(Z501&gt;=4.8,AB501&gt;=0.97,AC501&gt;=0.93,AD501=0),"ELITE",IF(AND(Z501&gt;=4.6,AB501&gt;=0.94,AC501&gt;=0.88),"HIGH_PERFORMER",IF(OR(Z501&lt;4.2,AB501&lt;0.85,AD501&gt;=2),"AT_RISK","STANDARD"))))</x:f>
        <x:v>STANDARD</x:v>
      </x:c>
      <x:c r="AF501" s="15" t="n">
        <x:v>46021</x:v>
      </x:c>
      <x:c r="AG501" t="str">
        <x:v>VERIFIED</x:v>
      </x:c>
      <x:c r="AH501" t="str">
        <x:v>COMPLETE</x:v>
      </x:c>
      <x:c r="AI501" t="str">
        <x:v>Casey Rodriguez</x:v>
      </x:c>
      <x:c r="AJ501" t="str">
        <x:v>PARENT</x:v>
      </x:c>
      <x:c r="AK501" t="str">
        <x:v>+1 (713) 555-0116</x:v>
      </x:c>
    </x:row>
    <x:row r="502" ht="18" customHeight="1">
      <x:c r="A502" t="str">
        <x:v>DHR-00501</x:v>
      </x:c>
      <x:c r="B502" t="str">
        <x:v>Quinn Wilson</x:v>
      </x:c>
      <x:c r="C502" t="str">
        <x:v>https://api.dicebear.com/9.x/adventurer/png?seed=DHR-00501-Quinn%20Wilson&amp;size=256&amp;radius=50&amp;backgroundColor=b6e3f4,c0aede,d1d4f9,ffd5dc,ffdfbf</x:v>
      </x:c>
      <x:c r="D502" t="str">
        <x:v>quinn.wilson.501@example.com</x:v>
      </x:c>
      <x:c r="E502" t="str">
        <x:v>+1 (212) 555-0100</x:v>
      </x:c>
      <x:c r="F502" t="str">
        <x:v>New York, NY</x:v>
      </x:c>
      <x:c r="G502" t="str">
        <x:v>New York</x:v>
      </x:c>
      <x:c r="H502" t="str">
        <x:v>NY</x:v>
      </x:c>
      <x:c r="I502" s="18" t="str">
        <x:v>10001</x:v>
      </x:c>
      <x:c r="J502" s="15" t="n">
        <x:v>38434.44822056713</x:v>
      </x:c>
      <x:c r="K502" t="n">
        <x:f>INT((DATE(2025,12,31)-J502)/365.25)</x:f>
        <x:v>20</x:v>
      </x:c>
      <x:c r="L502" t="str">
        <x:f>IF(K502&lt;25,"18-24",IF(K502&lt;35,"25-34",IF(K502&lt;45,"35-44",IF(K502&lt;55,"45-54","55+"))))</x:f>
        <x:v>18-24</x:v>
      </x:c>
      <x:c r="M502" s="15" t="n">
        <x:v>45445.642102453705</x:v>
      </x:c>
      <x:c r="N502" t="n">
        <x:f>(YEAR(DATE(2025,12,31))-YEAR(M502))*12+MONTH(DATE(2025,12,31))-MONTH(M502)</x:f>
        <x:v>18</x:v>
      </x:c>
      <x:c r="O502" t="str">
        <x:v>ACTIVE</x:v>
      </x:c>
      <x:c r="P502" t="str">
        <x:v>INDEPENDENT_CONTRACTOR</x:v>
      </x:c>
      <x:c r="Q502" t="str">
        <x:v>CAR</x:v>
      </x:c>
      <x:c r="R502" t="str">
        <x:v>FLEXIBLE</x:v>
      </x:c>
      <x:c r="S502" t="n">
        <x:v>38</x:v>
      </x:c>
      <x:c r="T502" t="str">
        <x:v>CLEARED</x:v>
      </x:c>
      <x:c r="U502" t="str">
        <x:v>SUSPENDED</x:v>
      </x:c>
      <x:c r="V502" s="16" t="n">
        <x:v>0.7858</x:v>
      </x:c>
      <x:c r="W502" t="str">
        <x:v>English</x:v>
      </x:c>
      <x:c r="X502" t="str">
        <x:v>French</x:v>
      </x:c>
      <x:c r="Y502" t="n">
        <x:v>3032</x:v>
      </x:c>
      <x:c r="Z502" s="17" t="n">
        <x:v>4.82</x:v>
      </x:c>
      <x:c r="AA502" s="16" t="n">
        <x:v>0.6812</x:v>
      </x:c>
      <x:c r="AB502" s="16" t="n">
        <x:v>0.8952</x:v>
      </x:c>
      <x:c r="AC502" s="16" t="n">
        <x:v>0.8361</x:v>
      </x:c>
      <x:c r="AD502" t="n">
        <x:v>0</x:v>
      </x:c>
      <x:c r="AE502" t="str">
        <x:f>IF(O502&lt;&gt;"ACTIVE","NOT_RATED",IF(AND(Z502&gt;=4.8,AB502&gt;=0.97,AC502&gt;=0.93,AD502=0),"ELITE",IF(AND(Z502&gt;=4.6,AB502&gt;=0.94,AC502&gt;=0.88),"HIGH_PERFORMER",IF(OR(Z502&lt;4.2,AB502&lt;0.85,AD502&gt;=2),"AT_RISK","STANDARD"))))</x:f>
        <x:v>STANDARD</x:v>
      </x:c>
      <x:c r="AF502" s="15" t="n">
        <x:v>46020</x:v>
      </x:c>
      <x:c r="AG502" t="str">
        <x:v>VERIFIED</x:v>
      </x:c>
      <x:c r="AH502" t="str">
        <x:v>COMPLETE</x:v>
      </x:c>
      <x:c r="AI502" t="str">
        <x:v>Sofia Williams</x:v>
      </x:c>
      <x:c r="AJ502" t="str">
        <x:v>SIBLING</x:v>
      </x:c>
      <x:c r="AK502" t="str">
        <x:v>+1 (212) 555-0123</x:v>
      </x:c>
    </x:row>
    <x:row r="503" ht="18" customHeight="1">
      <x:c r="A503" t="str">
        <x:v>DHR-00502</x:v>
      </x:c>
      <x:c r="B503" t="str">
        <x:v>Quinn Young</x:v>
      </x:c>
      <x:c r="C503" t="str">
        <x:v>https://api.dicebear.com/9.x/adventurer/png?seed=DHR-00502-Quinn%20Young&amp;size=256&amp;radius=50&amp;backgroundColor=b6e3f4,c0aede,d1d4f9,ffd5dc,ffdfbf</x:v>
      </x:c>
      <x:c r="D503" t="str">
        <x:v>quinn.young.502@example.com</x:v>
      </x:c>
      <x:c r="E503" t="str">
        <x:v>+1 (312) 555-0101</x:v>
      </x:c>
      <x:c r="F503" t="str">
        <x:v>Chicago, IL</x:v>
      </x:c>
      <x:c r="G503" t="str">
        <x:v>Chicago</x:v>
      </x:c>
      <x:c r="H503" t="str">
        <x:v>IL</x:v>
      </x:c>
      <x:c r="I503" s="18" t="str">
        <x:v>60601</x:v>
      </x:c>
      <x:c r="J503" s="15" t="n">
        <x:v>30424.719157685184</x:v>
      </x:c>
      <x:c r="K503" t="n">
        <x:f>INT((DATE(2025,12,31)-J503)/365.25)</x:f>
        <x:v>42</x:v>
      </x:c>
      <x:c r="L503" t="str">
        <x:f>IF(K503&lt;25,"18-24",IF(K503&lt;35,"25-34",IF(K503&lt;45,"35-44",IF(K503&lt;55,"45-54","55+"))))</x:f>
        <x:v>35-44</x:v>
      </x:c>
      <x:c r="M503" s="15" t="n">
        <x:v>45378.435877731485</x:v>
      </x:c>
      <x:c r="N503" t="n">
        <x:f>(YEAR(DATE(2025,12,31))-YEAR(M503))*12+MONTH(DATE(2025,12,31))-MONTH(M503)</x:f>
        <x:v>21</x:v>
      </x:c>
      <x:c r="O503" t="str">
        <x:v>ACTIVE</x:v>
      </x:c>
      <x:c r="P503" t="str">
        <x:v>INDEPENDENT_CONTRACTOR</x:v>
      </x:c>
      <x:c r="Q503" t="str">
        <x:v>CAR</x:v>
      </x:c>
      <x:c r="R503" t="str">
        <x:v>WEEKENDS</x:v>
      </x:c>
      <x:c r="S503" t="n">
        <x:v>43</x:v>
      </x:c>
      <x:c r="T503" t="str">
        <x:v>CLEARED</x:v>
      </x:c>
      <x:c r="U503" t="str">
        <x:v>VALID</x:v>
      </x:c>
      <x:c r="V503" s="16" t="n">
        <x:v>0.8615</x:v>
      </x:c>
      <x:c r="W503" t="str">
        <x:v>English</x:v>
      </x:c>
      <x:c r="X503"/>
      <x:c r="Y503" t="n">
        <x:v>3414</x:v>
      </x:c>
      <x:c r="Z503" s="17" t="n">
        <x:v>4.34</x:v>
      </x:c>
      <x:c r="AA503" s="16" t="n">
        <x:v>0.776</x:v>
      </x:c>
      <x:c r="AB503" s="16" t="n">
        <x:v>0.8777</x:v>
      </x:c>
      <x:c r="AC503" s="16" t="n">
        <x:v>0.9063</x:v>
      </x:c>
      <x:c r="AD503" t="n">
        <x:v>0</x:v>
      </x:c>
      <x:c r="AE503" t="str">
        <x:f>IF(O503&lt;&gt;"ACTIVE","NOT_RATED",IF(AND(Z503&gt;=4.8,AB503&gt;=0.97,AC503&gt;=0.93,AD503=0),"ELITE",IF(AND(Z503&gt;=4.6,AB503&gt;=0.94,AC503&gt;=0.88),"HIGH_PERFORMER",IF(OR(Z503&lt;4.2,AB503&lt;0.85,AD503&gt;=2),"AT_RISK","STANDARD"))))</x:f>
        <x:v>STANDARD</x:v>
      </x:c>
      <x:c r="AF503" s="15" t="n">
        <x:v>46021</x:v>
      </x:c>
      <x:c r="AG503" t="str">
        <x:v>VERIFIED</x:v>
      </x:c>
      <x:c r="AH503" t="str">
        <x:v>COMPLETE</x:v>
      </x:c>
      <x:c r="AI503" t="str">
        <x:v>Skyler Garcia</x:v>
      </x:c>
      <x:c r="AJ503" t="str">
        <x:v>SPOUSE_PARTNER</x:v>
      </x:c>
      <x:c r="AK503" t="str">
        <x:v>+1 (312) 555-0130</x:v>
      </x:c>
    </x:row>
    <x:row r="504" ht="18" customHeight="1">
      <x:c r="A504" t="str">
        <x:v>DHR-00503</x:v>
      </x:c>
      <x:c r="B504" t="str">
        <x:v>Reese Anderson</x:v>
      </x:c>
      <x:c r="C504" t="str">
        <x:v>https://api.dicebear.com/9.x/adventurer/png?seed=DHR-00503-Reese%20Anderson&amp;size=256&amp;radius=50&amp;backgroundColor=b6e3f4,c0aede,d1d4f9,ffd5dc,ffdfbf</x:v>
      </x:c>
      <x:c r="D504" t="str">
        <x:v>reese.anderson.503@example.com</x:v>
      </x:c>
      <x:c r="E504" t="str">
        <x:v>+1 (214) 555-0102</x:v>
      </x:c>
      <x:c r="F504" t="str">
        <x:v>Dallas, TX</x:v>
      </x:c>
      <x:c r="G504" t="str">
        <x:v>Dallas</x:v>
      </x:c>
      <x:c r="H504" t="str">
        <x:v>TX</x:v>
      </x:c>
      <x:c r="I504" s="18" t="str">
        <x:v>75201</x:v>
      </x:c>
      <x:c r="J504" s="15" t="n">
        <x:v>32486.900589050925</x:v>
      </x:c>
      <x:c r="K504" t="n">
        <x:f>INT((DATE(2025,12,31)-J504)/365.25)</x:f>
        <x:v>37</x:v>
      </x:c>
      <x:c r="L504" t="str">
        <x:f>IF(K504&lt;25,"18-24",IF(K504&lt;35,"25-34",IF(K504&lt;45,"35-44",IF(K504&lt;55,"45-54","55+"))))</x:f>
        <x:v>35-44</x:v>
      </x:c>
      <x:c r="M504" s="15" t="n">
        <x:v>45736.28580834491</x:v>
      </x:c>
      <x:c r="N504" t="n">
        <x:f>(YEAR(DATE(2025,12,31))-YEAR(M504))*12+MONTH(DATE(2025,12,31))-MONTH(M504)</x:f>
        <x:v>9</x:v>
      </x:c>
      <x:c r="O504" t="str">
        <x:v>ACTIVE</x:v>
      </x:c>
      <x:c r="P504" t="str">
        <x:v>INDEPENDENT_CONTRACTOR</x:v>
      </x:c>
      <x:c r="Q504" t="str">
        <x:v>CAR</x:v>
      </x:c>
      <x:c r="R504" t="str">
        <x:v>FLEXIBLE</x:v>
      </x:c>
      <x:c r="S504" t="n">
        <x:v>22</x:v>
      </x:c>
      <x:c r="T504" t="str">
        <x:v>CLEARED</x:v>
      </x:c>
      <x:c r="U504" t="str">
        <x:v>VALID</x:v>
      </x:c>
      <x:c r="V504" s="16" t="n">
        <x:v>0.9816</x:v>
      </x:c>
      <x:c r="W504" t="str">
        <x:v>French</x:v>
      </x:c>
      <x:c r="X504"/>
      <x:c r="Y504" t="n">
        <x:v>461</x:v>
      </x:c>
      <x:c r="Z504" s="17" t="n">
        <x:v>4.17</x:v>
      </x:c>
      <x:c r="AA504" s="16" t="n">
        <x:v>0.6495</x:v>
      </x:c>
      <x:c r="AB504" s="16" t="n">
        <x:v>0.8738</x:v>
      </x:c>
      <x:c r="AC504" s="16" t="n">
        <x:v>0.9111</x:v>
      </x:c>
      <x:c r="AD504" t="n">
        <x:v>0</x:v>
      </x:c>
      <x:c r="AE504" t="str">
        <x:f>IF(O504&lt;&gt;"ACTIVE","NOT_RATED",IF(AND(Z504&gt;=4.8,AB504&gt;=0.97,AC504&gt;=0.93,AD504=0),"ELITE",IF(AND(Z504&gt;=4.6,AB504&gt;=0.94,AC504&gt;=0.88),"HIGH_PERFORMER",IF(OR(Z504&lt;4.2,AB504&lt;0.85,AD504&gt;=2),"AT_RISK","STANDARD"))))</x:f>
        <x:v>AT_RISK</x:v>
      </x:c>
      <x:c r="AF504" s="15" t="n">
        <x:v>46013</x:v>
      </x:c>
      <x:c r="AG504" t="str">
        <x:v>VERIFIED</x:v>
      </x:c>
      <x:c r="AH504" t="str">
        <x:v>COMPLETE</x:v>
      </x:c>
      <x:c r="AI504" t="str">
        <x:v>Ethan Clark</x:v>
      </x:c>
      <x:c r="AJ504" t="str">
        <x:v>FRIEND</x:v>
      </x:c>
      <x:c r="AK504" t="str">
        <x:v>+1 (214) 555-0137</x:v>
      </x:c>
    </x:row>
    <x:row r="505" ht="18" customHeight="1">
      <x:c r="A505" t="str">
        <x:v>DHR-00504</x:v>
      </x:c>
      <x:c r="B505" t="str">
        <x:v>Reese Brown</x:v>
      </x:c>
      <x:c r="C505" t="str">
        <x:v>https://api.dicebear.com/9.x/adventurer/png?seed=DHR-00504-Reese%20Brown&amp;size=256&amp;radius=50&amp;backgroundColor=b6e3f4,c0aede,d1d4f9,ffd5dc,ffdfbf</x:v>
      </x:c>
      <x:c r="D505" t="str">
        <x:v>reese.brown.504@example.com</x:v>
      </x:c>
      <x:c r="E505" t="str">
        <x:v>+1 (702) 555-0103</x:v>
      </x:c>
      <x:c r="F505" t="str">
        <x:v>Las Vegas, NV</x:v>
      </x:c>
      <x:c r="G505" t="str">
        <x:v>Las Vegas</x:v>
      </x:c>
      <x:c r="H505" t="str">
        <x:v>NV</x:v>
      </x:c>
      <x:c r="I505" s="18" t="str">
        <x:v>89101</x:v>
      </x:c>
      <x:c r="J505" s="15" t="n">
        <x:v>36362.58086086805</x:v>
      </x:c>
      <x:c r="K505" t="n">
        <x:f>INT((DATE(2025,12,31)-J505)/365.25)</x:f>
        <x:v>26</x:v>
      </x:c>
      <x:c r="L505" t="str">
        <x:f>IF(K505&lt;25,"18-24",IF(K505&lt;35,"25-34",IF(K505&lt;45,"35-44",IF(K505&lt;55,"45-54","55+"))))</x:f>
        <x:v>25-34</x:v>
      </x:c>
      <x:c r="M505" s="15" t="n">
        <x:v>43577.657504236115</x:v>
      </x:c>
      <x:c r="N505" t="n">
        <x:f>(YEAR(DATE(2025,12,31))-YEAR(M505))*12+MONTH(DATE(2025,12,31))-MONTH(M505)</x:f>
        <x:v>80</x:v>
      </x:c>
      <x:c r="O505" t="str">
        <x:v>ACTIVE</x:v>
      </x:c>
      <x:c r="P505" t="str">
        <x:v>INDEPENDENT_CONTRACTOR</x:v>
      </x:c>
      <x:c r="Q505" t="str">
        <x:v>CAR</x:v>
      </x:c>
      <x:c r="R505" t="str">
        <x:v>DINNER</x:v>
      </x:c>
      <x:c r="S505" t="n">
        <x:v>32</x:v>
      </x:c>
      <x:c r="T505" t="str">
        <x:v>CLEARED</x:v>
      </x:c>
      <x:c r="U505" t="str">
        <x:v>VALID</x:v>
      </x:c>
      <x:c r="V505" s="16" t="n">
        <x:v>0.9811</x:v>
      </x:c>
      <x:c r="W505" t="str">
        <x:v>English</x:v>
      </x:c>
      <x:c r="X505"/>
      <x:c r="Y505" t="n">
        <x:v>7813</x:v>
      </x:c>
      <x:c r="Z505" s="17" t="n">
        <x:v>4.62</x:v>
      </x:c>
      <x:c r="AA505" s="16" t="n">
        <x:v>0.9002</x:v>
      </x:c>
      <x:c r="AB505" s="16" t="n">
        <x:v>0.9854</x:v>
      </x:c>
      <x:c r="AC505" s="16" t="n">
        <x:v>0.9945</x:v>
      </x:c>
      <x:c r="AD505" t="n">
        <x:v>0</x:v>
      </x:c>
      <x:c r="AE505" t="str">
        <x:f>IF(O505&lt;&gt;"ACTIVE","NOT_RATED",IF(AND(Z505&gt;=4.8,AB505&gt;=0.97,AC505&gt;=0.93,AD505=0),"ELITE",IF(AND(Z505&gt;=4.6,AB505&gt;=0.94,AC505&gt;=0.88),"HIGH_PERFORMER",IF(OR(Z505&lt;4.2,AB505&lt;0.85,AD505&gt;=2),"AT_RISK","STANDARD"))))</x:f>
        <x:v>HIGH_PERFORMER</x:v>
      </x:c>
      <x:c r="AF505" s="15" t="n">
        <x:v>46009</x:v>
      </x:c>
      <x:c r="AG505" t="str">
        <x:v>VERIFIED</x:v>
      </x:c>
      <x:c r="AH505" t="str">
        <x:v>COMPLETE</x:v>
      </x:c>
      <x:c r="AI505" t="str">
        <x:v>Liam Clark</x:v>
      </x:c>
      <x:c r="AJ505" t="str">
        <x:v>PARENT</x:v>
      </x:c>
      <x:c r="AK505" t="str">
        <x:v>+1 (702) 555-0144</x:v>
      </x:c>
    </x:row>
    <x:row r="506" ht="18" customHeight="1">
      <x:c r="A506" t="str">
        <x:v>DHR-00505</x:v>
      </x:c>
      <x:c r="B506" t="str">
        <x:v>Reese Clark</x:v>
      </x:c>
      <x:c r="C506" t="str">
        <x:v>https://api.dicebear.com/9.x/adventurer/png?seed=DHR-00505-Reese%20Clark&amp;size=256&amp;radius=50&amp;backgroundColor=b6e3f4,c0aede,d1d4f9,ffd5dc,ffdfbf</x:v>
      </x:c>
      <x:c r="D506" t="str">
        <x:v>reese.clark.505@example.com</x:v>
      </x:c>
      <x:c r="E506" t="str">
        <x:v>+1 (904) 555-0104</x:v>
      </x:c>
      <x:c r="F506" t="str">
        <x:v>Jacksonville, FL</x:v>
      </x:c>
      <x:c r="G506" t="str">
        <x:v>Jacksonville</x:v>
      </x:c>
      <x:c r="H506" t="str">
        <x:v>FL</x:v>
      </x:c>
      <x:c r="I506" s="18" t="str">
        <x:v>32202</x:v>
      </x:c>
      <x:c r="J506" s="15" t="n">
        <x:v>30988.870211365742</x:v>
      </x:c>
      <x:c r="K506" t="n">
        <x:f>INT((DATE(2025,12,31)-J506)/365.25)</x:f>
        <x:v>41</x:v>
      </x:c>
      <x:c r="L506" t="str">
        <x:f>IF(K506&lt;25,"18-24",IF(K506&lt;35,"25-34",IF(K506&lt;45,"35-44",IF(K506&lt;55,"45-54","55+"))))</x:f>
        <x:v>35-44</x:v>
      </x:c>
      <x:c r="M506" s="15" t="n">
        <x:v>45328.74919960648</x:v>
      </x:c>
      <x:c r="N506" t="n">
        <x:f>(YEAR(DATE(2025,12,31))-YEAR(M506))*12+MONTH(DATE(2025,12,31))-MONTH(M506)</x:f>
        <x:v>22</x:v>
      </x:c>
      <x:c r="O506" t="str">
        <x:v>ACTIVE</x:v>
      </x:c>
      <x:c r="P506" t="str">
        <x:v>INDEPENDENT_CONTRACTOR</x:v>
      </x:c>
      <x:c r="Q506" t="str">
        <x:v>CAR</x:v>
      </x:c>
      <x:c r="R506" t="str">
        <x:v>LUNCH</x:v>
      </x:c>
      <x:c r="S506" t="n">
        <x:v>45</x:v>
      </x:c>
      <x:c r="T506" t="str">
        <x:v>CLEARED</x:v>
      </x:c>
      <x:c r="U506" t="str">
        <x:v>VALID</x:v>
      </x:c>
      <x:c r="V506" s="16" t="n">
        <x:v>0.8142</x:v>
      </x:c>
      <x:c r="W506" t="str">
        <x:v>English</x:v>
      </x:c>
      <x:c r="X506" t="str">
        <x:v>Arabic</x:v>
      </x:c>
      <x:c r="Y506" t="n">
        <x:v>4417</x:v>
      </x:c>
      <x:c r="Z506" s="17" t="n">
        <x:v>4.33</x:v>
      </x:c>
      <x:c r="AA506" s="16" t="n">
        <x:v>0.6122</x:v>
      </x:c>
      <x:c r="AB506" s="16" t="n">
        <x:v>0.9395</x:v>
      </x:c>
      <x:c r="AC506" s="16" t="n">
        <x:v>0.896</x:v>
      </x:c>
      <x:c r="AD506" t="n">
        <x:v>0</x:v>
      </x:c>
      <x:c r="AE506" t="str">
        <x:f>IF(O506&lt;&gt;"ACTIVE","NOT_RATED",IF(AND(Z506&gt;=4.8,AB506&gt;=0.97,AC506&gt;=0.93,AD506=0),"ELITE",IF(AND(Z506&gt;=4.6,AB506&gt;=0.94,AC506&gt;=0.88),"HIGH_PERFORMER",IF(OR(Z506&lt;4.2,AB506&lt;0.85,AD506&gt;=2),"AT_RISK","STANDARD"))))</x:f>
        <x:v>STANDARD</x:v>
      </x:c>
      <x:c r="AF506" s="15" t="n">
        <x:v>46022</x:v>
      </x:c>
      <x:c r="AG506" t="str">
        <x:v>VERIFIED</x:v>
      </x:c>
      <x:c r="AH506" t="str">
        <x:v>COMPLETE</x:v>
      </x:c>
      <x:c r="AI506" t="str">
        <x:v>Chris Wilson</x:v>
      </x:c>
      <x:c r="AJ506" t="str">
        <x:v>SPOUSE_PARTNER</x:v>
      </x:c>
      <x:c r="AK506" t="str">
        <x:v>+1 (904) 555-0151</x:v>
      </x:c>
    </x:row>
    <x:row r="507" ht="18" customHeight="1">
      <x:c r="A507" t="str">
        <x:v>DHR-00506</x:v>
      </x:c>
      <x:c r="B507" t="str">
        <x:v>Reese Davis</x:v>
      </x:c>
      <x:c r="C507" t="str">
        <x:v>https://api.dicebear.com/9.x/adventurer/png?seed=DHR-00506-Reese%20Davis&amp;size=256&amp;radius=50&amp;backgroundColor=b6e3f4,c0aede,d1d4f9,ffd5dc,ffdfbf</x:v>
      </x:c>
      <x:c r="D507" t="str">
        <x:v>reese.davis.506@example.com</x:v>
      </x:c>
      <x:c r="E507" t="str">
        <x:v>+1 (512) 555-0105</x:v>
      </x:c>
      <x:c r="F507" t="str">
        <x:v>Austin, TX</x:v>
      </x:c>
      <x:c r="G507" t="str">
        <x:v>Austin</x:v>
      </x:c>
      <x:c r="H507" t="str">
        <x:v>TX</x:v>
      </x:c>
      <x:c r="I507" s="18" t="str">
        <x:v>78701</x:v>
      </x:c>
      <x:c r="J507" s="15" t="n">
        <x:v>28098.645407824075</x:v>
      </x:c>
      <x:c r="K507" t="n">
        <x:f>INT((DATE(2025,12,31)-J507)/365.25)</x:f>
        <x:v>49</x:v>
      </x:c>
      <x:c r="L507" t="str">
        <x:f>IF(K507&lt;25,"18-24",IF(K507&lt;35,"25-34",IF(K507&lt;45,"35-44",IF(K507&lt;55,"45-54","55+"))))</x:f>
        <x:v>45-54</x:v>
      </x:c>
      <x:c r="M507" s="15" t="n">
        <x:v>45505.39804849537</x:v>
      </x:c>
      <x:c r="N507" t="n">
        <x:f>(YEAR(DATE(2025,12,31))-YEAR(M507))*12+MONTH(DATE(2025,12,31))-MONTH(M507)</x:f>
        <x:v>16</x:v>
      </x:c>
      <x:c r="O507" t="str">
        <x:v>ACTIVE</x:v>
      </x:c>
      <x:c r="P507" t="str">
        <x:v>INDEPENDENT_CONTRACTOR</x:v>
      </x:c>
      <x:c r="Q507" t="str">
        <x:v>CAR</x:v>
      </x:c>
      <x:c r="R507" t="str">
        <x:v>WEEKENDS</x:v>
      </x:c>
      <x:c r="S507" t="n">
        <x:v>34</x:v>
      </x:c>
      <x:c r="T507" t="str">
        <x:v>CLEARED</x:v>
      </x:c>
      <x:c r="U507" t="str">
        <x:v>VALID</x:v>
      </x:c>
      <x:c r="V507" s="16" t="n">
        <x:v>0.8561</x:v>
      </x:c>
      <x:c r="W507" t="str">
        <x:v>English</x:v>
      </x:c>
      <x:c r="X507" t="str">
        <x:v>Portuguese</x:v>
      </x:c>
      <x:c r="Y507" t="n">
        <x:v>1805</x:v>
      </x:c>
      <x:c r="Z507" s="17" t="n">
        <x:v>4.44</x:v>
      </x:c>
      <x:c r="AA507" s="16" t="n">
        <x:v>0.8573</x:v>
      </x:c>
      <x:c r="AB507" s="16" t="n">
        <x:v>0.8863</x:v>
      </x:c>
      <x:c r="AC507" s="16" t="n">
        <x:v>0.8851</x:v>
      </x:c>
      <x:c r="AD507" t="n">
        <x:v>1</x:v>
      </x:c>
      <x:c r="AE507" t="str">
        <x:f>IF(O507&lt;&gt;"ACTIVE","NOT_RATED",IF(AND(Z507&gt;=4.8,AB507&gt;=0.97,AC507&gt;=0.93,AD507=0),"ELITE",IF(AND(Z507&gt;=4.6,AB507&gt;=0.94,AC507&gt;=0.88),"HIGH_PERFORMER",IF(OR(Z507&lt;4.2,AB507&lt;0.85,AD507&gt;=2),"AT_RISK","STANDARD"))))</x:f>
        <x:v>STANDARD</x:v>
      </x:c>
      <x:c r="AF507" s="15" t="n">
        <x:v>46019</x:v>
      </x:c>
      <x:c r="AG507" t="str">
        <x:v>VERIFIED</x:v>
      </x:c>
      <x:c r="AH507" t="str">
        <x:v>COMPLETE</x:v>
      </x:c>
      <x:c r="AI507" t="str">
        <x:v>Sofia Brown</x:v>
      </x:c>
      <x:c r="AJ507" t="str">
        <x:v>PARENT</x:v>
      </x:c>
      <x:c r="AK507" t="str">
        <x:v>+1 (512) 555-0158</x:v>
      </x:c>
    </x:row>
    <x:row r="508" ht="18" customHeight="1">
      <x:c r="A508" t="str">
        <x:v>DHR-00507</x:v>
      </x:c>
      <x:c r="B508" t="str">
        <x:v>Reese Garcia</x:v>
      </x:c>
      <x:c r="C508" t="str">
        <x:v>https://api.dicebear.com/9.x/adventurer/png?seed=DHR-00507-Reese%20Garcia&amp;size=256&amp;radius=50&amp;backgroundColor=b6e3f4,c0aede,d1d4f9,ffd5dc,ffdfbf</x:v>
      </x:c>
      <x:c r="D508" t="str">
        <x:v>reese.garcia.507@example.com</x:v>
      </x:c>
      <x:c r="E508" t="str">
        <x:v>+1 (503) 555-0106</x:v>
      </x:c>
      <x:c r="F508" t="str">
        <x:v>Portland, OR</x:v>
      </x:c>
      <x:c r="G508" t="str">
        <x:v>Portland</x:v>
      </x:c>
      <x:c r="H508" t="str">
        <x:v>OR</x:v>
      </x:c>
      <x:c r="I508" s="18" t="str">
        <x:v>97205</x:v>
      </x:c>
      <x:c r="J508" s="15" t="n">
        <x:v>24491.202447060186</x:v>
      </x:c>
      <x:c r="K508" t="n">
        <x:f>INT((DATE(2025,12,31)-J508)/365.25)</x:f>
        <x:v>58</x:v>
      </x:c>
      <x:c r="L508" t="str">
        <x:f>IF(K508&lt;25,"18-24",IF(K508&lt;35,"25-34",IF(K508&lt;45,"35-44",IF(K508&lt;55,"45-54","55+"))))</x:f>
        <x:v>55+</x:v>
      </x:c>
      <x:c r="M508" s="15" t="n">
        <x:v>44999.073488194445</x:v>
      </x:c>
      <x:c r="N508" t="n">
        <x:f>(YEAR(DATE(2025,12,31))-YEAR(M508))*12+MONTH(DATE(2025,12,31))-MONTH(M508)</x:f>
        <x:v>33</x:v>
      </x:c>
      <x:c r="O508" t="str">
        <x:v>ACTIVE</x:v>
      </x:c>
      <x:c r="P508" t="str">
        <x:v>INDEPENDENT_CONTRACTOR</x:v>
      </x:c>
      <x:c r="Q508" t="str">
        <x:v>CAR</x:v>
      </x:c>
      <x:c r="R508" t="str">
        <x:v>FLEXIBLE</x:v>
      </x:c>
      <x:c r="S508" t="n">
        <x:v>48</x:v>
      </x:c>
      <x:c r="T508" t="str">
        <x:v>CLEARED</x:v>
      </x:c>
      <x:c r="U508" t="str">
        <x:v>VALID</x:v>
      </x:c>
      <x:c r="V508" s="16" t="n">
        <x:v>0.7897</x:v>
      </x:c>
      <x:c r="W508" t="str">
        <x:v>Mandarin</x:v>
      </x:c>
      <x:c r="X508"/>
      <x:c r="Y508" t="n">
        <x:v>5971</x:v>
      </x:c>
      <x:c r="Z508" s="17" t="n">
        <x:v>4.38</x:v>
      </x:c>
      <x:c r="AA508" s="16" t="n">
        <x:v>0.8312</x:v>
      </x:c>
      <x:c r="AB508" s="16" t="n">
        <x:v>0.998</x:v>
      </x:c>
      <x:c r="AC508" s="16" t="n">
        <x:v>0.868</x:v>
      </x:c>
      <x:c r="AD508" t="n">
        <x:v>0</x:v>
      </x:c>
      <x:c r="AE508" t="str">
        <x:f>IF(O508&lt;&gt;"ACTIVE","NOT_RATED",IF(AND(Z508&gt;=4.8,AB508&gt;=0.97,AC508&gt;=0.93,AD508=0),"ELITE",IF(AND(Z508&gt;=4.6,AB508&gt;=0.94,AC508&gt;=0.88),"HIGH_PERFORMER",IF(OR(Z508&lt;4.2,AB508&lt;0.85,AD508&gt;=2),"AT_RISK","STANDARD"))))</x:f>
        <x:v>STANDARD</x:v>
      </x:c>
      <x:c r="AF508" s="15" t="n">
        <x:v>46009</x:v>
      </x:c>
      <x:c r="AG508" t="str">
        <x:v>VERIFIED</x:v>
      </x:c>
      <x:c r="AH508" t="str">
        <x:v>COMPLETE</x:v>
      </x:c>
      <x:c r="AI508" t="str">
        <x:v>Drew Perez</x:v>
      </x:c>
      <x:c r="AJ508" t="str">
        <x:v>FRIEND</x:v>
      </x:c>
      <x:c r="AK508" t="str">
        <x:v>+1 (503) 555-0165</x:v>
      </x:c>
    </x:row>
    <x:row r="509" ht="18" customHeight="1">
      <x:c r="A509" t="str">
        <x:v>DHR-00508</x:v>
      </x:c>
      <x:c r="B509" t="str">
        <x:v>Reese Harris</x:v>
      </x:c>
      <x:c r="C509" t="str">
        <x:v>https://api.dicebear.com/9.x/adventurer/png?seed=DHR-00508-Reese%20Harris&amp;size=256&amp;radius=50&amp;backgroundColor=b6e3f4,c0aede,d1d4f9,ffd5dc,ffdfbf</x:v>
      </x:c>
      <x:c r="D509" t="str">
        <x:v>reese.harris.508@example.com</x:v>
      </x:c>
      <x:c r="E509" t="str">
        <x:v>+1 (215) 555-0107</x:v>
      </x:c>
      <x:c r="F509" t="str">
        <x:v>Philadelphia, PA</x:v>
      </x:c>
      <x:c r="G509" t="str">
        <x:v>Philadelphia</x:v>
      </x:c>
      <x:c r="H509" t="str">
        <x:v>PA</x:v>
      </x:c>
      <x:c r="I509" s="18" t="str">
        <x:v>19103</x:v>
      </x:c>
      <x:c r="J509" s="15" t="n">
        <x:v>35397.3176294213</x:v>
      </x:c>
      <x:c r="K509" t="n">
        <x:f>INT((DATE(2025,12,31)-J509)/365.25)</x:f>
        <x:v>29</x:v>
      </x:c>
      <x:c r="L509" t="str">
        <x:f>IF(K509&lt;25,"18-24",IF(K509&lt;35,"25-34",IF(K509&lt;45,"35-44",IF(K509&lt;55,"45-54","55+"))))</x:f>
        <x:v>25-34</x:v>
      </x:c>
      <x:c r="M509" s="15" t="n">
        <x:v>43717.97978042824</x:v>
      </x:c>
      <x:c r="N509" t="n">
        <x:f>(YEAR(DATE(2025,12,31))-YEAR(M509))*12+MONTH(DATE(2025,12,31))-MONTH(M509)</x:f>
        <x:v>75</x:v>
      </x:c>
      <x:c r="O509" t="str">
        <x:v>ACTIVE</x:v>
      </x:c>
      <x:c r="P509" t="str">
        <x:v>INDEPENDENT_CONTRACTOR</x:v>
      </x:c>
      <x:c r="Q509" t="str">
        <x:v>CAR</x:v>
      </x:c>
      <x:c r="R509" t="str">
        <x:v>FLEXIBLE</x:v>
      </x:c>
      <x:c r="S509" t="n">
        <x:v>28</x:v>
      </x:c>
      <x:c r="T509" t="str">
        <x:v>CLEARED</x:v>
      </x:c>
      <x:c r="U509" t="str">
        <x:v>VALID</x:v>
      </x:c>
      <x:c r="V509" s="16" t="n">
        <x:v>0.9374</x:v>
      </x:c>
      <x:c r="W509" t="str">
        <x:v>English</x:v>
      </x:c>
      <x:c r="X509"/>
      <x:c r="Y509" t="n">
        <x:v>3915</x:v>
      </x:c>
      <x:c r="Z509" s="17" t="n">
        <x:v>4.6</x:v>
      </x:c>
      <x:c r="AA509" s="16" t="n">
        <x:v>0.7278</x:v>
      </x:c>
      <x:c r="AB509" s="16" t="n">
        <x:v>0.9666</x:v>
      </x:c>
      <x:c r="AC509" s="16" t="n">
        <x:v>0.9554</x:v>
      </x:c>
      <x:c r="AD509" t="n">
        <x:v>0</x:v>
      </x:c>
      <x:c r="AE509" t="str">
        <x:f>IF(O509&lt;&gt;"ACTIVE","NOT_RATED",IF(AND(Z509&gt;=4.8,AB509&gt;=0.97,AC509&gt;=0.93,AD509=0),"ELITE",IF(AND(Z509&gt;=4.6,AB509&gt;=0.94,AC509&gt;=0.88),"HIGH_PERFORMER",IF(OR(Z509&lt;4.2,AB509&lt;0.85,AD509&gt;=2),"AT_RISK","STANDARD"))))</x:f>
        <x:v>HIGH_PERFORMER</x:v>
      </x:c>
      <x:c r="AF509" s="15" t="n">
        <x:v>46021</x:v>
      </x:c>
      <x:c r="AG509" t="str">
        <x:v>VERIFIED</x:v>
      </x:c>
      <x:c r="AH509" t="str">
        <x:v>COMPLETE</x:v>
      </x:c>
      <x:c r="AI509" t="str">
        <x:v>Jordan Thompson</x:v>
      </x:c>
      <x:c r="AJ509" t="str">
        <x:v>SPOUSE_PARTNER</x:v>
      </x:c>
      <x:c r="AK509" t="str">
        <x:v>+1 (215) 555-0172</x:v>
      </x:c>
    </x:row>
    <x:row r="510" ht="18" customHeight="1">
      <x:c r="A510" t="str">
        <x:v>DHR-00509</x:v>
      </x:c>
      <x:c r="B510" t="str">
        <x:v>Reese Jackson</x:v>
      </x:c>
      <x:c r="C510" t="str">
        <x:v>https://api.dicebear.com/9.x/adventurer/png?seed=DHR-00509-Reese%20Jackson&amp;size=256&amp;radius=50&amp;backgroundColor=b6e3f4,c0aede,d1d4f9,ffd5dc,ffdfbf</x:v>
      </x:c>
      <x:c r="D510" t="str">
        <x:v>reese.jackson.509@example.com</x:v>
      </x:c>
      <x:c r="E510" t="str">
        <x:v>+1 (615) 555-0108</x:v>
      </x:c>
      <x:c r="F510" t="str">
        <x:v>Nashville, TN</x:v>
      </x:c>
      <x:c r="G510" t="str">
        <x:v>Nashville</x:v>
      </x:c>
      <x:c r="H510" t="str">
        <x:v>TN</x:v>
      </x:c>
      <x:c r="I510" s="18" t="str">
        <x:v>37219</x:v>
      </x:c>
      <x:c r="J510" s="15" t="n">
        <x:v>36207.610100625</x:v>
      </x:c>
      <x:c r="K510" t="n">
        <x:f>INT((DATE(2025,12,31)-J510)/365.25)</x:f>
        <x:v>26</x:v>
      </x:c>
      <x:c r="L510" t="str">
        <x:f>IF(K510&lt;25,"18-24",IF(K510&lt;35,"25-34",IF(K510&lt;45,"35-44",IF(K510&lt;55,"45-54","55+"))))</x:f>
        <x:v>25-34</x:v>
      </x:c>
      <x:c r="M510" s="15" t="n">
        <x:v>44810.069400416665</x:v>
      </x:c>
      <x:c r="N510" t="n">
        <x:f>(YEAR(DATE(2025,12,31))-YEAR(M510))*12+MONTH(DATE(2025,12,31))-MONTH(M510)</x:f>
        <x:v>39</x:v>
      </x:c>
      <x:c r="O510" t="str">
        <x:v>PAUSED</x:v>
      </x:c>
      <x:c r="P510" t="str">
        <x:v>INDEPENDENT_CONTRACTOR</x:v>
      </x:c>
      <x:c r="Q510" t="str">
        <x:v>CAR</x:v>
      </x:c>
      <x:c r="R510" t="str">
        <x:v>WEEKENDS</x:v>
      </x:c>
      <x:c r="S510" t="n">
        <x:v>19</x:v>
      </x:c>
      <x:c r="T510" t="str">
        <x:v>CLEARED</x:v>
      </x:c>
      <x:c r="U510" t="str">
        <x:v>VALID</x:v>
      </x:c>
      <x:c r="V510" s="16" t="n">
        <x:v>0.9665</x:v>
      </x:c>
      <x:c r="W510" t="str">
        <x:v>Korean</x:v>
      </x:c>
      <x:c r="X510" t="str">
        <x:v>English</x:v>
      </x:c>
      <x:c r="Y510" t="n">
        <x:v>2765</x:v>
      </x:c>
      <x:c r="Z510" s="17" t="n">
        <x:v>4.56</x:v>
      </x:c>
      <x:c r="AA510" s="16" t="n">
        <x:v>0.8345</x:v>
      </x:c>
      <x:c r="AB510" s="16" t="n">
        <x:v>0.9938</x:v>
      </x:c>
      <x:c r="AC510" s="16" t="n">
        <x:v>0.9607</x:v>
      </x:c>
      <x:c r="AD510" t="n">
        <x:v>1</x:v>
      </x:c>
      <x:c r="AE510" t="str">
        <x:f>IF(O510&lt;&gt;"ACTIVE","NOT_RATED",IF(AND(Z510&gt;=4.8,AB510&gt;=0.97,AC510&gt;=0.93,AD510=0),"ELITE",IF(AND(Z510&gt;=4.6,AB510&gt;=0.94,AC510&gt;=0.88),"HIGH_PERFORMER",IF(OR(Z510&lt;4.2,AB510&lt;0.85,AD510&gt;=2),"AT_RISK","STANDARD"))))</x:f>
        <x:v>NOT_RATED</x:v>
      </x:c>
      <x:c r="AF510" s="15" t="n">
        <x:v>45978</x:v>
      </x:c>
      <x:c r="AG510" t="str">
        <x:v>VERIFIED</x:v>
      </x:c>
      <x:c r="AH510" t="str">
        <x:v>COMPLETE</x:v>
      </x:c>
      <x:c r="AI510" t="str">
        <x:v>Jordan Martin</x:v>
      </x:c>
      <x:c r="AJ510" t="str">
        <x:v>OTHER</x:v>
      </x:c>
      <x:c r="AK510" t="str">
        <x:v>+1 (615) 555-0179</x:v>
      </x:c>
    </x:row>
    <x:row r="511" ht="18" customHeight="1">
      <x:c r="A511" t="str">
        <x:v>DHR-00510</x:v>
      </x:c>
      <x:c r="B511" t="str">
        <x:v>Reese Johnson</x:v>
      </x:c>
      <x:c r="C511" t="str">
        <x:v>https://api.dicebear.com/9.x/adventurer/png?seed=DHR-00510-Reese%20Johnson&amp;size=256&amp;radius=50&amp;backgroundColor=b6e3f4,c0aede,d1d4f9,ffd5dc,ffdfbf</x:v>
      </x:c>
      <x:c r="D511" t="str">
        <x:v>reese.johnson.510@example.com</x:v>
      </x:c>
      <x:c r="E511" t="str">
        <x:v>+1 (210) 555-0109</x:v>
      </x:c>
      <x:c r="F511" t="str">
        <x:v>San Antonio, TX</x:v>
      </x:c>
      <x:c r="G511" t="str">
        <x:v>San Antonio</x:v>
      </x:c>
      <x:c r="H511" t="str">
        <x:v>TX</x:v>
      </x:c>
      <x:c r="I511" s="18" t="str">
        <x:v>78205</x:v>
      </x:c>
      <x:c r="J511" s="15" t="n">
        <x:v>37434.30470652778</x:v>
      </x:c>
      <x:c r="K511" t="n">
        <x:f>INT((DATE(2025,12,31)-J511)/365.25)</x:f>
        <x:v>23</x:v>
      </x:c>
      <x:c r="L511" t="str">
        <x:f>IF(K511&lt;25,"18-24",IF(K511&lt;35,"25-34",IF(K511&lt;45,"35-44",IF(K511&lt;55,"45-54","55+"))))</x:f>
        <x:v>18-24</x:v>
      </x:c>
      <x:c r="M511" s="15" t="n">
        <x:v>45328.024030243054</x:v>
      </x:c>
      <x:c r="N511" t="n">
        <x:f>(YEAR(DATE(2025,12,31))-YEAR(M511))*12+MONTH(DATE(2025,12,31))-MONTH(M511)</x:f>
        <x:v>22</x:v>
      </x:c>
      <x:c r="O511" t="str">
        <x:v>ACTIVE</x:v>
      </x:c>
      <x:c r="P511" t="str">
        <x:v>INDEPENDENT_CONTRACTOR</x:v>
      </x:c>
      <x:c r="Q511" t="str">
        <x:v>CAR</x:v>
      </x:c>
      <x:c r="R511" t="str">
        <x:v>LUNCH</x:v>
      </x:c>
      <x:c r="S511" t="n">
        <x:v>40</x:v>
      </x:c>
      <x:c r="T511" t="str">
        <x:v>CLEARED</x:v>
      </x:c>
      <x:c r="U511" t="str">
        <x:v>VALID</x:v>
      </x:c>
      <x:c r="V511" s="16" t="n">
        <x:v>0.8842</x:v>
      </x:c>
      <x:c r="W511" t="str">
        <x:v>English</x:v>
      </x:c>
      <x:c r="X511"/>
      <x:c r="Y511" t="n">
        <x:v>2022</x:v>
      </x:c>
      <x:c r="Z511" s="17" t="n">
        <x:v>4.8</x:v>
      </x:c>
      <x:c r="AA511" s="16" t="n">
        <x:v>0.6863</x:v>
      </x:c>
      <x:c r="AB511" s="16" t="n">
        <x:v>0.9716</x:v>
      </x:c>
      <x:c r="AC511" s="16" t="n">
        <x:v>0.8344</x:v>
      </x:c>
      <x:c r="AD511" t="n">
        <x:v>0</x:v>
      </x:c>
      <x:c r="AE511" t="str">
        <x:f>IF(O511&lt;&gt;"ACTIVE","NOT_RATED",IF(AND(Z511&gt;=4.8,AB511&gt;=0.97,AC511&gt;=0.93,AD511=0),"ELITE",IF(AND(Z511&gt;=4.6,AB511&gt;=0.94,AC511&gt;=0.88),"HIGH_PERFORMER",IF(OR(Z511&lt;4.2,AB511&lt;0.85,AD511&gt;=2),"AT_RISK","STANDARD"))))</x:f>
        <x:v>STANDARD</x:v>
      </x:c>
      <x:c r="AF511" s="15" t="n">
        <x:v>46017</x:v>
      </x:c>
      <x:c r="AG511" t="str">
        <x:v>VERIFIED</x:v>
      </x:c>
      <x:c r="AH511" t="str">
        <x:v>COMPLETE</x:v>
      </x:c>
      <x:c r="AI511" t="str">
        <x:v>Avery Perez</x:v>
      </x:c>
      <x:c r="AJ511" t="str">
        <x:v>PARENT</x:v>
      </x:c>
      <x:c r="AK511" t="str">
        <x:v>+1 (210) 555-0186</x:v>
      </x:c>
    </x:row>
    <x:row r="512" ht="18" customHeight="1">
      <x:c r="A512" t="str">
        <x:v>DHR-00511</x:v>
      </x:c>
      <x:c r="B512" t="str">
        <x:v>Reese Jones</x:v>
      </x:c>
      <x:c r="C512" t="str">
        <x:v>https://api.dicebear.com/9.x/adventurer/png?seed=DHR-00511-Reese%20Jones&amp;size=256&amp;radius=50&amp;backgroundColor=b6e3f4,c0aede,d1d4f9,ffd5dc,ffdfbf</x:v>
      </x:c>
      <x:c r="D512" t="str">
        <x:v>reese.jones.511@example.com</x:v>
      </x:c>
      <x:c r="E512" t="str">
        <x:v>+1 (614) 555-0110</x:v>
      </x:c>
      <x:c r="F512" t="str">
        <x:v>Columbus, OH</x:v>
      </x:c>
      <x:c r="G512" t="str">
        <x:v>Columbus</x:v>
      </x:c>
      <x:c r="H512" t="str">
        <x:v>OH</x:v>
      </x:c>
      <x:c r="I512" s="18" t="str">
        <x:v>43215</x:v>
      </x:c>
      <x:c r="J512" s="15" t="n">
        <x:v>27254.534572280092</x:v>
      </x:c>
      <x:c r="K512" t="n">
        <x:f>INT((DATE(2025,12,31)-J512)/365.25)</x:f>
        <x:v>51</x:v>
      </x:c>
      <x:c r="L512" t="str">
        <x:f>IF(K512&lt;25,"18-24",IF(K512&lt;35,"25-34",IF(K512&lt;45,"35-44",IF(K512&lt;55,"45-54","55+"))))</x:f>
        <x:v>45-54</x:v>
      </x:c>
      <x:c r="M512" s="15" t="n">
        <x:v>45241.75853293981</x:v>
      </x:c>
      <x:c r="N512" t="n">
        <x:f>(YEAR(DATE(2025,12,31))-YEAR(M512))*12+MONTH(DATE(2025,12,31))-MONTH(M512)</x:f>
        <x:v>25</x:v>
      </x:c>
      <x:c r="O512" t="str">
        <x:v>ACTIVE</x:v>
      </x:c>
      <x:c r="P512" t="str">
        <x:v>INDEPENDENT_CONTRACTOR</x:v>
      </x:c>
      <x:c r="Q512" t="str">
        <x:v>CAR</x:v>
      </x:c>
      <x:c r="R512" t="str">
        <x:v>DINNER</x:v>
      </x:c>
      <x:c r="S512" t="n">
        <x:v>48</x:v>
      </x:c>
      <x:c r="T512" t="str">
        <x:v>CLEARED</x:v>
      </x:c>
      <x:c r="U512" t="str">
        <x:v>VALID</x:v>
      </x:c>
      <x:c r="V512" s="16" t="n">
        <x:v>0.797</x:v>
      </x:c>
      <x:c r="W512" t="str">
        <x:v>English</x:v>
      </x:c>
      <x:c r="X512"/>
      <x:c r="Y512" t="n">
        <x:v>4015</x:v>
      </x:c>
      <x:c r="Z512" s="17" t="n">
        <x:v>4.9</x:v>
      </x:c>
      <x:c r="AA512" s="16" t="n">
        <x:v>0.9604</x:v>
      </x:c>
      <x:c r="AB512" s="16" t="n">
        <x:v>0.9469</x:v>
      </x:c>
      <x:c r="AC512" s="16" t="n">
        <x:v>0.8437</x:v>
      </x:c>
      <x:c r="AD512" t="n">
        <x:v>0</x:v>
      </x:c>
      <x:c r="AE512" t="str">
        <x:f>IF(O512&lt;&gt;"ACTIVE","NOT_RATED",IF(AND(Z512&gt;=4.8,AB512&gt;=0.97,AC512&gt;=0.93,AD512=0),"ELITE",IF(AND(Z512&gt;=4.6,AB512&gt;=0.94,AC512&gt;=0.88),"HIGH_PERFORMER",IF(OR(Z512&lt;4.2,AB512&lt;0.85,AD512&gt;=2),"AT_RISK","STANDARD"))))</x:f>
        <x:v>STANDARD</x:v>
      </x:c>
      <x:c r="AF512" s="15" t="n">
        <x:v>46014</x:v>
      </x:c>
      <x:c r="AG512" t="str">
        <x:v>PENDING</x:v>
      </x:c>
      <x:c r="AH512" t="str">
        <x:v>COMPLETE</x:v>
      </x:c>
      <x:c r="AI512" t="str">
        <x:v>Chris Young</x:v>
      </x:c>
      <x:c r="AJ512" t="str">
        <x:v>SPOUSE_PARTNER</x:v>
      </x:c>
      <x:c r="AK512" t="str">
        <x:v>+1 (614) 555-0193</x:v>
      </x:c>
    </x:row>
    <x:row r="513" ht="18" customHeight="1">
      <x:c r="A513" t="str">
        <x:v>DHR-00512</x:v>
      </x:c>
      <x:c r="B513" t="str">
        <x:v>Reese Lee</x:v>
      </x:c>
      <x:c r="C513" t="str">
        <x:v>https://api.dicebear.com/9.x/adventurer/png?seed=DHR-00512-Reese%20Lee&amp;size=256&amp;radius=50&amp;backgroundColor=b6e3f4,c0aede,d1d4f9,ffd5dc,ffdfbf</x:v>
      </x:c>
      <x:c r="D513" t="str">
        <x:v>reese.lee.512@example.com</x:v>
      </x:c>
      <x:c r="E513" t="str">
        <x:v>+1 (215) 555-0111</x:v>
      </x:c>
      <x:c r="F513" t="str">
        <x:v>Philadelphia, PA</x:v>
      </x:c>
      <x:c r="G513" t="str">
        <x:v>Philadelphia</x:v>
      </x:c>
      <x:c r="H513" t="str">
        <x:v>PA</x:v>
      </x:c>
      <x:c r="I513" s="18" t="str">
        <x:v>19103</x:v>
      </x:c>
      <x:c r="J513" s="15" t="n">
        <x:v>25951.913785011573</x:v>
      </x:c>
      <x:c r="K513" t="n">
        <x:f>INT((DATE(2025,12,31)-J513)/365.25)</x:f>
        <x:v>54</x:v>
      </x:c>
      <x:c r="L513" t="str">
        <x:f>IF(K513&lt;25,"18-24",IF(K513&lt;35,"25-34",IF(K513&lt;45,"35-44",IF(K513&lt;55,"45-54","55+"))))</x:f>
        <x:v>45-54</x:v>
      </x:c>
      <x:c r="M513" s="15" t="n">
        <x:v>43917.27084709491</x:v>
      </x:c>
      <x:c r="N513" t="n">
        <x:f>(YEAR(DATE(2025,12,31))-YEAR(M513))*12+MONTH(DATE(2025,12,31))-MONTH(M513)</x:f>
        <x:v>69</x:v>
      </x:c>
      <x:c r="O513" t="str">
        <x:v>ACTIVE</x:v>
      </x:c>
      <x:c r="P513" t="str">
        <x:v>INDEPENDENT_CONTRACTOR</x:v>
      </x:c>
      <x:c r="Q513" t="str">
        <x:v>BICYCLE</x:v>
      </x:c>
      <x:c r="R513" t="str">
        <x:v>DINNER</x:v>
      </x:c>
      <x:c r="S513" t="n">
        <x:v>22</x:v>
      </x:c>
      <x:c r="T513" t="str">
        <x:v>CLEARED</x:v>
      </x:c>
      <x:c r="U513" t="str">
        <x:v>NOT_REQUIRED</x:v>
      </x:c>
      <x:c r="V513" s="16" t="n">
        <x:v>0.8364</x:v>
      </x:c>
      <x:c r="W513" t="str">
        <x:v>Spanish</x:v>
      </x:c>
      <x:c r="X513"/>
      <x:c r="Y513" t="n">
        <x:v>4232</x:v>
      </x:c>
      <x:c r="Z513" s="17" t="n">
        <x:v>4.42</x:v>
      </x:c>
      <x:c r="AA513" s="16" t="n">
        <x:v>0.9662</x:v>
      </x:c>
      <x:c r="AB513" s="16" t="n">
        <x:v>0.9454</x:v>
      </x:c>
      <x:c r="AC513" s="16" t="n">
        <x:v>0.8523</x:v>
      </x:c>
      <x:c r="AD513" t="n">
        <x:v>0</x:v>
      </x:c>
      <x:c r="AE513" t="str">
        <x:f>IF(O513&lt;&gt;"ACTIVE","NOT_RATED",IF(AND(Z513&gt;=4.8,AB513&gt;=0.97,AC513&gt;=0.93,AD513=0),"ELITE",IF(AND(Z513&gt;=4.6,AB513&gt;=0.94,AC513&gt;=0.88),"HIGH_PERFORMER",IF(OR(Z513&lt;4.2,AB513&lt;0.85,AD513&gt;=2),"AT_RISK","STANDARD"))))</x:f>
        <x:v>STANDARD</x:v>
      </x:c>
      <x:c r="AF513" s="15" t="n">
        <x:v>46019</x:v>
      </x:c>
      <x:c r="AG513" t="str">
        <x:v>VERIFIED</x:v>
      </x:c>
      <x:c r="AH513" t="str">
        <x:v>COMPLETE</x:v>
      </x:c>
      <x:c r="AI513" t="str">
        <x:v>Avery Martinez</x:v>
      </x:c>
      <x:c r="AJ513" t="str">
        <x:v>PARENT</x:v>
      </x:c>
      <x:c r="AK513" t="str">
        <x:v>+1 (215) 555-0100</x:v>
      </x:c>
    </x:row>
    <x:row r="514" ht="18" customHeight="1">
      <x:c r="A514" t="str">
        <x:v>DHR-00513</x:v>
      </x:c>
      <x:c r="B514" t="str">
        <x:v>Reese Lewis</x:v>
      </x:c>
      <x:c r="C514" t="str">
        <x:v>https://api.dicebear.com/9.x/adventurer/png?seed=DHR-00513-Reese%20Lewis&amp;size=256&amp;radius=50&amp;backgroundColor=b6e3f4,c0aede,d1d4f9,ffd5dc,ffdfbf</x:v>
      </x:c>
      <x:c r="D514" t="str">
        <x:v>reese.lewis.513@example.com</x:v>
      </x:c>
      <x:c r="E514" t="str">
        <x:v>+1 (213) 555-0112</x:v>
      </x:c>
      <x:c r="F514" t="str">
        <x:v>Los Angeles, CA</x:v>
      </x:c>
      <x:c r="G514" t="str">
        <x:v>Los Angeles</x:v>
      </x:c>
      <x:c r="H514" t="str">
        <x:v>CA</x:v>
      </x:c>
      <x:c r="I514" s="18" t="str">
        <x:v>90012</x:v>
      </x:c>
      <x:c r="J514" s="15" t="n">
        <x:v>28415.01759099537</x:v>
      </x:c>
      <x:c r="K514" t="n">
        <x:f>INT((DATE(2025,12,31)-J514)/365.25)</x:f>
        <x:v>48</x:v>
      </x:c>
      <x:c r="L514" t="str">
        <x:f>IF(K514&lt;25,"18-24",IF(K514&lt;35,"25-34",IF(K514&lt;45,"35-44",IF(K514&lt;55,"45-54","55+"))))</x:f>
        <x:v>45-54</x:v>
      </x:c>
      <x:c r="M514" s="15" t="n">
        <x:v>45129.561063761575</x:v>
      </x:c>
      <x:c r="N514" t="n">
        <x:f>(YEAR(DATE(2025,12,31))-YEAR(M514))*12+MONTH(DATE(2025,12,31))-MONTH(M514)</x:f>
        <x:v>29</x:v>
      </x:c>
      <x:c r="O514" t="str">
        <x:v>ACTIVE</x:v>
      </x:c>
      <x:c r="P514" t="str">
        <x:v>INDEPENDENT_CONTRACTOR</x:v>
      </x:c>
      <x:c r="Q514" t="str">
        <x:v>E_BIKE</x:v>
      </x:c>
      <x:c r="R514" t="str">
        <x:v>WEEKENDS</x:v>
      </x:c>
      <x:c r="S514" t="n">
        <x:v>35</x:v>
      </x:c>
      <x:c r="T514" t="str">
        <x:v>CLEARED</x:v>
      </x:c>
      <x:c r="U514" t="str">
        <x:v>NOT_REQUIRED</x:v>
      </x:c>
      <x:c r="V514" s="16" t="n">
        <x:v>0.8722</x:v>
      </x:c>
      <x:c r="W514" t="str">
        <x:v>English</x:v>
      </x:c>
      <x:c r="X514"/>
      <x:c r="Y514" t="n">
        <x:v>3183</x:v>
      </x:c>
      <x:c r="Z514" s="17" t="n">
        <x:v>4.79</x:v>
      </x:c>
      <x:c r="AA514" s="16" t="n">
        <x:v>0.9003</x:v>
      </x:c>
      <x:c r="AB514" s="16" t="n">
        <x:v>0.8983</x:v>
      </x:c>
      <x:c r="AC514" s="16" t="n">
        <x:v>0.8503</x:v>
      </x:c>
      <x:c r="AD514" t="n">
        <x:v>0</x:v>
      </x:c>
      <x:c r="AE514" t="str">
        <x:f>IF(O514&lt;&gt;"ACTIVE","NOT_RATED",IF(AND(Z514&gt;=4.8,AB514&gt;=0.97,AC514&gt;=0.93,AD514=0),"ELITE",IF(AND(Z514&gt;=4.6,AB514&gt;=0.94,AC514&gt;=0.88),"HIGH_PERFORMER",IF(OR(Z514&lt;4.2,AB514&lt;0.85,AD514&gt;=2),"AT_RISK","STANDARD"))))</x:f>
        <x:v>STANDARD</x:v>
      </x:c>
      <x:c r="AF514" s="15" t="n">
        <x:v>46021</x:v>
      </x:c>
      <x:c r="AG514" t="str">
        <x:v>VERIFIED</x:v>
      </x:c>
      <x:c r="AH514" t="str">
        <x:v>COMPLETE</x:v>
      </x:c>
      <x:c r="AI514" t="str">
        <x:v>Robin Rodriguez</x:v>
      </x:c>
      <x:c r="AJ514" t="str">
        <x:v>PARENT</x:v>
      </x:c>
      <x:c r="AK514" t="str">
        <x:v>+1 (213) 555-0107</x:v>
      </x:c>
    </x:row>
    <x:row r="515" ht="18" customHeight="1">
      <x:c r="A515" t="str">
        <x:v>DHR-00514</x:v>
      </x:c>
      <x:c r="B515" t="str">
        <x:v>Reese Martin</x:v>
      </x:c>
      <x:c r="C515" t="str">
        <x:v>https://api.dicebear.com/9.x/adventurer/png?seed=DHR-00514-Reese%20Martin&amp;size=256&amp;radius=50&amp;backgroundColor=b6e3f4,c0aede,d1d4f9,ffd5dc,ffdfbf</x:v>
      </x:c>
      <x:c r="D515" t="str">
        <x:v>reese.martin.514@example.com</x:v>
      </x:c>
      <x:c r="E515" t="str">
        <x:v>+1 (213) 555-0113</x:v>
      </x:c>
      <x:c r="F515" t="str">
        <x:v>Los Angeles, CA</x:v>
      </x:c>
      <x:c r="G515" t="str">
        <x:v>Los Angeles</x:v>
      </x:c>
      <x:c r="H515" t="str">
        <x:v>CA</x:v>
      </x:c>
      <x:c r="I515" s="18" t="str">
        <x:v>90012</x:v>
      </x:c>
      <x:c r="J515" s="15" t="n">
        <x:v>27068.901872268518</x:v>
      </x:c>
      <x:c r="K515" t="n">
        <x:f>INT((DATE(2025,12,31)-J515)/365.25)</x:f>
        <x:v>51</x:v>
      </x:c>
      <x:c r="L515" t="str">
        <x:f>IF(K515&lt;25,"18-24",IF(K515&lt;35,"25-34",IF(K515&lt;45,"35-44",IF(K515&lt;55,"45-54","55+"))))</x:f>
        <x:v>45-54</x:v>
      </x:c>
      <x:c r="M515" s="15" t="n">
        <x:v>43494.54627769676</x:v>
      </x:c>
      <x:c r="N515" t="n">
        <x:f>(YEAR(DATE(2025,12,31))-YEAR(M515))*12+MONTH(DATE(2025,12,31))-MONTH(M515)</x:f>
        <x:v>83</x:v>
      </x:c>
      <x:c r="O515" t="str">
        <x:v>OFFBOARDED</x:v>
      </x:c>
      <x:c r="P515" t="str">
        <x:v>INDEPENDENT_CONTRACTOR</x:v>
      </x:c>
      <x:c r="Q515" t="str">
        <x:v>E_BIKE</x:v>
      </x:c>
      <x:c r="R515" t="str">
        <x:v>FLEXIBLE</x:v>
      </x:c>
      <x:c r="S515" t="n">
        <x:v>19</x:v>
      </x:c>
      <x:c r="T515" t="str">
        <x:v>CLEARED</x:v>
      </x:c>
      <x:c r="U515" t="str">
        <x:v>NOT_REQUIRED</x:v>
      </x:c>
      <x:c r="V515" s="16" t="n">
        <x:v>0.8241</x:v>
      </x:c>
      <x:c r="W515" t="str">
        <x:v>Arabic</x:v>
      </x:c>
      <x:c r="X515"/>
      <x:c r="Y515" t="n">
        <x:v>4026</x:v>
      </x:c>
      <x:c r="Z515" s="17" t="n">
        <x:v>4.9</x:v>
      </x:c>
      <x:c r="AA515" s="16" t="n">
        <x:v>0.9677</x:v>
      </x:c>
      <x:c r="AB515" s="16" t="n">
        <x:v>0.998</x:v>
      </x:c>
      <x:c r="AC515" s="16" t="n">
        <x:v>0.9383</x:v>
      </x:c>
      <x:c r="AD515" t="n">
        <x:v>0</x:v>
      </x:c>
      <x:c r="AE515" t="str">
        <x:f>IF(O515&lt;&gt;"ACTIVE","NOT_RATED",IF(AND(Z515&gt;=4.8,AB515&gt;=0.97,AC515&gt;=0.93,AD515=0),"ELITE",IF(AND(Z515&gt;=4.6,AB515&gt;=0.94,AC515&gt;=0.88),"HIGH_PERFORMER",IF(OR(Z515&lt;4.2,AB515&lt;0.85,AD515&gt;=2),"AT_RISK","STANDARD"))))</x:f>
        <x:v>NOT_RATED</x:v>
      </x:c>
      <x:c r="AF515" s="15" t="n">
        <x:v>45497</x:v>
      </x:c>
      <x:c r="AG515" t="str">
        <x:v>PENDING</x:v>
      </x:c>
      <x:c r="AH515" t="str">
        <x:v>COMPLETE</x:v>
      </x:c>
      <x:c r="AI515" t="str">
        <x:v>Sam Jackson</x:v>
      </x:c>
      <x:c r="AJ515" t="str">
        <x:v>PARENT</x:v>
      </x:c>
      <x:c r="AK515" t="str">
        <x:v>+1 (213) 555-0114</x:v>
      </x:c>
    </x:row>
    <x:row r="516" ht="18" customHeight="1">
      <x:c r="A516" t="str">
        <x:v>DHR-00515</x:v>
      </x:c>
      <x:c r="B516" t="str">
        <x:v>Reese Martinez</x:v>
      </x:c>
      <x:c r="C516" t="str">
        <x:v>https://api.dicebear.com/9.x/adventurer/png?seed=DHR-00515-Reese%20Martinez&amp;size=256&amp;radius=50&amp;backgroundColor=b6e3f4,c0aede,d1d4f9,ffd5dc,ffdfbf</x:v>
      </x:c>
      <x:c r="D516" t="str">
        <x:v>reese.martinez.515@example.com</x:v>
      </x:c>
      <x:c r="E516" t="str">
        <x:v>+1 (212) 555-0114</x:v>
      </x:c>
      <x:c r="F516" t="str">
        <x:v>New York, NY</x:v>
      </x:c>
      <x:c r="G516" t="str">
        <x:v>New York</x:v>
      </x:c>
      <x:c r="H516" t="str">
        <x:v>NY</x:v>
      </x:c>
      <x:c r="I516" s="18" t="str">
        <x:v>10001</x:v>
      </x:c>
      <x:c r="J516" s="15" t="n">
        <x:v>37553.22907458333</x:v>
      </x:c>
      <x:c r="K516" t="n">
        <x:f>INT((DATE(2025,12,31)-J516)/365.25)</x:f>
        <x:v>23</x:v>
      </x:c>
      <x:c r="L516" t="str">
        <x:f>IF(K516&lt;25,"18-24",IF(K516&lt;35,"25-34",IF(K516&lt;45,"35-44",IF(K516&lt;55,"45-54","55+"))))</x:f>
        <x:v>18-24</x:v>
      </x:c>
      <x:c r="M516" s="15" t="n">
        <x:v>44699.40030648148</x:v>
      </x:c>
      <x:c r="N516" t="n">
        <x:f>(YEAR(DATE(2025,12,31))-YEAR(M516))*12+MONTH(DATE(2025,12,31))-MONTH(M516)</x:f>
        <x:v>43</x:v>
      </x:c>
      <x:c r="O516" t="str">
        <x:v>ACTIVE</x:v>
      </x:c>
      <x:c r="P516" t="str">
        <x:v>INDEPENDENT_CONTRACTOR</x:v>
      </x:c>
      <x:c r="Q516" t="str">
        <x:v>CAR</x:v>
      </x:c>
      <x:c r="R516" t="str">
        <x:v>DINNER</x:v>
      </x:c>
      <x:c r="S516" t="n">
        <x:v>22</x:v>
      </x:c>
      <x:c r="T516" t="str">
        <x:v>CLEARED</x:v>
      </x:c>
      <x:c r="U516" t="str">
        <x:v>VALID</x:v>
      </x:c>
      <x:c r="V516" s="16" t="n">
        <x:v>0.7974</x:v>
      </x:c>
      <x:c r="W516" t="str">
        <x:v>English</x:v>
      </x:c>
      <x:c r="X516" t="str">
        <x:v>Spanish</x:v>
      </x:c>
      <x:c r="Y516" t="n">
        <x:v>2718</x:v>
      </x:c>
      <x:c r="Z516" s="17" t="n">
        <x:v>4.81</x:v>
      </x:c>
      <x:c r="AA516" s="16" t="n">
        <x:v>0.6725</x:v>
      </x:c>
      <x:c r="AB516" s="16" t="n">
        <x:v>0.8858</x:v>
      </x:c>
      <x:c r="AC516" s="16" t="n">
        <x:v>0.9658</x:v>
      </x:c>
      <x:c r="AD516" t="n">
        <x:v>0</x:v>
      </x:c>
      <x:c r="AE516" t="str">
        <x:f>IF(O516&lt;&gt;"ACTIVE","NOT_RATED",IF(AND(Z516&gt;=4.8,AB516&gt;=0.97,AC516&gt;=0.93,AD516=0),"ELITE",IF(AND(Z516&gt;=4.6,AB516&gt;=0.94,AC516&gt;=0.88),"HIGH_PERFORMER",IF(OR(Z516&lt;4.2,AB516&lt;0.85,AD516&gt;=2),"AT_RISK","STANDARD"))))</x:f>
        <x:v>STANDARD</x:v>
      </x:c>
      <x:c r="AF516" s="15" t="n">
        <x:v>46013</x:v>
      </x:c>
      <x:c r="AG516" t="str">
        <x:v>VERIFIED</x:v>
      </x:c>
      <x:c r="AH516" t="str">
        <x:v>COMPLETE</x:v>
      </x:c>
      <x:c r="AI516" t="str">
        <x:v>Emma Taylor</x:v>
      </x:c>
      <x:c r="AJ516" t="str">
        <x:v>SIBLING</x:v>
      </x:c>
      <x:c r="AK516" t="str">
        <x:v>+1 (212) 555-0121</x:v>
      </x:c>
    </x:row>
    <x:row r="517" ht="18" customHeight="1">
      <x:c r="A517" t="str">
        <x:v>DHR-00516</x:v>
      </x:c>
      <x:c r="B517" t="str">
        <x:v>Reese Miller</x:v>
      </x:c>
      <x:c r="C517" t="str">
        <x:v>https://api.dicebear.com/9.x/adventurer/png?seed=DHR-00516-Reese%20Miller&amp;size=256&amp;radius=50&amp;backgroundColor=b6e3f4,c0aede,d1d4f9,ffd5dc,ffdfbf</x:v>
      </x:c>
      <x:c r="D517" t="str">
        <x:v>reese.miller.516@example.com</x:v>
      </x:c>
      <x:c r="E517" t="str">
        <x:v>+1 (305) 555-0115</x:v>
      </x:c>
      <x:c r="F517" t="str">
        <x:v>Miami, FL</x:v>
      </x:c>
      <x:c r="G517" t="str">
        <x:v>Miami</x:v>
      </x:c>
      <x:c r="H517" t="str">
        <x:v>FL</x:v>
      </x:c>
      <x:c r="I517" s="18" t="str">
        <x:v>33130</x:v>
      </x:c>
      <x:c r="J517" s="15" t="n">
        <x:v>24765.535334780092</x:v>
      </x:c>
      <x:c r="K517" t="n">
        <x:f>INT((DATE(2025,12,31)-J517)/365.25)</x:f>
        <x:v>58</x:v>
      </x:c>
      <x:c r="L517" t="str">
        <x:f>IF(K517&lt;25,"18-24",IF(K517&lt;35,"25-34",IF(K517&lt;45,"35-44",IF(K517&lt;55,"45-54","55+"))))</x:f>
        <x:v>55+</x:v>
      </x:c>
      <x:c r="M517" s="15" t="n">
        <x:v>44380.59613128472</x:v>
      </x:c>
      <x:c r="N517" t="n">
        <x:f>(YEAR(DATE(2025,12,31))-YEAR(M517))*12+MONTH(DATE(2025,12,31))-MONTH(M517)</x:f>
        <x:v>53</x:v>
      </x:c>
      <x:c r="O517" t="str">
        <x:v>ACTIVE</x:v>
      </x:c>
      <x:c r="P517" t="str">
        <x:v>INDEPENDENT_CONTRACTOR</x:v>
      </x:c>
      <x:c r="Q517" t="str">
        <x:v>CAR</x:v>
      </x:c>
      <x:c r="R517" t="str">
        <x:v>LUNCH</x:v>
      </x:c>
      <x:c r="S517" t="n">
        <x:v>39</x:v>
      </x:c>
      <x:c r="T517" t="str">
        <x:v>CLEARED</x:v>
      </x:c>
      <x:c r="U517" t="str">
        <x:v>VALID</x:v>
      </x:c>
      <x:c r="V517" s="16" t="n">
        <x:v>0.8726</x:v>
      </x:c>
      <x:c r="W517" t="str">
        <x:v>English</x:v>
      </x:c>
      <x:c r="X517"/>
      <x:c r="Y517" t="n">
        <x:v>4951</x:v>
      </x:c>
      <x:c r="Z517" s="17" t="n">
        <x:v>4.73</x:v>
      </x:c>
      <x:c r="AA517" s="16" t="n">
        <x:v>0.7075</x:v>
      </x:c>
      <x:c r="AB517" s="16" t="n">
        <x:v>0.946</x:v>
      </x:c>
      <x:c r="AC517" s="16" t="n">
        <x:v>0.9195</x:v>
      </x:c>
      <x:c r="AD517" t="n">
        <x:v>0</x:v>
      </x:c>
      <x:c r="AE517" t="str">
        <x:f>IF(O517&lt;&gt;"ACTIVE","NOT_RATED",IF(AND(Z517&gt;=4.8,AB517&gt;=0.97,AC517&gt;=0.93,AD517=0),"ELITE",IF(AND(Z517&gt;=4.6,AB517&gt;=0.94,AC517&gt;=0.88),"HIGH_PERFORMER",IF(OR(Z517&lt;4.2,AB517&lt;0.85,AD517&gt;=2),"AT_RISK","STANDARD"))))</x:f>
        <x:v>HIGH_PERFORMER</x:v>
      </x:c>
      <x:c r="AF517" s="15" t="n">
        <x:v>46009</x:v>
      </x:c>
      <x:c r="AG517" t="str">
        <x:v>VERIFIED</x:v>
      </x:c>
      <x:c r="AH517" t="str">
        <x:v>COMPLETE</x:v>
      </x:c>
      <x:c r="AI517" t="str">
        <x:v>Parker Anderson</x:v>
      </x:c>
      <x:c r="AJ517" t="str">
        <x:v>FRIEND</x:v>
      </x:c>
      <x:c r="AK517" t="str">
        <x:v>+1 (305) 555-0128</x:v>
      </x:c>
    </x:row>
    <x:row r="518" ht="18" customHeight="1">
      <x:c r="A518" t="str">
        <x:v>DHR-00517</x:v>
      </x:c>
      <x:c r="B518" t="str">
        <x:v>Reese Moore</x:v>
      </x:c>
      <x:c r="C518" t="str">
        <x:v>https://api.dicebear.com/9.x/adventurer/png?seed=DHR-00517-Reese%20Moore&amp;size=256&amp;radius=50&amp;backgroundColor=b6e3f4,c0aede,d1d4f9,ffd5dc,ffdfbf</x:v>
      </x:c>
      <x:c r="D518" t="str">
        <x:v>reese.moore.517@example.com</x:v>
      </x:c>
      <x:c r="E518" t="str">
        <x:v>+1 (904) 555-0116</x:v>
      </x:c>
      <x:c r="F518" t="str">
        <x:v>Jacksonville, FL</x:v>
      </x:c>
      <x:c r="G518" t="str">
        <x:v>Jacksonville</x:v>
      </x:c>
      <x:c r="H518" t="str">
        <x:v>FL</x:v>
      </x:c>
      <x:c r="I518" s="18" t="str">
        <x:v>32202</x:v>
      </x:c>
      <x:c r="J518" s="15" t="n">
        <x:v>26949.639221608795</x:v>
      </x:c>
      <x:c r="K518" t="n">
        <x:f>INT((DATE(2025,12,31)-J518)/365.25)</x:f>
        <x:v>52</x:v>
      </x:c>
      <x:c r="L518" t="str">
        <x:f>IF(K518&lt;25,"18-24",IF(K518&lt;35,"25-34",IF(K518&lt;45,"35-44",IF(K518&lt;55,"45-54","55+"))))</x:f>
        <x:v>45-54</x:v>
      </x:c>
      <x:c r="M518" s="15" t="n">
        <x:v>43850.57540136574</x:v>
      </x:c>
      <x:c r="N518" t="n">
        <x:f>(YEAR(DATE(2025,12,31))-YEAR(M518))*12+MONTH(DATE(2025,12,31))-MONTH(M518)</x:f>
        <x:v>71</x:v>
      </x:c>
      <x:c r="O518" t="str">
        <x:v>ACTIVE</x:v>
      </x:c>
      <x:c r="P518" t="str">
        <x:v>INDEPENDENT_CONTRACTOR</x:v>
      </x:c>
      <x:c r="Q518" t="str">
        <x:v>CAR</x:v>
      </x:c>
      <x:c r="R518" t="str">
        <x:v>FLEXIBLE</x:v>
      </x:c>
      <x:c r="S518" t="n">
        <x:v>40</x:v>
      </x:c>
      <x:c r="T518" t="str">
        <x:v>CLEARED</x:v>
      </x:c>
      <x:c r="U518" t="str">
        <x:v>VALID</x:v>
      </x:c>
      <x:c r="V518" s="16" t="n">
        <x:v>0.7919</x:v>
      </x:c>
      <x:c r="W518" t="str">
        <x:v>Spanish</x:v>
      </x:c>
      <x:c r="X518"/>
      <x:c r="Y518" t="n">
        <x:v>9529</x:v>
      </x:c>
      <x:c r="Z518" s="17" t="n">
        <x:v>4.97</x:v>
      </x:c>
      <x:c r="AA518" s="16" t="n">
        <x:v>0.676</x:v>
      </x:c>
      <x:c r="AB518" s="16" t="n">
        <x:v>0.998</x:v>
      </x:c>
      <x:c r="AC518" s="16" t="n">
        <x:v>0.948</x:v>
      </x:c>
      <x:c r="AD518" t="n">
        <x:v>0</x:v>
      </x:c>
      <x:c r="AE518" t="str">
        <x:f>IF(O518&lt;&gt;"ACTIVE","NOT_RATED",IF(AND(Z518&gt;=4.8,AB518&gt;=0.97,AC518&gt;=0.93,AD518=0),"ELITE",IF(AND(Z518&gt;=4.6,AB518&gt;=0.94,AC518&gt;=0.88),"HIGH_PERFORMER",IF(OR(Z518&lt;4.2,AB518&lt;0.85,AD518&gt;=2),"AT_RISK","STANDARD"))))</x:f>
        <x:v>ELITE</x:v>
      </x:c>
      <x:c r="AF518" s="15" t="n">
        <x:v>46010</x:v>
      </x:c>
      <x:c r="AG518" t="str">
        <x:v>VERIFIED</x:v>
      </x:c>
      <x:c r="AH518" t="str">
        <x:v>COMPLETE</x:v>
      </x:c>
      <x:c r="AI518" t="str">
        <x:v>Alex Davis</x:v>
      </x:c>
      <x:c r="AJ518" t="str">
        <x:v>SPOUSE_PARTNER</x:v>
      </x:c>
      <x:c r="AK518" t="str">
        <x:v>+1 (904) 555-0135</x:v>
      </x:c>
    </x:row>
    <x:row r="519" ht="18" customHeight="1">
      <x:c r="A519" t="str">
        <x:v>DHR-00518</x:v>
      </x:c>
      <x:c r="B519" t="str">
        <x:v>Reese Perez</x:v>
      </x:c>
      <x:c r="C519" t="str">
        <x:v>https://api.dicebear.com/9.x/adventurer/png?seed=DHR-00518-Reese%20Perez&amp;size=256&amp;radius=50&amp;backgroundColor=b6e3f4,c0aede,d1d4f9,ffd5dc,ffdfbf</x:v>
      </x:c>
      <x:c r="D519" t="str">
        <x:v>reese.perez.518@example.com</x:v>
      </x:c>
      <x:c r="E519" t="str">
        <x:v>+1 (702) 555-0117</x:v>
      </x:c>
      <x:c r="F519" t="str">
        <x:v>Las Vegas, NV</x:v>
      </x:c>
      <x:c r="G519" t="str">
        <x:v>Las Vegas</x:v>
      </x:c>
      <x:c r="H519" t="str">
        <x:v>NV</x:v>
      </x:c>
      <x:c r="I519" s="18" t="str">
        <x:v>89101</x:v>
      </x:c>
      <x:c r="J519" s="15" t="n">
        <x:v>32330.107055046297</x:v>
      </x:c>
      <x:c r="K519" t="n">
        <x:f>INT((DATE(2025,12,31)-J519)/365.25)</x:f>
        <x:v>37</x:v>
      </x:c>
      <x:c r="L519" t="str">
        <x:f>IF(K519&lt;25,"18-24",IF(K519&lt;35,"25-34",IF(K519&lt;45,"35-44",IF(K519&lt;55,"45-54","55+"))))</x:f>
        <x:v>35-44</x:v>
      </x:c>
      <x:c r="M519" s="15" t="n">
        <x:v>44777.081953113426</x:v>
      </x:c>
      <x:c r="N519" t="n">
        <x:f>(YEAR(DATE(2025,12,31))-YEAR(M519))*12+MONTH(DATE(2025,12,31))-MONTH(M519)</x:f>
        <x:v>40</x:v>
      </x:c>
      <x:c r="O519" t="str">
        <x:v>ACTIVE</x:v>
      </x:c>
      <x:c r="P519" t="str">
        <x:v>INDEPENDENT_CONTRACTOR</x:v>
      </x:c>
      <x:c r="Q519" t="str">
        <x:v>MOTORCYCLE</x:v>
      </x:c>
      <x:c r="R519" t="str">
        <x:v>DINNER</x:v>
      </x:c>
      <x:c r="S519" t="n">
        <x:v>48</x:v>
      </x:c>
      <x:c r="T519" t="str">
        <x:v>CLEARED</x:v>
      </x:c>
      <x:c r="U519" t="str">
        <x:v>VALID</x:v>
      </x:c>
      <x:c r="V519" s="16" t="n">
        <x:v>0.9159</x:v>
      </x:c>
      <x:c r="W519" t="str">
        <x:v>English</x:v>
      </x:c>
      <x:c r="X519" t="str">
        <x:v>Spanish</x:v>
      </x:c>
      <x:c r="Y519" t="n">
        <x:v>4955</x:v>
      </x:c>
      <x:c r="Z519" s="17" t="n">
        <x:v>4.75</x:v>
      </x:c>
      <x:c r="AA519" s="16" t="n">
        <x:v>0.7856</x:v>
      </x:c>
      <x:c r="AB519" s="16" t="n">
        <x:v>0.9692</x:v>
      </x:c>
      <x:c r="AC519" s="16" t="n">
        <x:v>0.8251</x:v>
      </x:c>
      <x:c r="AD519" t="n">
        <x:v>0</x:v>
      </x:c>
      <x:c r="AE519" t="str">
        <x:f>IF(O519&lt;&gt;"ACTIVE","NOT_RATED",IF(AND(Z519&gt;=4.8,AB519&gt;=0.97,AC519&gt;=0.93,AD519=0),"ELITE",IF(AND(Z519&gt;=4.6,AB519&gt;=0.94,AC519&gt;=0.88),"HIGH_PERFORMER",IF(OR(Z519&lt;4.2,AB519&lt;0.85,AD519&gt;=2),"AT_RISK","STANDARD"))))</x:f>
        <x:v>STANDARD</x:v>
      </x:c>
      <x:c r="AF519" s="15" t="n">
        <x:v>46020</x:v>
      </x:c>
      <x:c r="AG519" t="str">
        <x:v>VERIFIED</x:v>
      </x:c>
      <x:c r="AH519" t="str">
        <x:v>COMPLETE</x:v>
      </x:c>
      <x:c r="AI519" t="str">
        <x:v>Ava Lewis</x:v>
      </x:c>
      <x:c r="AJ519" t="str">
        <x:v>SIBLING</x:v>
      </x:c>
      <x:c r="AK519" t="str">
        <x:v>+1 (702) 555-0142</x:v>
      </x:c>
    </x:row>
    <x:row r="520" ht="18" customHeight="1">
      <x:c r="A520" t="str">
        <x:v>DHR-00519</x:v>
      </x:c>
      <x:c r="B520" t="str">
        <x:v>Reese Rodriguez</x:v>
      </x:c>
      <x:c r="C520" t="str">
        <x:v>https://api.dicebear.com/9.x/adventurer/png?seed=DHR-00519-Reese%20Rodriguez&amp;size=256&amp;radius=50&amp;backgroundColor=b6e3f4,c0aede,d1d4f9,ffd5dc,ffdfbf</x:v>
      </x:c>
      <x:c r="D520" t="str">
        <x:v>reese.rodriguez.519@example.com</x:v>
      </x:c>
      <x:c r="E520" t="str">
        <x:v>+1 (305) 555-0118</x:v>
      </x:c>
      <x:c r="F520" t="str">
        <x:v>Miami, FL</x:v>
      </x:c>
      <x:c r="G520" t="str">
        <x:v>Miami</x:v>
      </x:c>
      <x:c r="H520" t="str">
        <x:v>FL</x:v>
      </x:c>
      <x:c r="I520" s="18" t="str">
        <x:v>33130</x:v>
      </x:c>
      <x:c r="J520" s="15" t="n">
        <x:v>35185.72738024306</x:v>
      </x:c>
      <x:c r="K520" t="n">
        <x:f>INT((DATE(2025,12,31)-J520)/365.25)</x:f>
        <x:v>29</x:v>
      </x:c>
      <x:c r="L520" t="str">
        <x:f>IF(K520&lt;25,"18-24",IF(K520&lt;35,"25-34",IF(K520&lt;45,"35-44",IF(K520&lt;55,"45-54","55+"))))</x:f>
        <x:v>25-34</x:v>
      </x:c>
      <x:c r="M520" s="15" t="n">
        <x:v>43918.94126989583</x:v>
      </x:c>
      <x:c r="N520" t="n">
        <x:f>(YEAR(DATE(2025,12,31))-YEAR(M520))*12+MONTH(DATE(2025,12,31))-MONTH(M520)</x:f>
        <x:v>69</x:v>
      </x:c>
      <x:c r="O520" t="str">
        <x:v>ACTIVE</x:v>
      </x:c>
      <x:c r="P520" t="str">
        <x:v>INDEPENDENT_CONTRACTOR</x:v>
      </x:c>
      <x:c r="Q520" t="str">
        <x:v>BICYCLE</x:v>
      </x:c>
      <x:c r="R520" t="str">
        <x:v>DINNER</x:v>
      </x:c>
      <x:c r="S520" t="n">
        <x:v>39</x:v>
      </x:c>
      <x:c r="T520" t="str">
        <x:v>CLEARED</x:v>
      </x:c>
      <x:c r="U520" t="str">
        <x:v>NOT_REQUIRED</x:v>
      </x:c>
      <x:c r="V520" s="16" t="n">
        <x:v>0.9438</x:v>
      </x:c>
      <x:c r="W520" t="str">
        <x:v>English</x:v>
      </x:c>
      <x:c r="X520"/>
      <x:c r="Y520" t="n">
        <x:v>8523</x:v>
      </x:c>
      <x:c r="Z520" s="17" t="n">
        <x:v>4.67</x:v>
      </x:c>
      <x:c r="AA520" s="16" t="n">
        <x:v>0.7964</x:v>
      </x:c>
      <x:c r="AB520" s="16" t="n">
        <x:v>0.998</x:v>
      </x:c>
      <x:c r="AC520" s="16" t="n">
        <x:v>0.901</x:v>
      </x:c>
      <x:c r="AD520" t="n">
        <x:v>0</x:v>
      </x:c>
      <x:c r="AE520" t="str">
        <x:f>IF(O520&lt;&gt;"ACTIVE","NOT_RATED",IF(AND(Z520&gt;=4.8,AB520&gt;=0.97,AC520&gt;=0.93,AD520=0),"ELITE",IF(AND(Z520&gt;=4.6,AB520&gt;=0.94,AC520&gt;=0.88),"HIGH_PERFORMER",IF(OR(Z520&lt;4.2,AB520&lt;0.85,AD520&gt;=2),"AT_RISK","STANDARD"))))</x:f>
        <x:v>HIGH_PERFORMER</x:v>
      </x:c>
      <x:c r="AF520" s="15" t="n">
        <x:v>46019</x:v>
      </x:c>
      <x:c r="AG520" t="str">
        <x:v>VERIFIED</x:v>
      </x:c>
      <x:c r="AH520" t="str">
        <x:v>PENDING</x:v>
      </x:c>
      <x:c r="AI520" t="str">
        <x:v>Jamie Miller</x:v>
      </x:c>
      <x:c r="AJ520" t="str">
        <x:v>SPOUSE_PARTNER</x:v>
      </x:c>
      <x:c r="AK520" t="str">
        <x:v>+1 (305) 555-0149</x:v>
      </x:c>
    </x:row>
    <x:row r="521" ht="18" customHeight="1">
      <x:c r="A521" t="str">
        <x:v>DHR-00520</x:v>
      </x:c>
      <x:c r="B521" t="str">
        <x:v>Reese Taylor</x:v>
      </x:c>
      <x:c r="C521" t="str">
        <x:v>https://api.dicebear.com/9.x/adventurer/png?seed=DHR-00520-Reese%20Taylor&amp;size=256&amp;radius=50&amp;backgroundColor=b6e3f4,c0aede,d1d4f9,ffd5dc,ffdfbf</x:v>
      </x:c>
      <x:c r="D521" t="str">
        <x:v>reese.taylor.520@example.com</x:v>
      </x:c>
      <x:c r="E521" t="str">
        <x:v>+1 (415) 555-0119</x:v>
      </x:c>
      <x:c r="F521" t="str">
        <x:v>San Francisco, CA</x:v>
      </x:c>
      <x:c r="G521" t="str">
        <x:v>San Francisco</x:v>
      </x:c>
      <x:c r="H521" t="str">
        <x:v>CA</x:v>
      </x:c>
      <x:c r="I521" s="18" t="str">
        <x:v>94103</x:v>
      </x:c>
      <x:c r="J521" s="15" t="n">
        <x:v>24211.079613506943</x:v>
      </x:c>
      <x:c r="K521" t="n">
        <x:f>INT((DATE(2025,12,31)-J521)/365.25)</x:f>
        <x:v>59</x:v>
      </x:c>
      <x:c r="L521" t="str">
        <x:f>IF(K521&lt;25,"18-24",IF(K521&lt;35,"25-34",IF(K521&lt;45,"35-44",IF(K521&lt;55,"45-54","55+"))))</x:f>
        <x:v>55+</x:v>
      </x:c>
      <x:c r="M521" s="15" t="n">
        <x:v>45017.72437016204</x:v>
      </x:c>
      <x:c r="N521" t="n">
        <x:f>(YEAR(DATE(2025,12,31))-YEAR(M521))*12+MONTH(DATE(2025,12,31))-MONTH(M521)</x:f>
        <x:v>32</x:v>
      </x:c>
      <x:c r="O521" t="str">
        <x:v>ACTIVE</x:v>
      </x:c>
      <x:c r="P521" t="str">
        <x:v>INDEPENDENT_CONTRACTOR</x:v>
      </x:c>
      <x:c r="Q521" t="str">
        <x:v>CAR</x:v>
      </x:c>
      <x:c r="R521" t="str">
        <x:v>LUNCH</x:v>
      </x:c>
      <x:c r="S521" t="n">
        <x:v>15</x:v>
      </x:c>
      <x:c r="T521" t="str">
        <x:v>CLEARED</x:v>
      </x:c>
      <x:c r="U521" t="str">
        <x:v>VALID</x:v>
      </x:c>
      <x:c r="V521" s="16" t="n">
        <x:v>0.9954</x:v>
      </x:c>
      <x:c r="W521" t="str">
        <x:v>English</x:v>
      </x:c>
      <x:c r="X521" t="str">
        <x:v>Spanish</x:v>
      </x:c>
      <x:c r="Y521" t="n">
        <x:v>1844</x:v>
      </x:c>
      <x:c r="Z521" s="17" t="n">
        <x:v>4.21</x:v>
      </x:c>
      <x:c r="AA521" s="16" t="n">
        <x:v>0.9766</x:v>
      </x:c>
      <x:c r="AB521" s="16" t="n">
        <x:v>0.9634</x:v>
      </x:c>
      <x:c r="AC521" s="16" t="n">
        <x:v>0.9479</x:v>
      </x:c>
      <x:c r="AD521" t="n">
        <x:v>0</x:v>
      </x:c>
      <x:c r="AE521" t="str">
        <x:f>IF(O521&lt;&gt;"ACTIVE","NOT_RATED",IF(AND(Z521&gt;=4.8,AB521&gt;=0.97,AC521&gt;=0.93,AD521=0),"ELITE",IF(AND(Z521&gt;=4.6,AB521&gt;=0.94,AC521&gt;=0.88),"HIGH_PERFORMER",IF(OR(Z521&lt;4.2,AB521&lt;0.85,AD521&gt;=2),"AT_RISK","STANDARD"))))</x:f>
        <x:v>STANDARD</x:v>
      </x:c>
      <x:c r="AF521" s="15" t="n">
        <x:v>46014</x:v>
      </x:c>
      <x:c r="AG521" t="str">
        <x:v>VERIFIED</x:v>
      </x:c>
      <x:c r="AH521" t="str">
        <x:v>COMPLETE</x:v>
      </x:c>
      <x:c r="AI521" t="str">
        <x:v>Lucas Jackson</x:v>
      </x:c>
      <x:c r="AJ521" t="str">
        <x:v>PARENT</x:v>
      </x:c>
      <x:c r="AK521" t="str">
        <x:v>+1 (415) 555-0156</x:v>
      </x:c>
    </x:row>
    <x:row r="522" ht="18" customHeight="1">
      <x:c r="A522" t="str">
        <x:v>DHR-00521</x:v>
      </x:c>
      <x:c r="B522" t="str">
        <x:v>Reese Thomas</x:v>
      </x:c>
      <x:c r="C522" t="str">
        <x:v>https://api.dicebear.com/9.x/adventurer/png?seed=DHR-00521-Reese%20Thomas&amp;size=256&amp;radius=50&amp;backgroundColor=b6e3f4,c0aede,d1d4f9,ffd5dc,ffdfbf</x:v>
      </x:c>
      <x:c r="D522" t="str">
        <x:v>reese.thomas.521@example.com</x:v>
      </x:c>
      <x:c r="E522" t="str">
        <x:v>+1 (312) 555-0120</x:v>
      </x:c>
      <x:c r="F522" t="str">
        <x:v>Chicago, IL</x:v>
      </x:c>
      <x:c r="G522" t="str">
        <x:v>Chicago</x:v>
      </x:c>
      <x:c r="H522" t="str">
        <x:v>IL</x:v>
      </x:c>
      <x:c r="I522" s="18" t="str">
        <x:v>60601</x:v>
      </x:c>
      <x:c r="J522" s="15" t="n">
        <x:v>24594.904893993054</x:v>
      </x:c>
      <x:c r="K522" t="n">
        <x:f>INT((DATE(2025,12,31)-J522)/365.25)</x:f>
        <x:v>58</x:v>
      </x:c>
      <x:c r="L522" t="str">
        <x:f>IF(K522&lt;25,"18-24",IF(K522&lt;35,"25-34",IF(K522&lt;45,"35-44",IF(K522&lt;55,"45-54","55+"))))</x:f>
        <x:v>55+</x:v>
      </x:c>
      <x:c r="M522" s="15" t="n">
        <x:v>43705.926972407404</x:v>
      </x:c>
      <x:c r="N522" t="n">
        <x:f>(YEAR(DATE(2025,12,31))-YEAR(M522))*12+MONTH(DATE(2025,12,31))-MONTH(M522)</x:f>
        <x:v>76</x:v>
      </x:c>
      <x:c r="O522" t="str">
        <x:v>PAUSED</x:v>
      </x:c>
      <x:c r="P522" t="str">
        <x:v>INDEPENDENT_CONTRACTOR</x:v>
      </x:c>
      <x:c r="Q522" t="str">
        <x:v>CAR</x:v>
      </x:c>
      <x:c r="R522" t="str">
        <x:v>WEEKENDS</x:v>
      </x:c>
      <x:c r="S522" t="n">
        <x:v>11</x:v>
      </x:c>
      <x:c r="T522" t="str">
        <x:v>CLEARED</x:v>
      </x:c>
      <x:c r="U522" t="str">
        <x:v>VALID</x:v>
      </x:c>
      <x:c r="V522" s="16" t="n">
        <x:v>0.9405</x:v>
      </x:c>
      <x:c r="W522" t="str">
        <x:v>Korean</x:v>
      </x:c>
      <x:c r="X522"/>
      <x:c r="Y522" t="n">
        <x:v>2998</x:v>
      </x:c>
      <x:c r="Z522" s="17" t="n">
        <x:v>4.83</x:v>
      </x:c>
      <x:c r="AA522" s="16" t="n">
        <x:v>0.7839</x:v>
      </x:c>
      <x:c r="AB522" s="16" t="n">
        <x:v>0.9633</x:v>
      </x:c>
      <x:c r="AC522" s="16" t="n">
        <x:v>0.8772</x:v>
      </x:c>
      <x:c r="AD522" t="n">
        <x:v>0</x:v>
      </x:c>
      <x:c r="AE522" t="str">
        <x:f>IF(O522&lt;&gt;"ACTIVE","NOT_RATED",IF(AND(Z522&gt;=4.8,AB522&gt;=0.97,AC522&gt;=0.93,AD522=0),"ELITE",IF(AND(Z522&gt;=4.6,AB522&gt;=0.94,AC522&gt;=0.88),"HIGH_PERFORMER",IF(OR(Z522&lt;4.2,AB522&lt;0.85,AD522&gt;=2),"AT_RISK","STANDARD"))))</x:f>
        <x:v>NOT_RATED</x:v>
      </x:c>
      <x:c r="AF522" s="15" t="n">
        <x:v>45941</x:v>
      </x:c>
      <x:c r="AG522" t="str">
        <x:v>VERIFIED</x:v>
      </x:c>
      <x:c r="AH522" t="str">
        <x:v>COMPLETE</x:v>
      </x:c>
      <x:c r="AI522" t="str">
        <x:v>Quinn Perez</x:v>
      </x:c>
      <x:c r="AJ522" t="str">
        <x:v>SPOUSE_PARTNER</x:v>
      </x:c>
      <x:c r="AK522" t="str">
        <x:v>+1 (312) 555-0163</x:v>
      </x:c>
    </x:row>
    <x:row r="523" ht="18" customHeight="1">
      <x:c r="A523" t="str">
        <x:v>DHR-00522</x:v>
      </x:c>
      <x:c r="B523" t="str">
        <x:v>Reese Thompson</x:v>
      </x:c>
      <x:c r="C523" t="str">
        <x:v>https://api.dicebear.com/9.x/adventurer/png?seed=DHR-00522-Reese%20Thompson&amp;size=256&amp;radius=50&amp;backgroundColor=b6e3f4,c0aede,d1d4f9,ffd5dc,ffdfbf</x:v>
      </x:c>
      <x:c r="D523" t="str">
        <x:v>reese.thompson.522@example.com</x:v>
      </x:c>
      <x:c r="E523" t="str">
        <x:v>+1 (415) 555-0121</x:v>
      </x:c>
      <x:c r="F523" t="str">
        <x:v>San Francisco, CA</x:v>
      </x:c>
      <x:c r="G523" t="str">
        <x:v>San Francisco</x:v>
      </x:c>
      <x:c r="H523" t="str">
        <x:v>CA</x:v>
      </x:c>
      <x:c r="I523" s="18" t="str">
        <x:v>94103</x:v>
      </x:c>
      <x:c r="J523" s="15" t="n">
        <x:v>32308.853832175926</x:v>
      </x:c>
      <x:c r="K523" t="n">
        <x:f>INT((DATE(2025,12,31)-J523)/365.25)</x:f>
        <x:v>37</x:v>
      </x:c>
      <x:c r="L523" t="str">
        <x:f>IF(K523&lt;25,"18-24",IF(K523&lt;35,"25-34",IF(K523&lt;45,"35-44",IF(K523&lt;55,"45-54","55+"))))</x:f>
        <x:v>35-44</x:v>
      </x:c>
      <x:c r="M523" s="15" t="n">
        <x:v>45359.154635150466</x:v>
      </x:c>
      <x:c r="N523" t="n">
        <x:f>(YEAR(DATE(2025,12,31))-YEAR(M523))*12+MONTH(DATE(2025,12,31))-MONTH(M523)</x:f>
        <x:v>21</x:v>
      </x:c>
      <x:c r="O523" t="str">
        <x:v>ACTIVE</x:v>
      </x:c>
      <x:c r="P523" t="str">
        <x:v>INDEPENDENT_CONTRACTOR</x:v>
      </x:c>
      <x:c r="Q523" t="str">
        <x:v>CAR</x:v>
      </x:c>
      <x:c r="R523" t="str">
        <x:v>FLEXIBLE</x:v>
      </x:c>
      <x:c r="S523" t="n">
        <x:v>19</x:v>
      </x:c>
      <x:c r="T523" t="str">
        <x:v>CLEARED</x:v>
      </x:c>
      <x:c r="U523" t="str">
        <x:v>EXPIRING_SOON</x:v>
      </x:c>
      <x:c r="V523" s="16" t="n">
        <x:v>0.931</x:v>
      </x:c>
      <x:c r="W523" t="str">
        <x:v>English</x:v>
      </x:c>
      <x:c r="X523"/>
      <x:c r="Y523" t="n">
        <x:v>1035</x:v>
      </x:c>
      <x:c r="Z523" s="17" t="n">
        <x:v>4.24</x:v>
      </x:c>
      <x:c r="AA523" s="16" t="n">
        <x:v>0.7468</x:v>
      </x:c>
      <x:c r="AB523" s="16" t="n">
        <x:v>0.9935</x:v>
      </x:c>
      <x:c r="AC523" s="16" t="n">
        <x:v>0.8409</x:v>
      </x:c>
      <x:c r="AD523" t="n">
        <x:v>0</x:v>
      </x:c>
      <x:c r="AE523" t="str">
        <x:f>IF(O523&lt;&gt;"ACTIVE","NOT_RATED",IF(AND(Z523&gt;=4.8,AB523&gt;=0.97,AC523&gt;=0.93,AD523=0),"ELITE",IF(AND(Z523&gt;=4.6,AB523&gt;=0.94,AC523&gt;=0.88),"HIGH_PERFORMER",IF(OR(Z523&lt;4.2,AB523&lt;0.85,AD523&gt;=2),"AT_RISK","STANDARD"))))</x:f>
        <x:v>STANDARD</x:v>
      </x:c>
      <x:c r="AF523" s="15" t="n">
        <x:v>46008</x:v>
      </x:c>
      <x:c r="AG523" t="str">
        <x:v>VERIFIED</x:v>
      </x:c>
      <x:c r="AH523" t="str">
        <x:v>COMPLETE</x:v>
      </x:c>
      <x:c r="AI523" t="str">
        <x:v>Sam Lee</x:v>
      </x:c>
      <x:c r="AJ523" t="str">
        <x:v>PARENT</x:v>
      </x:c>
      <x:c r="AK523" t="str">
        <x:v>+1 (415) 555-0170</x:v>
      </x:c>
    </x:row>
    <x:row r="524" ht="18" customHeight="1">
      <x:c r="A524" t="str">
        <x:v>DHR-00523</x:v>
      </x:c>
      <x:c r="B524" t="str">
        <x:v>Reese Walker</x:v>
      </x:c>
      <x:c r="C524" t="str">
        <x:v>https://api.dicebear.com/9.x/adventurer/png?seed=DHR-00523-Reese%20Walker&amp;size=256&amp;radius=50&amp;backgroundColor=b6e3f4,c0aede,d1d4f9,ffd5dc,ffdfbf</x:v>
      </x:c>
      <x:c r="D524" t="str">
        <x:v>reese.walker.523@example.com</x:v>
      </x:c>
      <x:c r="E524" t="str">
        <x:v>+1 (619) 555-0122</x:v>
      </x:c>
      <x:c r="F524" t="str">
        <x:v>San Diego, CA</x:v>
      </x:c>
      <x:c r="G524" t="str">
        <x:v>San Diego</x:v>
      </x:c>
      <x:c r="H524" t="str">
        <x:v>CA</x:v>
      </x:c>
      <x:c r="I524" s="18" t="str">
        <x:v>92101</x:v>
      </x:c>
      <x:c r="J524" s="15" t="n">
        <x:v>23911.36108616898</x:v>
      </x:c>
      <x:c r="K524" t="n">
        <x:f>INT((DATE(2025,12,31)-J524)/365.25)</x:f>
        <x:v>60</x:v>
      </x:c>
      <x:c r="L524" t="str">
        <x:f>IF(K524&lt;25,"18-24",IF(K524&lt;35,"25-34",IF(K524&lt;45,"35-44",IF(K524&lt;55,"45-54","55+"))))</x:f>
        <x:v>55+</x:v>
      </x:c>
      <x:c r="M524" s="15" t="n">
        <x:v>45178.18163291667</x:v>
      </x:c>
      <x:c r="N524" t="n">
        <x:f>(YEAR(DATE(2025,12,31))-YEAR(M524))*12+MONTH(DATE(2025,12,31))-MONTH(M524)</x:f>
        <x:v>27</x:v>
      </x:c>
      <x:c r="O524" t="str">
        <x:v>ACTIVE</x:v>
      </x:c>
      <x:c r="P524" t="str">
        <x:v>INDEPENDENT_CONTRACTOR</x:v>
      </x:c>
      <x:c r="Q524" t="str">
        <x:v>CAR</x:v>
      </x:c>
      <x:c r="R524" t="str">
        <x:v>LUNCH</x:v>
      </x:c>
      <x:c r="S524" t="n">
        <x:v>12</x:v>
      </x:c>
      <x:c r="T524" t="str">
        <x:v>CLEARED</x:v>
      </x:c>
      <x:c r="U524" t="str">
        <x:v>VALID</x:v>
      </x:c>
      <x:c r="V524" s="16" t="n">
        <x:v>0.7913</x:v>
      </x:c>
      <x:c r="W524" t="str">
        <x:v>English</x:v>
      </x:c>
      <x:c r="X524"/>
      <x:c r="Y524" t="n">
        <x:v>911</x:v>
      </x:c>
      <x:c r="Z524" s="17" t="n">
        <x:v>4.33</x:v>
      </x:c>
      <x:c r="AA524" s="16" t="n">
        <x:v>0.613</x:v>
      </x:c>
      <x:c r="AB524" s="16" t="n">
        <x:v>0.9904</x:v>
      </x:c>
      <x:c r="AC524" s="16" t="n">
        <x:v>0.9088</x:v>
      </x:c>
      <x:c r="AD524" t="n">
        <x:v>0</x:v>
      </x:c>
      <x:c r="AE524" t="str">
        <x:f>IF(O524&lt;&gt;"ACTIVE","NOT_RATED",IF(AND(Z524&gt;=4.8,AB524&gt;=0.97,AC524&gt;=0.93,AD524=0),"ELITE",IF(AND(Z524&gt;=4.6,AB524&gt;=0.94,AC524&gt;=0.88),"HIGH_PERFORMER",IF(OR(Z524&lt;4.2,AB524&lt;0.85,AD524&gt;=2),"AT_RISK","STANDARD"))))</x:f>
        <x:v>STANDARD</x:v>
      </x:c>
      <x:c r="AF524" s="15" t="n">
        <x:v>46022</x:v>
      </x:c>
      <x:c r="AG524" t="str">
        <x:v>VERIFIED</x:v>
      </x:c>
      <x:c r="AH524" t="str">
        <x:v>COMPLETE</x:v>
      </x:c>
      <x:c r="AI524" t="str">
        <x:v>Emma Lewis</x:v>
      </x:c>
      <x:c r="AJ524" t="str">
        <x:v>SIBLING</x:v>
      </x:c>
      <x:c r="AK524" t="str">
        <x:v>+1 (619) 555-0177</x:v>
      </x:c>
    </x:row>
    <x:row r="525" ht="18" customHeight="1">
      <x:c r="A525" t="str">
        <x:v>DHR-00524</x:v>
      </x:c>
      <x:c r="B525" t="str">
        <x:v>Reese White</x:v>
      </x:c>
      <x:c r="C525" t="str">
        <x:v>https://api.dicebear.com/9.x/adventurer/png?seed=DHR-00524-Reese%20White&amp;size=256&amp;radius=50&amp;backgroundColor=b6e3f4,c0aede,d1d4f9,ffd5dc,ffdfbf</x:v>
      </x:c>
      <x:c r="D525" t="str">
        <x:v>reese.white.524@example.com</x:v>
      </x:c>
      <x:c r="E525" t="str">
        <x:v>+1 (212) 555-0123</x:v>
      </x:c>
      <x:c r="F525" t="str">
        <x:v>New York, NY</x:v>
      </x:c>
      <x:c r="G525" t="str">
        <x:v>New York</x:v>
      </x:c>
      <x:c r="H525" t="str">
        <x:v>NY</x:v>
      </x:c>
      <x:c r="I525" s="18" t="str">
        <x:v>10001</x:v>
      </x:c>
      <x:c r="J525" s="15" t="n">
        <x:v>38460.51681861111</x:v>
      </x:c>
      <x:c r="K525" t="n">
        <x:f>INT((DATE(2025,12,31)-J525)/365.25)</x:f>
        <x:v>20</x:v>
      </x:c>
      <x:c r="L525" t="str">
        <x:f>IF(K525&lt;25,"18-24",IF(K525&lt;35,"25-34",IF(K525&lt;45,"35-44",IF(K525&lt;55,"45-54","55+"))))</x:f>
        <x:v>18-24</x:v>
      </x:c>
      <x:c r="M525" s="15" t="n">
        <x:v>45651.09766634259</x:v>
      </x:c>
      <x:c r="N525" t="n">
        <x:f>(YEAR(DATE(2025,12,31))-YEAR(M525))*12+MONTH(DATE(2025,12,31))-MONTH(M525)</x:f>
        <x:v>12</x:v>
      </x:c>
      <x:c r="O525" t="str">
        <x:v>ACTIVE</x:v>
      </x:c>
      <x:c r="P525" t="str">
        <x:v>INDEPENDENT_CONTRACTOR</x:v>
      </x:c>
      <x:c r="Q525" t="str">
        <x:v>MOTORCYCLE</x:v>
      </x:c>
      <x:c r="R525" t="str">
        <x:v>LUNCH</x:v>
      </x:c>
      <x:c r="S525" t="n">
        <x:v>14</x:v>
      </x:c>
      <x:c r="T525" t="str">
        <x:v>CLEARED</x:v>
      </x:c>
      <x:c r="U525" t="str">
        <x:v>VALID</x:v>
      </x:c>
      <x:c r="V525" s="16" t="n">
        <x:v>0.9107</x:v>
      </x:c>
      <x:c r="W525" t="str">
        <x:v>English</x:v>
      </x:c>
      <x:c r="X525" t="str">
        <x:v>Mandarin</x:v>
      </x:c>
      <x:c r="Y525" t="n">
        <x:v>450</x:v>
      </x:c>
      <x:c r="Z525" s="17" t="n">
        <x:v>4.31</x:v>
      </x:c>
      <x:c r="AA525" s="16" t="n">
        <x:v>0.8461</x:v>
      </x:c>
      <x:c r="AB525" s="16" t="n">
        <x:v>0.9162</x:v>
      </x:c>
      <x:c r="AC525" s="16" t="n">
        <x:v>0.8844</x:v>
      </x:c>
      <x:c r="AD525" t="n">
        <x:v>0</x:v>
      </x:c>
      <x:c r="AE525" t="str">
        <x:f>IF(O525&lt;&gt;"ACTIVE","NOT_RATED",IF(AND(Z525&gt;=4.8,AB525&gt;=0.97,AC525&gt;=0.93,AD525=0),"ELITE",IF(AND(Z525&gt;=4.6,AB525&gt;=0.94,AC525&gt;=0.88),"HIGH_PERFORMER",IF(OR(Z525&lt;4.2,AB525&lt;0.85,AD525&gt;=2),"AT_RISK","STANDARD"))))</x:f>
        <x:v>STANDARD</x:v>
      </x:c>
      <x:c r="AF525" s="15" t="n">
        <x:v>46010</x:v>
      </x:c>
      <x:c r="AG525" t="str">
        <x:v>VERIFIED</x:v>
      </x:c>
      <x:c r="AH525" t="str">
        <x:v>COMPLETE</x:v>
      </x:c>
      <x:c r="AI525" t="str">
        <x:v>Emma Moore</x:v>
      </x:c>
      <x:c r="AJ525" t="str">
        <x:v>SPOUSE_PARTNER</x:v>
      </x:c>
      <x:c r="AK525" t="str">
        <x:v>+1 (212) 555-0184</x:v>
      </x:c>
    </x:row>
    <x:row r="526" ht="18" customHeight="1">
      <x:c r="A526" t="str">
        <x:v>DHR-00525</x:v>
      </x:c>
      <x:c r="B526" t="str">
        <x:v>Reese Williams</x:v>
      </x:c>
      <x:c r="C526" t="str">
        <x:v>https://api.dicebear.com/9.x/adventurer/png?seed=DHR-00525-Reese%20Williams&amp;size=256&amp;radius=50&amp;backgroundColor=b6e3f4,c0aede,d1d4f9,ffd5dc,ffdfbf</x:v>
      </x:c>
      <x:c r="D526" t="str">
        <x:v>reese.williams.525@example.com</x:v>
      </x:c>
      <x:c r="E526" t="str">
        <x:v>+1 (213) 555-0124</x:v>
      </x:c>
      <x:c r="F526" t="str">
        <x:v>Los Angeles, CA</x:v>
      </x:c>
      <x:c r="G526" t="str">
        <x:v>Los Angeles</x:v>
      </x:c>
      <x:c r="H526" t="str">
        <x:v>CA</x:v>
      </x:c>
      <x:c r="I526" s="18" t="str">
        <x:v>90012</x:v>
      </x:c>
      <x:c r="J526" s="15" t="n">
        <x:v>33531.336334872685</x:v>
      </x:c>
      <x:c r="K526" t="n">
        <x:f>INT((DATE(2025,12,31)-J526)/365.25)</x:f>
        <x:v>34</x:v>
      </x:c>
      <x:c r="L526" t="str">
        <x:f>IF(K526&lt;25,"18-24",IF(K526&lt;35,"25-34",IF(K526&lt;45,"35-44",IF(K526&lt;55,"45-54","55+"))))</x:f>
        <x:v>25-34</x:v>
      </x:c>
      <x:c r="M526" s="15" t="n">
        <x:v>44757.029688993054</x:v>
      </x:c>
      <x:c r="N526" t="n">
        <x:f>(YEAR(DATE(2025,12,31))-YEAR(M526))*12+MONTH(DATE(2025,12,31))-MONTH(M526)</x:f>
        <x:v>41</x:v>
      </x:c>
      <x:c r="O526" t="str">
        <x:v>ACTIVE</x:v>
      </x:c>
      <x:c r="P526" t="str">
        <x:v>INDEPENDENT_CONTRACTOR</x:v>
      </x:c>
      <x:c r="Q526" t="str">
        <x:v>CAR</x:v>
      </x:c>
      <x:c r="R526" t="str">
        <x:v>WEEKENDS</x:v>
      </x:c>
      <x:c r="S526" t="n">
        <x:v>12</x:v>
      </x:c>
      <x:c r="T526" t="str">
        <x:v>CLEARED</x:v>
      </x:c>
      <x:c r="U526" t="str">
        <x:v>VALID</x:v>
      </x:c>
      <x:c r="V526" s="16" t="n">
        <x:v>0.851</x:v>
      </x:c>
      <x:c r="W526" t="str">
        <x:v>Spanish</x:v>
      </x:c>
      <x:c r="X526"/>
      <x:c r="Y526" t="n">
        <x:v>2026</x:v>
      </x:c>
      <x:c r="Z526" s="17" t="n">
        <x:v>4.87</x:v>
      </x:c>
      <x:c r="AA526" s="16" t="n">
        <x:v>0.8089</x:v>
      </x:c>
      <x:c r="AB526" s="16" t="n">
        <x:v>0.9652</x:v>
      </x:c>
      <x:c r="AC526" s="16" t="n">
        <x:v>0.8187</x:v>
      </x:c>
      <x:c r="AD526" t="n">
        <x:v>0</x:v>
      </x:c>
      <x:c r="AE526" t="str">
        <x:f>IF(O526&lt;&gt;"ACTIVE","NOT_RATED",IF(AND(Z526&gt;=4.8,AB526&gt;=0.97,AC526&gt;=0.93,AD526=0),"ELITE",IF(AND(Z526&gt;=4.6,AB526&gt;=0.94,AC526&gt;=0.88),"HIGH_PERFORMER",IF(OR(Z526&lt;4.2,AB526&lt;0.85,AD526&gt;=2),"AT_RISK","STANDARD"))))</x:f>
        <x:v>STANDARD</x:v>
      </x:c>
      <x:c r="AF526" s="15" t="n">
        <x:v>46009</x:v>
      </x:c>
      <x:c r="AG526" t="str">
        <x:v>VERIFIED</x:v>
      </x:c>
      <x:c r="AH526" t="str">
        <x:v>COMPLETE</x:v>
      </x:c>
      <x:c r="AI526" t="str">
        <x:v>Riley Moore</x:v>
      </x:c>
      <x:c r="AJ526" t="str">
        <x:v>SPOUSE_PARTNER</x:v>
      </x:c>
      <x:c r="AK526" t="str">
        <x:v>+1 (213) 555-0191</x:v>
      </x:c>
    </x:row>
    <x:row r="527" ht="18" customHeight="1">
      <x:c r="A527" t="str">
        <x:v>DHR-00526</x:v>
      </x:c>
      <x:c r="B527" t="str">
        <x:v>Reese Wilson</x:v>
      </x:c>
      <x:c r="C527" t="str">
        <x:v>https://api.dicebear.com/9.x/adventurer/png?seed=DHR-00526-Reese%20Wilson&amp;size=256&amp;radius=50&amp;backgroundColor=b6e3f4,c0aede,d1d4f9,ffd5dc,ffdfbf</x:v>
      </x:c>
      <x:c r="D527" t="str">
        <x:v>reese.wilson.526@example.com</x:v>
      </x:c>
      <x:c r="E527" t="str">
        <x:v>+1 (612) 555-0125</x:v>
      </x:c>
      <x:c r="F527" t="str">
        <x:v>Minneapolis, MN</x:v>
      </x:c>
      <x:c r="G527" t="str">
        <x:v>Minneapolis</x:v>
      </x:c>
      <x:c r="H527" t="str">
        <x:v>MN</x:v>
      </x:c>
      <x:c r="I527" s="18" t="str">
        <x:v>55401</x:v>
      </x:c>
      <x:c r="J527" s="15" t="n">
        <x:v>36887.766857083334</x:v>
      </x:c>
      <x:c r="K527" t="n">
        <x:f>INT((DATE(2025,12,31)-J527)/365.25)</x:f>
        <x:v>25</x:v>
      </x:c>
      <x:c r="L527" t="str">
        <x:f>IF(K527&lt;25,"18-24",IF(K527&lt;35,"25-34",IF(K527&lt;45,"35-44",IF(K527&lt;55,"45-54","55+"))))</x:f>
        <x:v>25-34</x:v>
      </x:c>
      <x:c r="M527" s="15" t="n">
        <x:v>45303.155467743054</x:v>
      </x:c>
      <x:c r="N527" t="n">
        <x:f>(YEAR(DATE(2025,12,31))-YEAR(M527))*12+MONTH(DATE(2025,12,31))-MONTH(M527)</x:f>
        <x:v>23</x:v>
      </x:c>
      <x:c r="O527" t="str">
        <x:v>ACTIVE</x:v>
      </x:c>
      <x:c r="P527" t="str">
        <x:v>INDEPENDENT_CONTRACTOR</x:v>
      </x:c>
      <x:c r="Q527" t="str">
        <x:v>CAR</x:v>
      </x:c>
      <x:c r="R527" t="str">
        <x:v>LUNCH</x:v>
      </x:c>
      <x:c r="S527" t="n">
        <x:v>8</x:v>
      </x:c>
      <x:c r="T527" t="str">
        <x:v>CLEARED</x:v>
      </x:c>
      <x:c r="U527" t="str">
        <x:v>VALID</x:v>
      </x:c>
      <x:c r="V527" s="16" t="n">
        <x:v>0.8901</x:v>
      </x:c>
      <x:c r="W527" t="str">
        <x:v>English</x:v>
      </x:c>
      <x:c r="X527"/>
      <x:c r="Y527" t="n">
        <x:v>572</x:v>
      </x:c>
      <x:c r="Z527" s="17" t="n">
        <x:v>4.74</x:v>
      </x:c>
      <x:c r="AA527" s="16" t="n">
        <x:v>0.692</x:v>
      </x:c>
      <x:c r="AB527" s="16" t="n">
        <x:v>0.9444</x:v>
      </x:c>
      <x:c r="AC527" s="16" t="n">
        <x:v>0.8393</x:v>
      </x:c>
      <x:c r="AD527" t="n">
        <x:v>0</x:v>
      </x:c>
      <x:c r="AE527" t="str">
        <x:f>IF(O527&lt;&gt;"ACTIVE","NOT_RATED",IF(AND(Z527&gt;=4.8,AB527&gt;=0.97,AC527&gt;=0.93,AD527=0),"ELITE",IF(AND(Z527&gt;=4.6,AB527&gt;=0.94,AC527&gt;=0.88),"HIGH_PERFORMER",IF(OR(Z527&lt;4.2,AB527&lt;0.85,AD527&gt;=2),"AT_RISK","STANDARD"))))</x:f>
        <x:v>STANDARD</x:v>
      </x:c>
      <x:c r="AF527" s="15" t="n">
        <x:v>46013</x:v>
      </x:c>
      <x:c r="AG527" t="str">
        <x:v>VERIFIED</x:v>
      </x:c>
      <x:c r="AH527" t="str">
        <x:v>COMPLETE</x:v>
      </x:c>
      <x:c r="AI527" t="str">
        <x:v>Hayden Martin</x:v>
      </x:c>
      <x:c r="AJ527" t="str">
        <x:v>FRIEND</x:v>
      </x:c>
      <x:c r="AK527" t="str">
        <x:v>+1 (612) 555-0198</x:v>
      </x:c>
    </x:row>
    <x:row r="528" ht="18" customHeight="1">
      <x:c r="A528" t="str">
        <x:v>DHR-00527</x:v>
      </x:c>
      <x:c r="B528" t="str">
        <x:v>Riley Anderson</x:v>
      </x:c>
      <x:c r="C528" t="str">
        <x:v>https://api.dicebear.com/9.x/adventurer/png?seed=DHR-00527-Riley%20Anderson&amp;size=256&amp;radius=50&amp;backgroundColor=b6e3f4,c0aede,d1d4f9,ffd5dc,ffdfbf</x:v>
      </x:c>
      <x:c r="D528" t="str">
        <x:v>riley.anderson.527@example.com</x:v>
      </x:c>
      <x:c r="E528" t="str">
        <x:v>+1 (214) 555-0126</x:v>
      </x:c>
      <x:c r="F528" t="str">
        <x:v>Dallas, TX</x:v>
      </x:c>
      <x:c r="G528" t="str">
        <x:v>Dallas</x:v>
      </x:c>
      <x:c r="H528" t="str">
        <x:v>TX</x:v>
      </x:c>
      <x:c r="I528" s="18" t="str">
        <x:v>75201</x:v>
      </x:c>
      <x:c r="J528" s="15" t="n">
        <x:v>24521.241778090276</x:v>
      </x:c>
      <x:c r="K528" t="n">
        <x:f>INT((DATE(2025,12,31)-J528)/365.25)</x:f>
        <x:v>58</x:v>
      </x:c>
      <x:c r="L528" t="str">
        <x:f>IF(K528&lt;25,"18-24",IF(K528&lt;35,"25-34",IF(K528&lt;45,"35-44",IF(K528&lt;55,"45-54","55+"))))</x:f>
        <x:v>55+</x:v>
      </x:c>
      <x:c r="M528" s="15" t="n">
        <x:v>45250.395832395836</x:v>
      </x:c>
      <x:c r="N528" t="n">
        <x:f>(YEAR(DATE(2025,12,31))-YEAR(M528))*12+MONTH(DATE(2025,12,31))-MONTH(M528)</x:f>
        <x:v>25</x:v>
      </x:c>
      <x:c r="O528" t="str">
        <x:v>ACTIVE</x:v>
      </x:c>
      <x:c r="P528" t="str">
        <x:v>INDEPENDENT_CONTRACTOR</x:v>
      </x:c>
      <x:c r="Q528" t="str">
        <x:v>CAR</x:v>
      </x:c>
      <x:c r="R528" t="str">
        <x:v>FLEXIBLE</x:v>
      </x:c>
      <x:c r="S528" t="n">
        <x:v>37</x:v>
      </x:c>
      <x:c r="T528" t="str">
        <x:v>CLEARED</x:v>
      </x:c>
      <x:c r="U528" t="str">
        <x:v>VALID</x:v>
      </x:c>
      <x:c r="V528" s="16" t="n">
        <x:v>0.8727</x:v>
      </x:c>
      <x:c r="W528" t="str">
        <x:v>English</x:v>
      </x:c>
      <x:c r="X528"/>
      <x:c r="Y528" t="n">
        <x:v>2392</x:v>
      </x:c>
      <x:c r="Z528" s="17" t="n">
        <x:v>4.53</x:v>
      </x:c>
      <x:c r="AA528" s="16" t="n">
        <x:v>0.5998</x:v>
      </x:c>
      <x:c r="AB528" s="16" t="n">
        <x:v>0.9244</x:v>
      </x:c>
      <x:c r="AC528" s="16" t="n">
        <x:v>0.8887</x:v>
      </x:c>
      <x:c r="AD528" t="n">
        <x:v>1</x:v>
      </x:c>
      <x:c r="AE528" t="str">
        <x:f>IF(O528&lt;&gt;"ACTIVE","NOT_RATED",IF(AND(Z528&gt;=4.8,AB528&gt;=0.97,AC528&gt;=0.93,AD528=0),"ELITE",IF(AND(Z528&gt;=4.6,AB528&gt;=0.94,AC528&gt;=0.88),"HIGH_PERFORMER",IF(OR(Z528&lt;4.2,AB528&lt;0.85,AD528&gt;=2),"AT_RISK","STANDARD"))))</x:f>
        <x:v>STANDARD</x:v>
      </x:c>
      <x:c r="AF528" s="15" t="n">
        <x:v>46017</x:v>
      </x:c>
      <x:c r="AG528" t="str">
        <x:v>VERIFIED</x:v>
      </x:c>
      <x:c r="AH528" t="str">
        <x:v>COMPLETE</x:v>
      </x:c>
      <x:c r="AI528" t="str">
        <x:v>Ethan Williams</x:v>
      </x:c>
      <x:c r="AJ528" t="str">
        <x:v>PARENT</x:v>
      </x:c>
      <x:c r="AK528" t="str">
        <x:v>+1 (214) 555-0105</x:v>
      </x:c>
    </x:row>
    <x:row r="529" ht="18" customHeight="1">
      <x:c r="A529" t="str">
        <x:v>DHR-00528</x:v>
      </x:c>
      <x:c r="B529" t="str">
        <x:v>Riley Brown</x:v>
      </x:c>
      <x:c r="C529" t="str">
        <x:v>https://api.dicebear.com/9.x/adventurer/png?seed=DHR-00528-Riley%20Brown&amp;size=256&amp;radius=50&amp;backgroundColor=b6e3f4,c0aede,d1d4f9,ffd5dc,ffdfbf</x:v>
      </x:c>
      <x:c r="D529" t="str">
        <x:v>riley.brown.528@example.com</x:v>
      </x:c>
      <x:c r="E529" t="str">
        <x:v>+1 (214) 555-0127</x:v>
      </x:c>
      <x:c r="F529" t="str">
        <x:v>Dallas, TX</x:v>
      </x:c>
      <x:c r="G529" t="str">
        <x:v>Dallas</x:v>
      </x:c>
      <x:c r="H529" t="str">
        <x:v>TX</x:v>
      </x:c>
      <x:c r="I529" s="18" t="str">
        <x:v>75201</x:v>
      </x:c>
      <x:c r="J529" s="15" t="n">
        <x:v>25811.149087280093</x:v>
      </x:c>
      <x:c r="K529" t="n">
        <x:f>INT((DATE(2025,12,31)-J529)/365.25)</x:f>
        <x:v>55</x:v>
      </x:c>
      <x:c r="L529" t="str">
        <x:f>IF(K529&lt;25,"18-24",IF(K529&lt;35,"25-34",IF(K529&lt;45,"35-44",IF(K529&lt;55,"45-54","55+"))))</x:f>
        <x:v>55+</x:v>
      </x:c>
      <x:c r="M529" s="15" t="n">
        <x:v>44068.35869296296</x:v>
      </x:c>
      <x:c r="N529" t="n">
        <x:f>(YEAR(DATE(2025,12,31))-YEAR(M529))*12+MONTH(DATE(2025,12,31))-MONTH(M529)</x:f>
        <x:v>64</x:v>
      </x:c>
      <x:c r="O529" t="str">
        <x:v>ACTIVE</x:v>
      </x:c>
      <x:c r="P529" t="str">
        <x:v>INDEPENDENT_CONTRACTOR</x:v>
      </x:c>
      <x:c r="Q529" t="str">
        <x:v>CAR</x:v>
      </x:c>
      <x:c r="R529" t="str">
        <x:v>LUNCH</x:v>
      </x:c>
      <x:c r="S529" t="n">
        <x:v>30</x:v>
      </x:c>
      <x:c r="T529" t="str">
        <x:v>CLEARED</x:v>
      </x:c>
      <x:c r="U529" t="str">
        <x:v>VALID</x:v>
      </x:c>
      <x:c r="V529" s="16" t="n">
        <x:v>0.8313</x:v>
      </x:c>
      <x:c r="W529" t="str">
        <x:v>English</x:v>
      </x:c>
      <x:c r="X529"/>
      <x:c r="Y529" t="n">
        <x:v>5917</x:v>
      </x:c>
      <x:c r="Z529" s="17" t="n">
        <x:v>4.75</x:v>
      </x:c>
      <x:c r="AA529" s="16" t="n">
        <x:v>0.7477</x:v>
      </x:c>
      <x:c r="AB529" s="16" t="n">
        <x:v>0.923</x:v>
      </x:c>
      <x:c r="AC529" s="16" t="n">
        <x:v>0.8319</x:v>
      </x:c>
      <x:c r="AD529" t="n">
        <x:v>0</x:v>
      </x:c>
      <x:c r="AE529" t="str">
        <x:f>IF(O529&lt;&gt;"ACTIVE","NOT_RATED",IF(AND(Z529&gt;=4.8,AB529&gt;=0.97,AC529&gt;=0.93,AD529=0),"ELITE",IF(AND(Z529&gt;=4.6,AB529&gt;=0.94,AC529&gt;=0.88),"HIGH_PERFORMER",IF(OR(Z529&lt;4.2,AB529&lt;0.85,AD529&gt;=2),"AT_RISK","STANDARD"))))</x:f>
        <x:v>STANDARD</x:v>
      </x:c>
      <x:c r="AF529" s="15" t="n">
        <x:v>46012</x:v>
      </x:c>
      <x:c r="AG529" t="str">
        <x:v>VERIFIED</x:v>
      </x:c>
      <x:c r="AH529" t="str">
        <x:v>COMPLETE</x:v>
      </x:c>
      <x:c r="AI529" t="str">
        <x:v>Avery Lewis</x:v>
      </x:c>
      <x:c r="AJ529" t="str">
        <x:v>SIBLING</x:v>
      </x:c>
      <x:c r="AK529" t="str">
        <x:v>+1 (214) 555-0112</x:v>
      </x:c>
    </x:row>
    <x:row r="530" ht="18" customHeight="1">
      <x:c r="A530" t="str">
        <x:v>DHR-00529</x:v>
      </x:c>
      <x:c r="B530" t="str">
        <x:v>Riley Clark</x:v>
      </x:c>
      <x:c r="C530" t="str">
        <x:v>https://api.dicebear.com/9.x/adventurer/png?seed=DHR-00529-Riley%20Clark&amp;size=256&amp;radius=50&amp;backgroundColor=b6e3f4,c0aede,d1d4f9,ffd5dc,ffdfbf</x:v>
      </x:c>
      <x:c r="D530" t="str">
        <x:v>riley.clark.529@example.com</x:v>
      </x:c>
      <x:c r="E530" t="str">
        <x:v>+1 (704) 555-0128</x:v>
      </x:c>
      <x:c r="F530" t="str">
        <x:v>Charlotte, NC</x:v>
      </x:c>
      <x:c r="G530" t="str">
        <x:v>Charlotte</x:v>
      </x:c>
      <x:c r="H530" t="str">
        <x:v>NC</x:v>
      </x:c>
      <x:c r="I530" s="18" t="str">
        <x:v>28202</x:v>
      </x:c>
      <x:c r="J530" s="15" t="n">
        <x:v>34506.74077645833</x:v>
      </x:c>
      <x:c r="K530" t="n">
        <x:f>INT((DATE(2025,12,31)-J530)/365.25)</x:f>
        <x:v>31</x:v>
      </x:c>
      <x:c r="L530" t="str">
        <x:f>IF(K530&lt;25,"18-24",IF(K530&lt;35,"25-34",IF(K530&lt;45,"35-44",IF(K530&lt;55,"45-54","55+"))))</x:f>
        <x:v>25-34</x:v>
      </x:c>
      <x:c r="M530" s="15" t="n">
        <x:v>45783.596182939815</x:v>
      </x:c>
      <x:c r="N530" t="n">
        <x:f>(YEAR(DATE(2025,12,31))-YEAR(M530))*12+MONTH(DATE(2025,12,31))-MONTH(M530)</x:f>
        <x:v>7</x:v>
      </x:c>
      <x:c r="O530" t="str">
        <x:v>ACTIVE</x:v>
      </x:c>
      <x:c r="P530" t="str">
        <x:v>INDEPENDENT_CONTRACTOR</x:v>
      </x:c>
      <x:c r="Q530" t="str">
        <x:v>BICYCLE</x:v>
      </x:c>
      <x:c r="R530" t="str">
        <x:v>DINNER</x:v>
      </x:c>
      <x:c r="S530" t="n">
        <x:v>29</x:v>
      </x:c>
      <x:c r="T530" t="str">
        <x:v>CLEARED</x:v>
      </x:c>
      <x:c r="U530" t="str">
        <x:v>NOT_REQUIRED</x:v>
      </x:c>
      <x:c r="V530" s="16" t="n">
        <x:v>0.9659</x:v>
      </x:c>
      <x:c r="W530" t="str">
        <x:v>English</x:v>
      </x:c>
      <x:c r="X530"/>
      <x:c r="Y530" t="n">
        <x:v>845</x:v>
      </x:c>
      <x:c r="Z530" s="17" t="n">
        <x:v>4.68</x:v>
      </x:c>
      <x:c r="AA530" s="16" t="n">
        <x:v>0.8993</x:v>
      </x:c>
      <x:c r="AB530" s="16" t="n">
        <x:v>0.8706</x:v>
      </x:c>
      <x:c r="AC530" s="16" t="n">
        <x:v>0.8717</x:v>
      </x:c>
      <x:c r="AD530" t="n">
        <x:v>1</x:v>
      </x:c>
      <x:c r="AE530" t="str">
        <x:f>IF(O530&lt;&gt;"ACTIVE","NOT_RATED",IF(AND(Z530&gt;=4.8,AB530&gt;=0.97,AC530&gt;=0.93,AD530=0),"ELITE",IF(AND(Z530&gt;=4.6,AB530&gt;=0.94,AC530&gt;=0.88),"HIGH_PERFORMER",IF(OR(Z530&lt;4.2,AB530&lt;0.85,AD530&gt;=2),"AT_RISK","STANDARD"))))</x:f>
        <x:v>STANDARD</x:v>
      </x:c>
      <x:c r="AF530" s="15" t="n">
        <x:v>46014</x:v>
      </x:c>
      <x:c r="AG530" t="str">
        <x:v>ON_HOLD</x:v>
      </x:c>
      <x:c r="AH530" t="str">
        <x:v>COMPLETE</x:v>
      </x:c>
      <x:c r="AI530" t="str">
        <x:v>Robin Rodriguez</x:v>
      </x:c>
      <x:c r="AJ530" t="str">
        <x:v>SIBLING</x:v>
      </x:c>
      <x:c r="AK530" t="str">
        <x:v>+1 (704) 555-0119</x:v>
      </x:c>
    </x:row>
    <x:row r="531" ht="18" customHeight="1">
      <x:c r="A531" t="str">
        <x:v>DHR-00530</x:v>
      </x:c>
      <x:c r="B531" t="str">
        <x:v>Riley Davis</x:v>
      </x:c>
      <x:c r="C531" t="str">
        <x:v>https://api.dicebear.com/9.x/adventurer/png?seed=DHR-00530-Riley%20Davis&amp;size=256&amp;radius=50&amp;backgroundColor=b6e3f4,c0aede,d1d4f9,ffd5dc,ffdfbf</x:v>
      </x:c>
      <x:c r="D531" t="str">
        <x:v>riley.davis.530@example.com</x:v>
      </x:c>
      <x:c r="E531" t="str">
        <x:v>+1 (704) 555-0129</x:v>
      </x:c>
      <x:c r="F531" t="str">
        <x:v>Charlotte, NC</x:v>
      </x:c>
      <x:c r="G531" t="str">
        <x:v>Charlotte</x:v>
      </x:c>
      <x:c r="H531" t="str">
        <x:v>NC</x:v>
      </x:c>
      <x:c r="I531" s="18" t="str">
        <x:v>28202</x:v>
      </x:c>
      <x:c r="J531" s="15" t="n">
        <x:v>29845.210339814814</x:v>
      </x:c>
      <x:c r="K531" t="n">
        <x:f>INT((DATE(2025,12,31)-J531)/365.25)</x:f>
        <x:v>44</x:v>
      </x:c>
      <x:c r="L531" t="str">
        <x:f>IF(K531&lt;25,"18-24",IF(K531&lt;35,"25-34",IF(K531&lt;45,"35-44",IF(K531&lt;55,"45-54","55+"))))</x:f>
        <x:v>35-44</x:v>
      </x:c>
      <x:c r="M531" s="15" t="n">
        <x:v>45431.464778298614</x:v>
      </x:c>
      <x:c r="N531" t="n">
        <x:f>(YEAR(DATE(2025,12,31))-YEAR(M531))*12+MONTH(DATE(2025,12,31))-MONTH(M531)</x:f>
        <x:v>19</x:v>
      </x:c>
      <x:c r="O531" t="str">
        <x:v>ACTIVE</x:v>
      </x:c>
      <x:c r="P531" t="str">
        <x:v>INDEPENDENT_CONTRACTOR</x:v>
      </x:c>
      <x:c r="Q531" t="str">
        <x:v>CAR</x:v>
      </x:c>
      <x:c r="R531" t="str">
        <x:v>WEEKENDS</x:v>
      </x:c>
      <x:c r="S531" t="n">
        <x:v>13</x:v>
      </x:c>
      <x:c r="T531" t="str">
        <x:v>CLEARED</x:v>
      </x:c>
      <x:c r="U531" t="str">
        <x:v>VALID</x:v>
      </x:c>
      <x:c r="V531" s="16" t="n">
        <x:v>0.9871</x:v>
      </x:c>
      <x:c r="W531" t="str">
        <x:v>English</x:v>
      </x:c>
      <x:c r="X531"/>
      <x:c r="Y531" t="n">
        <x:v>852</x:v>
      </x:c>
      <x:c r="Z531" s="17" t="n">
        <x:v>4.53</x:v>
      </x:c>
      <x:c r="AA531" s="16" t="n">
        <x:v>0.617</x:v>
      </x:c>
      <x:c r="AB531" s="16" t="n">
        <x:v>0.8963</x:v>
      </x:c>
      <x:c r="AC531" s="16" t="n">
        <x:v>0.8512</x:v>
      </x:c>
      <x:c r="AD531" t="n">
        <x:v>0</x:v>
      </x:c>
      <x:c r="AE531" t="str">
        <x:f>IF(O531&lt;&gt;"ACTIVE","NOT_RATED",IF(AND(Z531&gt;=4.8,AB531&gt;=0.97,AC531&gt;=0.93,AD531=0),"ELITE",IF(AND(Z531&gt;=4.6,AB531&gt;=0.94,AC531&gt;=0.88),"HIGH_PERFORMER",IF(OR(Z531&lt;4.2,AB531&lt;0.85,AD531&gt;=2),"AT_RISK","STANDARD"))))</x:f>
        <x:v>STANDARD</x:v>
      </x:c>
      <x:c r="AF531" s="15" t="n">
        <x:v>46013</x:v>
      </x:c>
      <x:c r="AG531" t="str">
        <x:v>VERIFIED</x:v>
      </x:c>
      <x:c r="AH531" t="str">
        <x:v>COMPLETE</x:v>
      </x:c>
      <x:c r="AI531" t="str">
        <x:v>Riley Johnson</x:v>
      </x:c>
      <x:c r="AJ531" t="str">
        <x:v>SPOUSE_PARTNER</x:v>
      </x:c>
      <x:c r="AK531" t="str">
        <x:v>+1 (704) 555-0126</x:v>
      </x:c>
    </x:row>
    <x:row r="532" ht="18" customHeight="1">
      <x:c r="A532" t="str">
        <x:v>DHR-00531</x:v>
      </x:c>
      <x:c r="B532" t="str">
        <x:v>Riley Garcia</x:v>
      </x:c>
      <x:c r="C532" t="str">
        <x:v>https://api.dicebear.com/9.x/adventurer/png?seed=DHR-00531-Riley%20Garcia&amp;size=256&amp;radius=50&amp;backgroundColor=b6e3f4,c0aede,d1d4f9,ffd5dc,ffdfbf</x:v>
      </x:c>
      <x:c r="D532" t="str">
        <x:v>riley.garcia.531@example.com</x:v>
      </x:c>
      <x:c r="E532" t="str">
        <x:v>+1 (619) 555-0130</x:v>
      </x:c>
      <x:c r="F532" t="str">
        <x:v>San Diego, CA</x:v>
      </x:c>
      <x:c r="G532" t="str">
        <x:v>San Diego</x:v>
      </x:c>
      <x:c r="H532" t="str">
        <x:v>CA</x:v>
      </x:c>
      <x:c r="I532" s="18" t="str">
        <x:v>92101</x:v>
      </x:c>
      <x:c r="J532" s="15" t="n">
        <x:v>34842.50192793982</x:v>
      </x:c>
      <x:c r="K532" t="n">
        <x:f>INT((DATE(2025,12,31)-J532)/365.25)</x:f>
        <x:v>30</x:v>
      </x:c>
      <x:c r="L532" t="str">
        <x:f>IF(K532&lt;25,"18-24",IF(K532&lt;35,"25-34",IF(K532&lt;45,"35-44",IF(K532&lt;55,"45-54","55+"))))</x:f>
        <x:v>25-34</x:v>
      </x:c>
      <x:c r="M532" s="15" t="n">
        <x:v>44685.70563434028</x:v>
      </x:c>
      <x:c r="N532" t="n">
        <x:f>(YEAR(DATE(2025,12,31))-YEAR(M532))*12+MONTH(DATE(2025,12,31))-MONTH(M532)</x:f>
        <x:v>43</x:v>
      </x:c>
      <x:c r="O532" t="str">
        <x:v>PAUSED</x:v>
      </x:c>
      <x:c r="P532" t="str">
        <x:v>INDEPENDENT_CONTRACTOR</x:v>
      </x:c>
      <x:c r="Q532" t="str">
        <x:v>CAR</x:v>
      </x:c>
      <x:c r="R532" t="str">
        <x:v>WEEKENDS</x:v>
      </x:c>
      <x:c r="S532" t="n">
        <x:v>39</x:v>
      </x:c>
      <x:c r="T532" t="str">
        <x:v>CLEARED</x:v>
      </x:c>
      <x:c r="U532" t="str">
        <x:v>VALID</x:v>
      </x:c>
      <x:c r="V532" s="16" t="n">
        <x:v>0.954</x:v>
      </x:c>
      <x:c r="W532" t="str">
        <x:v>English</x:v>
      </x:c>
      <x:c r="X532"/>
      <x:c r="Y532" t="n">
        <x:v>6731</x:v>
      </x:c>
      <x:c r="Z532" s="17" t="n">
        <x:v>4.31</x:v>
      </x:c>
      <x:c r="AA532" s="16" t="n">
        <x:v>0.7247</x:v>
      </x:c>
      <x:c r="AB532" s="16" t="n">
        <x:v>0.9921</x:v>
      </x:c>
      <x:c r="AC532" s="16" t="n">
        <x:v>0.8705</x:v>
      </x:c>
      <x:c r="AD532" t="n">
        <x:v>0</x:v>
      </x:c>
      <x:c r="AE532" t="str">
        <x:f>IF(O532&lt;&gt;"ACTIVE","NOT_RATED",IF(AND(Z532&gt;=4.8,AB532&gt;=0.97,AC532&gt;=0.93,AD532=0),"ELITE",IF(AND(Z532&gt;=4.6,AB532&gt;=0.94,AC532&gt;=0.88),"HIGH_PERFORMER",IF(OR(Z532&lt;4.2,AB532&lt;0.85,AD532&gt;=2),"AT_RISK","STANDARD"))))</x:f>
        <x:v>NOT_RATED</x:v>
      </x:c>
      <x:c r="AF532" s="15" t="n">
        <x:v>45924</x:v>
      </x:c>
      <x:c r="AG532" t="str">
        <x:v>VERIFIED</x:v>
      </x:c>
      <x:c r="AH532" t="str">
        <x:v>COMPLETE</x:v>
      </x:c>
      <x:c r="AI532" t="str">
        <x:v>Noah Wilson</x:v>
      </x:c>
      <x:c r="AJ532" t="str">
        <x:v>FRIEND</x:v>
      </x:c>
      <x:c r="AK532" t="str">
        <x:v>+1 (619) 555-0133</x:v>
      </x:c>
    </x:row>
    <x:row r="533" ht="18" customHeight="1">
      <x:c r="A533" t="str">
        <x:v>DHR-00532</x:v>
      </x:c>
      <x:c r="B533" t="str">
        <x:v>Riley Harris</x:v>
      </x:c>
      <x:c r="C533" t="str">
        <x:v>https://api.dicebear.com/9.x/adventurer/png?seed=DHR-00532-Riley%20Harris&amp;size=256&amp;radius=50&amp;backgroundColor=b6e3f4,c0aede,d1d4f9,ffd5dc,ffdfbf</x:v>
      </x:c>
      <x:c r="D533" t="str">
        <x:v>riley.harris.532@example.com</x:v>
      </x:c>
      <x:c r="E533" t="str">
        <x:v>+1 (612) 555-0131</x:v>
      </x:c>
      <x:c r="F533" t="str">
        <x:v>Minneapolis, MN</x:v>
      </x:c>
      <x:c r="G533" t="str">
        <x:v>Minneapolis</x:v>
      </x:c>
      <x:c r="H533" t="str">
        <x:v>MN</x:v>
      </x:c>
      <x:c r="I533" s="18" t="str">
        <x:v>55401</x:v>
      </x:c>
      <x:c r="J533" s="15" t="n">
        <x:v>38029.4205878125</x:v>
      </x:c>
      <x:c r="K533" t="n">
        <x:f>INT((DATE(2025,12,31)-J533)/365.25)</x:f>
        <x:v>21</x:v>
      </x:c>
      <x:c r="L533" t="str">
        <x:f>IF(K533&lt;25,"18-24",IF(K533&lt;35,"25-34",IF(K533&lt;45,"35-44",IF(K533&lt;55,"45-54","55+"))))</x:f>
        <x:v>18-24</x:v>
      </x:c>
      <x:c r="M533" s="15" t="n">
        <x:v>45648.824384722226</x:v>
      </x:c>
      <x:c r="N533" t="n">
        <x:f>(YEAR(DATE(2025,12,31))-YEAR(M533))*12+MONTH(DATE(2025,12,31))-MONTH(M533)</x:f>
        <x:v>12</x:v>
      </x:c>
      <x:c r="O533" t="str">
        <x:v>OFFBOARDED</x:v>
      </x:c>
      <x:c r="P533" t="str">
        <x:v>INDEPENDENT_CONTRACTOR</x:v>
      </x:c>
      <x:c r="Q533" t="str">
        <x:v>CAR</x:v>
      </x:c>
      <x:c r="R533" t="str">
        <x:v>DINNER</x:v>
      </x:c>
      <x:c r="S533" t="n">
        <x:v>16</x:v>
      </x:c>
      <x:c r="T533" t="str">
        <x:v>CLEARED</x:v>
      </x:c>
      <x:c r="U533" t="str">
        <x:v>VALID</x:v>
      </x:c>
      <x:c r="V533" s="16" t="n">
        <x:v>0.8892</x:v>
      </x:c>
      <x:c r="W533" t="str">
        <x:v>Spanish</x:v>
      </x:c>
      <x:c r="X533"/>
      <x:c r="Y533" t="n">
        <x:v>674</x:v>
      </x:c>
      <x:c r="Z533" s="17" t="n">
        <x:v>4.87</x:v>
      </x:c>
      <x:c r="AA533" s="16" t="n">
        <x:v>0.6203</x:v>
      </x:c>
      <x:c r="AB533" s="16" t="n">
        <x:v>0.9108</x:v>
      </x:c>
      <x:c r="AC533" s="16" t="n">
        <x:v>0.88</x:v>
      </x:c>
      <x:c r="AD533" t="n">
        <x:v>0</x:v>
      </x:c>
      <x:c r="AE533" t="str">
        <x:f>IF(O533&lt;&gt;"ACTIVE","NOT_RATED",IF(AND(Z533&gt;=4.8,AB533&gt;=0.97,AC533&gt;=0.93,AD533=0),"ELITE",IF(AND(Z533&gt;=4.6,AB533&gt;=0.94,AC533&gt;=0.88),"HIGH_PERFORMER",IF(OR(Z533&lt;4.2,AB533&lt;0.85,AD533&gt;=2),"AT_RISK","STANDARD"))))</x:f>
        <x:v>NOT_RATED</x:v>
      </x:c>
      <x:c r="AF533" s="15" t="n">
        <x:v>45732</x:v>
      </x:c>
      <x:c r="AG533" t="str">
        <x:v>VERIFIED</x:v>
      </x:c>
      <x:c r="AH533" t="str">
        <x:v>COMPLETE</x:v>
      </x:c>
      <x:c r="AI533" t="str">
        <x:v>Hayden Garcia</x:v>
      </x:c>
      <x:c r="AJ533" t="str">
        <x:v>PARENT</x:v>
      </x:c>
      <x:c r="AK533" t="str">
        <x:v>+1 (612) 555-0140</x:v>
      </x:c>
    </x:row>
    <x:row r="534" ht="18" customHeight="1">
      <x:c r="A534" t="str">
        <x:v>DHR-00533</x:v>
      </x:c>
      <x:c r="B534" t="str">
        <x:v>Riley Jackson</x:v>
      </x:c>
      <x:c r="C534" t="str">
        <x:v>https://api.dicebear.com/9.x/adventurer/png?seed=DHR-00533-Riley%20Jackson&amp;size=256&amp;radius=50&amp;backgroundColor=b6e3f4,c0aede,d1d4f9,ffd5dc,ffdfbf</x:v>
      </x:c>
      <x:c r="D534" t="str">
        <x:v>riley.jackson.533@example.com</x:v>
      </x:c>
      <x:c r="E534" t="str">
        <x:v>+1 (614) 555-0132</x:v>
      </x:c>
      <x:c r="F534" t="str">
        <x:v>Columbus, OH</x:v>
      </x:c>
      <x:c r="G534" t="str">
        <x:v>Columbus</x:v>
      </x:c>
      <x:c r="H534" t="str">
        <x:v>OH</x:v>
      </x:c>
      <x:c r="I534" s="18" t="str">
        <x:v>43215</x:v>
      </x:c>
      <x:c r="J534" s="15" t="n">
        <x:v>32340.07602371528</x:v>
      </x:c>
      <x:c r="K534" t="n">
        <x:f>INT((DATE(2025,12,31)-J534)/365.25)</x:f>
        <x:v>37</x:v>
      </x:c>
      <x:c r="L534" t="str">
        <x:f>IF(K534&lt;25,"18-24",IF(K534&lt;35,"25-34",IF(K534&lt;45,"35-44",IF(K534&lt;55,"45-54","55+"))))</x:f>
        <x:v>35-44</x:v>
      </x:c>
      <x:c r="M534" s="15" t="n">
        <x:v>45155.29120898148</x:v>
      </x:c>
      <x:c r="N534" t="n">
        <x:f>(YEAR(DATE(2025,12,31))-YEAR(M534))*12+MONTH(DATE(2025,12,31))-MONTH(M534)</x:f>
        <x:v>28</x:v>
      </x:c>
      <x:c r="O534" t="str">
        <x:v>ACTIVE</x:v>
      </x:c>
      <x:c r="P534" t="str">
        <x:v>INDEPENDENT_CONTRACTOR</x:v>
      </x:c>
      <x:c r="Q534" t="str">
        <x:v>MOTORCYCLE</x:v>
      </x:c>
      <x:c r="R534" t="str">
        <x:v>LUNCH</x:v>
      </x:c>
      <x:c r="S534" t="n">
        <x:v>8</x:v>
      </x:c>
      <x:c r="T534" t="str">
        <x:v>CLEARED</x:v>
      </x:c>
      <x:c r="U534" t="str">
        <x:v>VALID</x:v>
      </x:c>
      <x:c r="V534" s="16" t="n">
        <x:v>0.962</x:v>
      </x:c>
      <x:c r="W534" t="str">
        <x:v>English</x:v>
      </x:c>
      <x:c r="X534"/>
      <x:c r="Y534" t="n">
        <x:v>778</x:v>
      </x:c>
      <x:c r="Z534" s="17" t="n">
        <x:v>4.21</x:v>
      </x:c>
      <x:c r="AA534" s="16" t="n">
        <x:v>0.6041</x:v>
      </x:c>
      <x:c r="AB534" s="16" t="n">
        <x:v>0.9337</x:v>
      </x:c>
      <x:c r="AC534" s="16" t="n">
        <x:v>0.9607</x:v>
      </x:c>
      <x:c r="AD534" t="n">
        <x:v>0</x:v>
      </x:c>
      <x:c r="AE534" t="str">
        <x:f>IF(O534&lt;&gt;"ACTIVE","NOT_RATED",IF(AND(Z534&gt;=4.8,AB534&gt;=0.97,AC534&gt;=0.93,AD534=0),"ELITE",IF(AND(Z534&gt;=4.6,AB534&gt;=0.94,AC534&gt;=0.88),"HIGH_PERFORMER",IF(OR(Z534&lt;4.2,AB534&lt;0.85,AD534&gt;=2),"AT_RISK","STANDARD"))))</x:f>
        <x:v>STANDARD</x:v>
      </x:c>
      <x:c r="AF534" s="15" t="n">
        <x:v>46015</x:v>
      </x:c>
      <x:c r="AG534" t="str">
        <x:v>VERIFIED</x:v>
      </x:c>
      <x:c r="AH534" t="str">
        <x:v>COMPLETE</x:v>
      </x:c>
      <x:c r="AI534" t="str">
        <x:v>Mia White</x:v>
      </x:c>
      <x:c r="AJ534" t="str">
        <x:v>PARENT</x:v>
      </x:c>
      <x:c r="AK534" t="str">
        <x:v>+1 (614) 555-0147</x:v>
      </x:c>
    </x:row>
    <x:row r="535" ht="18" customHeight="1">
      <x:c r="A535" t="str">
        <x:v>DHR-00534</x:v>
      </x:c>
      <x:c r="B535" t="str">
        <x:v>Riley Jones</x:v>
      </x:c>
      <x:c r="C535" t="str">
        <x:v>https://api.dicebear.com/9.x/adventurer/png?seed=DHR-00534-Riley%20Jones&amp;size=256&amp;radius=50&amp;backgroundColor=b6e3f4,c0aede,d1d4f9,ffd5dc,ffdfbf</x:v>
      </x:c>
      <x:c r="D535" t="str">
        <x:v>riley.jones.534@example.com</x:v>
      </x:c>
      <x:c r="E535" t="str">
        <x:v>+1 (612) 555-0133</x:v>
      </x:c>
      <x:c r="F535" t="str">
        <x:v>Minneapolis, MN</x:v>
      </x:c>
      <x:c r="G535" t="str">
        <x:v>Minneapolis</x:v>
      </x:c>
      <x:c r="H535" t="str">
        <x:v>MN</x:v>
      </x:c>
      <x:c r="I535" s="18" t="str">
        <x:v>55401</x:v>
      </x:c>
      <x:c r="J535" s="15" t="n">
        <x:v>27812.2282296875</x:v>
      </x:c>
      <x:c r="K535" t="n">
        <x:f>INT((DATE(2025,12,31)-J535)/365.25)</x:f>
        <x:v>49</x:v>
      </x:c>
      <x:c r="L535" t="str">
        <x:f>IF(K535&lt;25,"18-24",IF(K535&lt;35,"25-34",IF(K535&lt;45,"35-44",IF(K535&lt;55,"45-54","55+"))))</x:f>
        <x:v>45-54</x:v>
      </x:c>
      <x:c r="M535" s="15" t="n">
        <x:v>45071.561942395834</x:v>
      </x:c>
      <x:c r="N535" t="n">
        <x:f>(YEAR(DATE(2025,12,31))-YEAR(M535))*12+MONTH(DATE(2025,12,31))-MONTH(M535)</x:f>
        <x:v>31</x:v>
      </x:c>
      <x:c r="O535" t="str">
        <x:v>ACTIVE</x:v>
      </x:c>
      <x:c r="P535" t="str">
        <x:v>INDEPENDENT_CONTRACTOR</x:v>
      </x:c>
      <x:c r="Q535" t="str">
        <x:v>CAR</x:v>
      </x:c>
      <x:c r="R535" t="str">
        <x:v>LUNCH</x:v>
      </x:c>
      <x:c r="S535" t="n">
        <x:v>23</x:v>
      </x:c>
      <x:c r="T535" t="str">
        <x:v>CLEARED</x:v>
      </x:c>
      <x:c r="U535" t="str">
        <x:v>VALID</x:v>
      </x:c>
      <x:c r="V535" s="16" t="n">
        <x:v>0.8357</x:v>
      </x:c>
      <x:c r="W535" t="str">
        <x:v>English</x:v>
      </x:c>
      <x:c r="X535"/>
      <x:c r="Y535" t="n">
        <x:v>2187</x:v>
      </x:c>
      <x:c r="Z535" s="17" t="n">
        <x:v>4.58</x:v>
      </x:c>
      <x:c r="AA535" s="16" t="n">
        <x:v>0.9284</x:v>
      </x:c>
      <x:c r="AB535" s="16" t="n">
        <x:v>0.9248</x:v>
      </x:c>
      <x:c r="AC535" s="16" t="n">
        <x:v>0.8489</x:v>
      </x:c>
      <x:c r="AD535" t="n">
        <x:v>0</x:v>
      </x:c>
      <x:c r="AE535" t="str">
        <x:f>IF(O535&lt;&gt;"ACTIVE","NOT_RATED",IF(AND(Z535&gt;=4.8,AB535&gt;=0.97,AC535&gt;=0.93,AD535=0),"ELITE",IF(AND(Z535&gt;=4.6,AB535&gt;=0.94,AC535&gt;=0.88),"HIGH_PERFORMER",IF(OR(Z535&lt;4.2,AB535&lt;0.85,AD535&gt;=2),"AT_RISK","STANDARD"))))</x:f>
        <x:v>STANDARD</x:v>
      </x:c>
      <x:c r="AF535" s="15" t="n">
        <x:v>46016</x:v>
      </x:c>
      <x:c r="AG535" t="str">
        <x:v>VERIFIED</x:v>
      </x:c>
      <x:c r="AH535" t="str">
        <x:v>COMPLETE</x:v>
      </x:c>
      <x:c r="AI535" t="str">
        <x:v>Ava Rodriguez</x:v>
      </x:c>
      <x:c r="AJ535" t="str">
        <x:v>FRIEND</x:v>
      </x:c>
      <x:c r="AK535" t="str">
        <x:v>+1 (612) 555-0154</x:v>
      </x:c>
    </x:row>
    <x:row r="536" ht="18" customHeight="1">
      <x:c r="A536" t="str">
        <x:v>DHR-00535</x:v>
      </x:c>
      <x:c r="B536" t="str">
        <x:v>Riley Lee</x:v>
      </x:c>
      <x:c r="C536" t="str">
        <x:v>https://api.dicebear.com/9.x/adventurer/png?seed=DHR-00535-Riley%20Lee&amp;size=256&amp;radius=50&amp;backgroundColor=b6e3f4,c0aede,d1d4f9,ffd5dc,ffdfbf</x:v>
      </x:c>
      <x:c r="D536" t="str">
        <x:v>riley.lee.535@example.com</x:v>
      </x:c>
      <x:c r="E536" t="str">
        <x:v>+1 (512) 555-0134</x:v>
      </x:c>
      <x:c r="F536" t="str">
        <x:v>Austin, TX</x:v>
      </x:c>
      <x:c r="G536" t="str">
        <x:v>Austin</x:v>
      </x:c>
      <x:c r="H536" t="str">
        <x:v>TX</x:v>
      </x:c>
      <x:c r="I536" s="18" t="str">
        <x:v>78701</x:v>
      </x:c>
      <x:c r="J536" s="15" t="n">
        <x:v>28099.792255671295</x:v>
      </x:c>
      <x:c r="K536" t="n">
        <x:f>INT((DATE(2025,12,31)-J536)/365.25)</x:f>
        <x:v>49</x:v>
      </x:c>
      <x:c r="L536" t="str">
        <x:f>IF(K536&lt;25,"18-24",IF(K536&lt;35,"25-34",IF(K536&lt;45,"35-44",IF(K536&lt;55,"45-54","55+"))))</x:f>
        <x:v>45-54</x:v>
      </x:c>
      <x:c r="M536" s="15" t="n">
        <x:v>44636.37548951389</x:v>
      </x:c>
      <x:c r="N536" t="n">
        <x:f>(YEAR(DATE(2025,12,31))-YEAR(M536))*12+MONTH(DATE(2025,12,31))-MONTH(M536)</x:f>
        <x:v>45</x:v>
      </x:c>
      <x:c r="O536" t="str">
        <x:v>ACTIVE</x:v>
      </x:c>
      <x:c r="P536" t="str">
        <x:v>INDEPENDENT_CONTRACTOR</x:v>
      </x:c>
      <x:c r="Q536" t="str">
        <x:v>CAR</x:v>
      </x:c>
      <x:c r="R536" t="str">
        <x:v>FLEXIBLE</x:v>
      </x:c>
      <x:c r="S536" t="n">
        <x:v>15</x:v>
      </x:c>
      <x:c r="T536" t="str">
        <x:v>CLEARED</x:v>
      </x:c>
      <x:c r="U536" t="str">
        <x:v>VALID</x:v>
      </x:c>
      <x:c r="V536" s="16" t="n">
        <x:v>0.901</x:v>
      </x:c>
      <x:c r="W536" t="str">
        <x:v>French</x:v>
      </x:c>
      <x:c r="X536"/>
      <x:c r="Y536" t="n">
        <x:v>2143</x:v>
      </x:c>
      <x:c r="Z536" s="17" t="n">
        <x:v>4.64</x:v>
      </x:c>
      <x:c r="AA536" s="16" t="n">
        <x:v>0.8825</x:v>
      </x:c>
      <x:c r="AB536" s="16" t="n">
        <x:v>0.89</x:v>
      </x:c>
      <x:c r="AC536" s="16" t="n">
        <x:v>0.8667</x:v>
      </x:c>
      <x:c r="AD536" t="n">
        <x:v>0</x:v>
      </x:c>
      <x:c r="AE536" t="str">
        <x:f>IF(O536&lt;&gt;"ACTIVE","NOT_RATED",IF(AND(Z536&gt;=4.8,AB536&gt;=0.97,AC536&gt;=0.93,AD536=0),"ELITE",IF(AND(Z536&gt;=4.6,AB536&gt;=0.94,AC536&gt;=0.88),"HIGH_PERFORMER",IF(OR(Z536&lt;4.2,AB536&lt;0.85,AD536&gt;=2),"AT_RISK","STANDARD"))))</x:f>
        <x:v>STANDARD</x:v>
      </x:c>
      <x:c r="AF536" s="15" t="n">
        <x:v>46014</x:v>
      </x:c>
      <x:c r="AG536" t="str">
        <x:v>VERIFIED</x:v>
      </x:c>
      <x:c r="AH536" t="str">
        <x:v>COMPLETE</x:v>
      </x:c>
      <x:c r="AI536" t="str">
        <x:v>Morgan Anderson</x:v>
      </x:c>
      <x:c r="AJ536" t="str">
        <x:v>SPOUSE_PARTNER</x:v>
      </x:c>
      <x:c r="AK536" t="str">
        <x:v>+1 (512) 555-0161</x:v>
      </x:c>
    </x:row>
    <x:row r="537" ht="18" customHeight="1">
      <x:c r="A537" t="str">
        <x:v>DHR-00536</x:v>
      </x:c>
      <x:c r="B537" t="str">
        <x:v>Riley Lewis</x:v>
      </x:c>
      <x:c r="C537" t="str">
        <x:v>https://api.dicebear.com/9.x/adventurer/png?seed=DHR-00536-Riley%20Lewis&amp;size=256&amp;radius=50&amp;backgroundColor=b6e3f4,c0aede,d1d4f9,ffd5dc,ffdfbf</x:v>
      </x:c>
      <x:c r="D537" t="str">
        <x:v>riley.lewis.536@example.com</x:v>
      </x:c>
      <x:c r="E537" t="str">
        <x:v>+1 (212) 555-0135</x:v>
      </x:c>
      <x:c r="F537" t="str">
        <x:v>New York, NY</x:v>
      </x:c>
      <x:c r="G537" t="str">
        <x:v>New York</x:v>
      </x:c>
      <x:c r="H537" t="str">
        <x:v>NY</x:v>
      </x:c>
      <x:c r="I537" s="18" t="str">
        <x:v>10001</x:v>
      </x:c>
      <x:c r="J537" s="15" t="n">
        <x:v>26410.689979733797</x:v>
      </x:c>
      <x:c r="K537" t="n">
        <x:f>INT((DATE(2025,12,31)-J537)/365.25)</x:f>
        <x:v>53</x:v>
      </x:c>
      <x:c r="L537" t="str">
        <x:f>IF(K537&lt;25,"18-24",IF(K537&lt;35,"25-34",IF(K537&lt;45,"35-44",IF(K537&lt;55,"45-54","55+"))))</x:f>
        <x:v>45-54</x:v>
      </x:c>
      <x:c r="M537" s="15" t="n">
        <x:v>44316.00257269676</x:v>
      </x:c>
      <x:c r="N537" t="n">
        <x:f>(YEAR(DATE(2025,12,31))-YEAR(M537))*12+MONTH(DATE(2025,12,31))-MONTH(M537)</x:f>
        <x:v>56</x:v>
      </x:c>
      <x:c r="O537" t="str">
        <x:v>ACTIVE</x:v>
      </x:c>
      <x:c r="P537" t="str">
        <x:v>INDEPENDENT_CONTRACTOR</x:v>
      </x:c>
      <x:c r="Q537" t="str">
        <x:v>CAR</x:v>
      </x:c>
      <x:c r="R537" t="str">
        <x:v>LUNCH</x:v>
      </x:c>
      <x:c r="S537" t="n">
        <x:v>42</x:v>
      </x:c>
      <x:c r="T537" t="str">
        <x:v>CLEARED</x:v>
      </x:c>
      <x:c r="U537" t="str">
        <x:v>VALID</x:v>
      </x:c>
      <x:c r="V537" s="16" t="n">
        <x:v>0.8888</x:v>
      </x:c>
      <x:c r="W537" t="str">
        <x:v>Spanish</x:v>
      </x:c>
      <x:c r="X537"/>
      <x:c r="Y537" t="n">
        <x:v>5886</x:v>
      </x:c>
      <x:c r="Z537" s="17" t="n">
        <x:v>4.92</x:v>
      </x:c>
      <x:c r="AA537" s="16" t="n">
        <x:v>0.8063</x:v>
      </x:c>
      <x:c r="AB537" s="16" t="n">
        <x:v>0.998</x:v>
      </x:c>
      <x:c r="AC537" s="16" t="n">
        <x:v>0.9574</x:v>
      </x:c>
      <x:c r="AD537" t="n">
        <x:v>0</x:v>
      </x:c>
      <x:c r="AE537" t="str">
        <x:f>IF(O537&lt;&gt;"ACTIVE","NOT_RATED",IF(AND(Z537&gt;=4.8,AB537&gt;=0.97,AC537&gt;=0.93,AD537=0),"ELITE",IF(AND(Z537&gt;=4.6,AB537&gt;=0.94,AC537&gt;=0.88),"HIGH_PERFORMER",IF(OR(Z537&lt;4.2,AB537&lt;0.85,AD537&gt;=2),"AT_RISK","STANDARD"))))</x:f>
        <x:v>ELITE</x:v>
      </x:c>
      <x:c r="AF537" s="15" t="n">
        <x:v>46016</x:v>
      </x:c>
      <x:c r="AG537" t="str">
        <x:v>VERIFIED</x:v>
      </x:c>
      <x:c r="AH537" t="str">
        <x:v>COMPLETE</x:v>
      </x:c>
      <x:c r="AI537" t="str">
        <x:v>Sam Harris</x:v>
      </x:c>
      <x:c r="AJ537" t="str">
        <x:v>SPOUSE_PARTNER</x:v>
      </x:c>
      <x:c r="AK537" t="str">
        <x:v>+1 (212) 555-0168</x:v>
      </x:c>
    </x:row>
    <x:row r="538" ht="18" customHeight="1">
      <x:c r="A538" t="str">
        <x:v>DHR-00537</x:v>
      </x:c>
      <x:c r="B538" t="str">
        <x:v>Riley Martinez</x:v>
      </x:c>
      <x:c r="C538" t="str">
        <x:v>https://api.dicebear.com/9.x/adventurer/png?seed=DHR-00537-Riley%20Martinez&amp;size=256&amp;radius=50&amp;backgroundColor=b6e3f4,c0aede,d1d4f9,ffd5dc,ffdfbf</x:v>
      </x:c>
      <x:c r="D538" t="str">
        <x:v>riley.martinez.537@example.com</x:v>
      </x:c>
      <x:c r="E538" t="str">
        <x:v>+1 (619) 555-0136</x:v>
      </x:c>
      <x:c r="F538" t="str">
        <x:v>San Diego, CA</x:v>
      </x:c>
      <x:c r="G538" t="str">
        <x:v>San Diego</x:v>
      </x:c>
      <x:c r="H538" t="str">
        <x:v>CA</x:v>
      </x:c>
      <x:c r="I538" s="18" t="str">
        <x:v>92101</x:v>
      </x:c>
      <x:c r="J538" s="15" t="n">
        <x:v>25135.924737337962</x:v>
      </x:c>
      <x:c r="K538" t="n">
        <x:f>INT((DATE(2025,12,31)-J538)/365.25)</x:f>
        <x:v>57</x:v>
      </x:c>
      <x:c r="L538" t="str">
        <x:f>IF(K538&lt;25,"18-24",IF(K538&lt;35,"25-34",IF(K538&lt;45,"35-44",IF(K538&lt;55,"45-54","55+"))))</x:f>
        <x:v>55+</x:v>
      </x:c>
      <x:c r="M538" s="15" t="n">
        <x:v>45730.600350416666</x:v>
      </x:c>
      <x:c r="N538" t="n">
        <x:f>(YEAR(DATE(2025,12,31))-YEAR(M538))*12+MONTH(DATE(2025,12,31))-MONTH(M538)</x:f>
        <x:v>9</x:v>
      </x:c>
      <x:c r="O538" t="str">
        <x:v>ACTIVE</x:v>
      </x:c>
      <x:c r="P538" t="str">
        <x:v>INDEPENDENT_CONTRACTOR</x:v>
      </x:c>
      <x:c r="Q538" t="str">
        <x:v>CAR</x:v>
      </x:c>
      <x:c r="R538" t="str">
        <x:v>FLEXIBLE</x:v>
      </x:c>
      <x:c r="S538" t="n">
        <x:v>19</x:v>
      </x:c>
      <x:c r="T538" t="str">
        <x:v>CLEARED</x:v>
      </x:c>
      <x:c r="U538" t="str">
        <x:v>VALID</x:v>
      </x:c>
      <x:c r="V538" s="16" t="n">
        <x:v>0.8256</x:v>
      </x:c>
      <x:c r="W538" t="str">
        <x:v>Spanish</x:v>
      </x:c>
      <x:c r="X538" t="str">
        <x:v>English</x:v>
      </x:c>
      <x:c r="Y538" t="n">
        <x:v>474</x:v>
      </x:c>
      <x:c r="Z538" s="17" t="n">
        <x:v>4.29</x:v>
      </x:c>
      <x:c r="AA538" s="16" t="n">
        <x:v>0.6378</x:v>
      </x:c>
      <x:c r="AB538" s="16" t="n">
        <x:v>0.9684</x:v>
      </x:c>
      <x:c r="AC538" s="16" t="n">
        <x:v>0.8978</x:v>
      </x:c>
      <x:c r="AD538" t="n">
        <x:v>0</x:v>
      </x:c>
      <x:c r="AE538" t="str">
        <x:f>IF(O538&lt;&gt;"ACTIVE","NOT_RATED",IF(AND(Z538&gt;=4.8,AB538&gt;=0.97,AC538&gt;=0.93,AD538=0),"ELITE",IF(AND(Z538&gt;=4.6,AB538&gt;=0.94,AC538&gt;=0.88),"HIGH_PERFORMER",IF(OR(Z538&lt;4.2,AB538&lt;0.85,AD538&gt;=2),"AT_RISK","STANDARD"))))</x:f>
        <x:v>STANDARD</x:v>
      </x:c>
      <x:c r="AF538" s="15" t="n">
        <x:v>46010</x:v>
      </x:c>
      <x:c r="AG538" t="str">
        <x:v>VERIFIED</x:v>
      </x:c>
      <x:c r="AH538" t="str">
        <x:v>COMPLETE</x:v>
      </x:c>
      <x:c r="AI538" t="str">
        <x:v>Alex Clark</x:v>
      </x:c>
      <x:c r="AJ538" t="str">
        <x:v>SPOUSE_PARTNER</x:v>
      </x:c>
      <x:c r="AK538" t="str">
        <x:v>+1 (619) 555-0175</x:v>
      </x:c>
    </x:row>
    <x:row r="539" ht="18" customHeight="1">
      <x:c r="A539" t="str">
        <x:v>DHR-00538</x:v>
      </x:c>
      <x:c r="B539" t="str">
        <x:v>Riley Miller</x:v>
      </x:c>
      <x:c r="C539" t="str">
        <x:v>https://api.dicebear.com/9.x/adventurer/png?seed=DHR-00538-Riley%20Miller&amp;size=256&amp;radius=50&amp;backgroundColor=b6e3f4,c0aede,d1d4f9,ffd5dc,ffdfbf</x:v>
      </x:c>
      <x:c r="D539" t="str">
        <x:v>riley.miller.538@example.com</x:v>
      </x:c>
      <x:c r="E539" t="str">
        <x:v>+1 (408) 555-0137</x:v>
      </x:c>
      <x:c r="F539" t="str">
        <x:v>San Jose, CA</x:v>
      </x:c>
      <x:c r="G539" t="str">
        <x:v>San Jose</x:v>
      </x:c>
      <x:c r="H539" t="str">
        <x:v>CA</x:v>
      </x:c>
      <x:c r="I539" s="18" t="str">
        <x:v>95113</x:v>
      </x:c>
      <x:c r="J539" s="15" t="n">
        <x:v>37307.18508377315</x:v>
      </x:c>
      <x:c r="K539" t="n">
        <x:f>INT((DATE(2025,12,31)-J539)/365.25)</x:f>
        <x:v>23</x:v>
      </x:c>
      <x:c r="L539" t="str">
        <x:f>IF(K539&lt;25,"18-24",IF(K539&lt;35,"25-34",IF(K539&lt;45,"35-44",IF(K539&lt;55,"45-54","55+"))))</x:f>
        <x:v>18-24</x:v>
      </x:c>
      <x:c r="M539" s="15" t="n">
        <x:v>45578.15625392361</x:v>
      </x:c>
      <x:c r="N539" t="n">
        <x:f>(YEAR(DATE(2025,12,31))-YEAR(M539))*12+MONTH(DATE(2025,12,31))-MONTH(M539)</x:f>
        <x:v>14</x:v>
      </x:c>
      <x:c r="O539" t="str">
        <x:v>ACTIVE</x:v>
      </x:c>
      <x:c r="P539" t="str">
        <x:v>INDEPENDENT_CONTRACTOR</x:v>
      </x:c>
      <x:c r="Q539" t="str">
        <x:v>CAR</x:v>
      </x:c>
      <x:c r="R539" t="str">
        <x:v>DINNER</x:v>
      </x:c>
      <x:c r="S539" t="n">
        <x:v>38</x:v>
      </x:c>
      <x:c r="T539" t="str">
        <x:v>CLEARED</x:v>
      </x:c>
      <x:c r="U539" t="str">
        <x:v>VALID</x:v>
      </x:c>
      <x:c r="V539" s="16" t="n">
        <x:v>0.8589</x:v>
      </x:c>
      <x:c r="W539" t="str">
        <x:v>Vietnamese</x:v>
      </x:c>
      <x:c r="X539"/>
      <x:c r="Y539" t="n">
        <x:v>1464</x:v>
      </x:c>
      <x:c r="Z539" s="17" t="n">
        <x:v>4.84</x:v>
      </x:c>
      <x:c r="AA539" s="16" t="n">
        <x:v>0.7948</x:v>
      </x:c>
      <x:c r="AB539" s="16" t="n">
        <x:v>0.8805</x:v>
      </x:c>
      <x:c r="AC539" s="16" t="n">
        <x:v>0.9241</x:v>
      </x:c>
      <x:c r="AD539" t="n">
        <x:v>1</x:v>
      </x:c>
      <x:c r="AE539" t="str">
        <x:f>IF(O539&lt;&gt;"ACTIVE","NOT_RATED",IF(AND(Z539&gt;=4.8,AB539&gt;=0.97,AC539&gt;=0.93,AD539=0),"ELITE",IF(AND(Z539&gt;=4.6,AB539&gt;=0.94,AC539&gt;=0.88),"HIGH_PERFORMER",IF(OR(Z539&lt;4.2,AB539&lt;0.85,AD539&gt;=2),"AT_RISK","STANDARD"))))</x:f>
        <x:v>STANDARD</x:v>
      </x:c>
      <x:c r="AF539" s="15" t="n">
        <x:v>46020</x:v>
      </x:c>
      <x:c r="AG539" t="str">
        <x:v>VERIFIED</x:v>
      </x:c>
      <x:c r="AH539" t="str">
        <x:v>COMPLETE</x:v>
      </x:c>
      <x:c r="AI539" t="str">
        <x:v>Avery Clark</x:v>
      </x:c>
      <x:c r="AJ539" t="str">
        <x:v>SPOUSE_PARTNER</x:v>
      </x:c>
      <x:c r="AK539" t="str">
        <x:v>+1 (408) 555-0182</x:v>
      </x:c>
    </x:row>
    <x:row r="540" ht="18" customHeight="1">
      <x:c r="A540" t="str">
        <x:v>DHR-00539</x:v>
      </x:c>
      <x:c r="B540" t="str">
        <x:v>Riley Moore</x:v>
      </x:c>
      <x:c r="C540" t="str">
        <x:v>https://api.dicebear.com/9.x/adventurer/png?seed=DHR-00539-Riley%20Moore&amp;size=256&amp;radius=50&amp;backgroundColor=b6e3f4,c0aede,d1d4f9,ffd5dc,ffdfbf</x:v>
      </x:c>
      <x:c r="D540" t="str">
        <x:v>riley.moore.539@example.com</x:v>
      </x:c>
      <x:c r="E540" t="str">
        <x:v>+1 (312) 555-0138</x:v>
      </x:c>
      <x:c r="F540" t="str">
        <x:v>Chicago, IL</x:v>
      </x:c>
      <x:c r="G540" t="str">
        <x:v>Chicago</x:v>
      </x:c>
      <x:c r="H540" t="str">
        <x:v>IL</x:v>
      </x:c>
      <x:c r="I540" s="18" t="str">
        <x:v>60601</x:v>
      </x:c>
      <x:c r="J540" s="15" t="n">
        <x:v>35971.65851017361</x:v>
      </x:c>
      <x:c r="K540" t="n">
        <x:f>INT((DATE(2025,12,31)-J540)/365.25)</x:f>
        <x:v>27</x:v>
      </x:c>
      <x:c r="L540" t="str">
        <x:f>IF(K540&lt;25,"18-24",IF(K540&lt;35,"25-34",IF(K540&lt;45,"35-44",IF(K540&lt;55,"45-54","55+"))))</x:f>
        <x:v>25-34</x:v>
      </x:c>
      <x:c r="M540" s="15" t="n">
        <x:v>44525.4504812963</x:v>
      </x:c>
      <x:c r="N540" t="n">
        <x:f>(YEAR(DATE(2025,12,31))-YEAR(M540))*12+MONTH(DATE(2025,12,31))-MONTH(M540)</x:f>
        <x:v>49</x:v>
      </x:c>
      <x:c r="O540" t="str">
        <x:v>ACTIVE</x:v>
      </x:c>
      <x:c r="P540" t="str">
        <x:v>INDEPENDENT_CONTRACTOR</x:v>
      </x:c>
      <x:c r="Q540" t="str">
        <x:v>CAR</x:v>
      </x:c>
      <x:c r="R540" t="str">
        <x:v>WEEKENDS</x:v>
      </x:c>
      <x:c r="S540" t="n">
        <x:v>20</x:v>
      </x:c>
      <x:c r="T540" t="str">
        <x:v>CLEARED</x:v>
      </x:c>
      <x:c r="U540" t="str">
        <x:v>VALID</x:v>
      </x:c>
      <x:c r="V540" s="16" t="n">
        <x:v>0.9599</x:v>
      </x:c>
      <x:c r="W540" t="str">
        <x:v>English</x:v>
      </x:c>
      <x:c r="X540" t="str">
        <x:v>Spanish</x:v>
      </x:c>
      <x:c r="Y540" t="n">
        <x:v>3874</x:v>
      </x:c>
      <x:c r="Z540" s="17" t="n">
        <x:v>4.68</x:v>
      </x:c>
      <x:c r="AA540" s="16" t="n">
        <x:v>0.9295</x:v>
      </x:c>
      <x:c r="AB540" s="16" t="n">
        <x:v>0.9792</x:v>
      </x:c>
      <x:c r="AC540" s="16" t="n">
        <x:v>0.8674</x:v>
      </x:c>
      <x:c r="AD540" t="n">
        <x:v>0</x:v>
      </x:c>
      <x:c r="AE540" t="str">
        <x:f>IF(O540&lt;&gt;"ACTIVE","NOT_RATED",IF(AND(Z540&gt;=4.8,AB540&gt;=0.97,AC540&gt;=0.93,AD540=0),"ELITE",IF(AND(Z540&gt;=4.6,AB540&gt;=0.94,AC540&gt;=0.88),"HIGH_PERFORMER",IF(OR(Z540&lt;4.2,AB540&lt;0.85,AD540&gt;=2),"AT_RISK","STANDARD"))))</x:f>
        <x:v>STANDARD</x:v>
      </x:c>
      <x:c r="AF540" s="15" t="n">
        <x:v>46008</x:v>
      </x:c>
      <x:c r="AG540" t="str">
        <x:v>VERIFIED</x:v>
      </x:c>
      <x:c r="AH540" t="str">
        <x:v>COMPLETE</x:v>
      </x:c>
      <x:c r="AI540" t="str">
        <x:v>Emma White</x:v>
      </x:c>
      <x:c r="AJ540" t="str">
        <x:v>PARENT</x:v>
      </x:c>
      <x:c r="AK540" t="str">
        <x:v>+1 (312) 555-0189</x:v>
      </x:c>
    </x:row>
    <x:row r="541" ht="18" customHeight="1">
      <x:c r="A541" t="str">
        <x:v>DHR-00540</x:v>
      </x:c>
      <x:c r="B541" t="str">
        <x:v>Riley Perez</x:v>
      </x:c>
      <x:c r="C541" t="str">
        <x:v>https://api.dicebear.com/9.x/adventurer/png?seed=DHR-00540-Riley%20Perez&amp;size=256&amp;radius=50&amp;backgroundColor=b6e3f4,c0aede,d1d4f9,ffd5dc,ffdfbf</x:v>
      </x:c>
      <x:c r="D541" t="str">
        <x:v>riley.perez.540@example.com</x:v>
      </x:c>
      <x:c r="E541" t="str">
        <x:v>+1 (408) 555-0139</x:v>
      </x:c>
      <x:c r="F541" t="str">
        <x:v>San Jose, CA</x:v>
      </x:c>
      <x:c r="G541" t="str">
        <x:v>San Jose</x:v>
      </x:c>
      <x:c r="H541" t="str">
        <x:v>CA</x:v>
      </x:c>
      <x:c r="I541" s="18" t="str">
        <x:v>95113</x:v>
      </x:c>
      <x:c r="J541" s="15" t="n">
        <x:v>36247.88639341435</x:v>
      </x:c>
      <x:c r="K541" t="n">
        <x:f>INT((DATE(2025,12,31)-J541)/365.25)</x:f>
        <x:v>26</x:v>
      </x:c>
      <x:c r="L541" t="str">
        <x:f>IF(K541&lt;25,"18-24",IF(K541&lt;35,"25-34",IF(K541&lt;45,"35-44",IF(K541&lt;55,"45-54","55+"))))</x:f>
        <x:v>25-34</x:v>
      </x:c>
      <x:c r="M541" s="15" t="n">
        <x:v>44725.50549885417</x:v>
      </x:c>
      <x:c r="N541" t="n">
        <x:f>(YEAR(DATE(2025,12,31))-YEAR(M541))*12+MONTH(DATE(2025,12,31))-MONTH(M541)</x:f>
        <x:v>42</x:v>
      </x:c>
      <x:c r="O541" t="str">
        <x:v>ACTIVE</x:v>
      </x:c>
      <x:c r="P541" t="str">
        <x:v>INDEPENDENT_CONTRACTOR</x:v>
      </x:c>
      <x:c r="Q541" t="str">
        <x:v>CAR</x:v>
      </x:c>
      <x:c r="R541" t="str">
        <x:v>DINNER</x:v>
      </x:c>
      <x:c r="S541" t="n">
        <x:v>41</x:v>
      </x:c>
      <x:c r="T541" t="str">
        <x:v>CLEARED</x:v>
      </x:c>
      <x:c r="U541" t="str">
        <x:v>VALID</x:v>
      </x:c>
      <x:c r="V541" s="16" t="n">
        <x:v>0.998</x:v>
      </x:c>
      <x:c r="W541" t="str">
        <x:v>English</x:v>
      </x:c>
      <x:c r="X541"/>
      <x:c r="Y541" t="n">
        <x:v>4634</x:v>
      </x:c>
      <x:c r="Z541" s="17" t="n">
        <x:v>4.62</x:v>
      </x:c>
      <x:c r="AA541" s="16" t="n">
        <x:v>0.7936</x:v>
      </x:c>
      <x:c r="AB541" s="16" t="n">
        <x:v>0.9201</x:v>
      </x:c>
      <x:c r="AC541" s="16" t="n">
        <x:v>0.8621</x:v>
      </x:c>
      <x:c r="AD541" t="n">
        <x:v>2</x:v>
      </x:c>
      <x:c r="AE541" t="str">
        <x:f>IF(O541&lt;&gt;"ACTIVE","NOT_RATED",IF(AND(Z541&gt;=4.8,AB541&gt;=0.97,AC541&gt;=0.93,AD541=0),"ELITE",IF(AND(Z541&gt;=4.6,AB541&gt;=0.94,AC541&gt;=0.88),"HIGH_PERFORMER",IF(OR(Z541&lt;4.2,AB541&lt;0.85,AD541&gt;=2),"AT_RISK","STANDARD"))))</x:f>
        <x:v>AT_RISK</x:v>
      </x:c>
      <x:c r="AF541" s="15" t="n">
        <x:v>46016</x:v>
      </x:c>
      <x:c r="AG541" t="str">
        <x:v>VERIFIED</x:v>
      </x:c>
      <x:c r="AH541" t="str">
        <x:v>COMPLETE</x:v>
      </x:c>
      <x:c r="AI541" t="str">
        <x:v>Emma Thompson</x:v>
      </x:c>
      <x:c r="AJ541" t="str">
        <x:v>PARENT</x:v>
      </x:c>
      <x:c r="AK541" t="str">
        <x:v>+1 (408) 555-0196</x:v>
      </x:c>
    </x:row>
    <x:row r="542" ht="18" customHeight="1">
      <x:c r="A542" t="str">
        <x:v>DHR-00541</x:v>
      </x:c>
      <x:c r="B542" t="str">
        <x:v>Riley Rodriguez</x:v>
      </x:c>
      <x:c r="C542" t="str">
        <x:v>https://api.dicebear.com/9.x/adventurer/png?seed=DHR-00541-Riley%20Rodriguez&amp;size=256&amp;radius=50&amp;backgroundColor=b6e3f4,c0aede,d1d4f9,ffd5dc,ffdfbf</x:v>
      </x:c>
      <x:c r="D542" t="str">
        <x:v>riley.rodriguez.541@example.com</x:v>
      </x:c>
      <x:c r="E542" t="str">
        <x:v>+1 (619) 555-0140</x:v>
      </x:c>
      <x:c r="F542" t="str">
        <x:v>San Diego, CA</x:v>
      </x:c>
      <x:c r="G542" t="str">
        <x:v>San Diego</x:v>
      </x:c>
      <x:c r="H542" t="str">
        <x:v>CA</x:v>
      </x:c>
      <x:c r="I542" s="18" t="str">
        <x:v>92101</x:v>
      </x:c>
      <x:c r="J542" s="15" t="n">
        <x:v>36771.90011540509</x:v>
      </x:c>
      <x:c r="K542" t="n">
        <x:f>INT((DATE(2025,12,31)-J542)/365.25)</x:f>
        <x:v>25</x:v>
      </x:c>
      <x:c r="L542" t="str">
        <x:f>IF(K542&lt;25,"18-24",IF(K542&lt;35,"25-34",IF(K542&lt;45,"35-44",IF(K542&lt;55,"45-54","55+"))))</x:f>
        <x:v>25-34</x:v>
      </x:c>
      <x:c r="M542" s="15" t="n">
        <x:v>44298.86640949074</x:v>
      </x:c>
      <x:c r="N542" t="n">
        <x:f>(YEAR(DATE(2025,12,31))-YEAR(M542))*12+MONTH(DATE(2025,12,31))-MONTH(M542)</x:f>
        <x:v>56</x:v>
      </x:c>
      <x:c r="O542" t="str">
        <x:v>ACTIVE</x:v>
      </x:c>
      <x:c r="P542" t="str">
        <x:v>INDEPENDENT_CONTRACTOR</x:v>
      </x:c>
      <x:c r="Q542" t="str">
        <x:v>CAR</x:v>
      </x:c>
      <x:c r="R542" t="str">
        <x:v>WEEKENDS</x:v>
      </x:c>
      <x:c r="S542" t="n">
        <x:v>8</x:v>
      </x:c>
      <x:c r="T542" t="str">
        <x:v>CLEARED</x:v>
      </x:c>
      <x:c r="U542" t="str">
        <x:v>VALID</x:v>
      </x:c>
      <x:c r="V542" s="16" t="n">
        <x:v>0.9537</x:v>
      </x:c>
      <x:c r="W542" t="str">
        <x:v>English</x:v>
      </x:c>
      <x:c r="X542"/>
      <x:c r="Y542" t="n">
        <x:v>1150</x:v>
      </x:c>
      <x:c r="Z542" s="17" t="n">
        <x:v>4.84</x:v>
      </x:c>
      <x:c r="AA542" s="16" t="n">
        <x:v>0.6593</x:v>
      </x:c>
      <x:c r="AB542" s="16" t="n">
        <x:v>0.8855</x:v>
      </x:c>
      <x:c r="AC542" s="16" t="n">
        <x:v>0.8566</x:v>
      </x:c>
      <x:c r="AD542" t="n">
        <x:v>0</x:v>
      </x:c>
      <x:c r="AE542" t="str">
        <x:f>IF(O542&lt;&gt;"ACTIVE","NOT_RATED",IF(AND(Z542&gt;=4.8,AB542&gt;=0.97,AC542&gt;=0.93,AD542=0),"ELITE",IF(AND(Z542&gt;=4.6,AB542&gt;=0.94,AC542&gt;=0.88),"HIGH_PERFORMER",IF(OR(Z542&lt;4.2,AB542&lt;0.85,AD542&gt;=2),"AT_RISK","STANDARD"))))</x:f>
        <x:v>STANDARD</x:v>
      </x:c>
      <x:c r="AF542" s="15" t="n">
        <x:v>46009</x:v>
      </x:c>
      <x:c r="AG542" t="str">
        <x:v>VERIFIED</x:v>
      </x:c>
      <x:c r="AH542" t="str">
        <x:v>COMPLETE</x:v>
      </x:c>
      <x:c r="AI542" t="str">
        <x:v>Jordan Williams</x:v>
      </x:c>
      <x:c r="AJ542" t="str">
        <x:v>SPOUSE_PARTNER</x:v>
      </x:c>
      <x:c r="AK542" t="str">
        <x:v>+1 (619) 555-0103</x:v>
      </x:c>
    </x:row>
    <x:row r="543" ht="18" customHeight="1">
      <x:c r="A543" t="str">
        <x:v>DHR-00542</x:v>
      </x:c>
      <x:c r="B543" t="str">
        <x:v>Riley Taylor</x:v>
      </x:c>
      <x:c r="C543" t="str">
        <x:v>https://api.dicebear.com/9.x/adventurer/png?seed=DHR-00542-Riley%20Taylor&amp;size=256&amp;radius=50&amp;backgroundColor=b6e3f4,c0aede,d1d4f9,ffd5dc,ffdfbf</x:v>
      </x:c>
      <x:c r="D543" t="str">
        <x:v>riley.taylor.542@example.com</x:v>
      </x:c>
      <x:c r="E543" t="str">
        <x:v>+1 (512) 555-0141</x:v>
      </x:c>
      <x:c r="F543" t="str">
        <x:v>Austin, TX</x:v>
      </x:c>
      <x:c r="G543" t="str">
        <x:v>Austin</x:v>
      </x:c>
      <x:c r="H543" t="str">
        <x:v>TX</x:v>
      </x:c>
      <x:c r="I543" s="18" t="str">
        <x:v>78701</x:v>
      </x:c>
      <x:c r="J543" s="15" t="n">
        <x:v>33866.107707731484</x:v>
      </x:c>
      <x:c r="K543" t="n">
        <x:f>INT((DATE(2025,12,31)-J543)/365.25)</x:f>
        <x:v>33</x:v>
      </x:c>
      <x:c r="L543" t="str">
        <x:f>IF(K543&lt;25,"18-24",IF(K543&lt;35,"25-34",IF(K543&lt;45,"35-44",IF(K543&lt;55,"45-54","55+"))))</x:f>
        <x:v>25-34</x:v>
      </x:c>
      <x:c r="M543" s="15" t="n">
        <x:v>43602.77849076389</x:v>
      </x:c>
      <x:c r="N543" t="n">
        <x:f>(YEAR(DATE(2025,12,31))-YEAR(M543))*12+MONTH(DATE(2025,12,31))-MONTH(M543)</x:f>
        <x:v>79</x:v>
      </x:c>
      <x:c r="O543" t="str">
        <x:v>ACTIVE</x:v>
      </x:c>
      <x:c r="P543" t="str">
        <x:v>INDEPENDENT_CONTRACTOR</x:v>
      </x:c>
      <x:c r="Q543" t="str">
        <x:v>CAR</x:v>
      </x:c>
      <x:c r="R543" t="str">
        <x:v>LUNCH</x:v>
      </x:c>
      <x:c r="S543" t="n">
        <x:v>21</x:v>
      </x:c>
      <x:c r="T543" t="str">
        <x:v>CLEARED</x:v>
      </x:c>
      <x:c r="U543" t="str">
        <x:v>VALID</x:v>
      </x:c>
      <x:c r="V543" s="16" t="n">
        <x:v>0.8468</x:v>
      </x:c>
      <x:c r="W543" t="str">
        <x:v>English</x:v>
      </x:c>
      <x:c r="X543"/>
      <x:c r="Y543" t="n">
        <x:v>6679</x:v>
      </x:c>
      <x:c r="Z543" s="17" t="n">
        <x:v>4.75</x:v>
      </x:c>
      <x:c r="AA543" s="16" t="n">
        <x:v>0.7434</x:v>
      </x:c>
      <x:c r="AB543" s="16" t="n">
        <x:v>0.9191</x:v>
      </x:c>
      <x:c r="AC543" s="16" t="n">
        <x:v>0.9561</x:v>
      </x:c>
      <x:c r="AD543" t="n">
        <x:v>0</x:v>
      </x:c>
      <x:c r="AE543" t="str">
        <x:f>IF(O543&lt;&gt;"ACTIVE","NOT_RATED",IF(AND(Z543&gt;=4.8,AB543&gt;=0.97,AC543&gt;=0.93,AD543=0),"ELITE",IF(AND(Z543&gt;=4.6,AB543&gt;=0.94,AC543&gt;=0.88),"HIGH_PERFORMER",IF(OR(Z543&lt;4.2,AB543&lt;0.85,AD543&gt;=2),"AT_RISK","STANDARD"))))</x:f>
        <x:v>STANDARD</x:v>
      </x:c>
      <x:c r="AF543" s="15" t="n">
        <x:v>46020</x:v>
      </x:c>
      <x:c r="AG543" t="str">
        <x:v>VERIFIED</x:v>
      </x:c>
      <x:c r="AH543" t="str">
        <x:v>COMPLETE</x:v>
      </x:c>
      <x:c r="AI543" t="str">
        <x:v>Olivia Young</x:v>
      </x:c>
      <x:c r="AJ543" t="str">
        <x:v>PARENT</x:v>
      </x:c>
      <x:c r="AK543" t="str">
        <x:v>+1 (512) 555-0110</x:v>
      </x:c>
    </x:row>
    <x:row r="544" ht="18" customHeight="1">
      <x:c r="A544" t="str">
        <x:v>DHR-00543</x:v>
      </x:c>
      <x:c r="B544" t="str">
        <x:v>Riley Thomas</x:v>
      </x:c>
      <x:c r="C544" t="str">
        <x:v>https://api.dicebear.com/9.x/adventurer/png?seed=DHR-00543-Riley%20Thomas&amp;size=256&amp;radius=50&amp;backgroundColor=b6e3f4,c0aede,d1d4f9,ffd5dc,ffdfbf</x:v>
      </x:c>
      <x:c r="D544" t="str">
        <x:v>riley.thomas.543@example.com</x:v>
      </x:c>
      <x:c r="E544" t="str">
        <x:v>+1 (615) 555-0142</x:v>
      </x:c>
      <x:c r="F544" t="str">
        <x:v>Nashville, TN</x:v>
      </x:c>
      <x:c r="G544" t="str">
        <x:v>Nashville</x:v>
      </x:c>
      <x:c r="H544" t="str">
        <x:v>TN</x:v>
      </x:c>
      <x:c r="I544" s="18" t="str">
        <x:v>37219</x:v>
      </x:c>
      <x:c r="J544" s="15" t="n">
        <x:v>34314.825557511576</x:v>
      </x:c>
      <x:c r="K544" t="n">
        <x:f>INT((DATE(2025,12,31)-J544)/365.25)</x:f>
        <x:v>32</x:v>
      </x:c>
      <x:c r="L544" t="str">
        <x:f>IF(K544&lt;25,"18-24",IF(K544&lt;35,"25-34",IF(K544&lt;45,"35-44",IF(K544&lt;55,"45-54","55+"))))</x:f>
        <x:v>25-34</x:v>
      </x:c>
      <x:c r="M544" s="15" t="n">
        <x:v>44145.03527868055</x:v>
      </x:c>
      <x:c r="N544" t="n">
        <x:f>(YEAR(DATE(2025,12,31))-YEAR(M544))*12+MONTH(DATE(2025,12,31))-MONTH(M544)</x:f>
        <x:v>61</x:v>
      </x:c>
      <x:c r="O544" t="str">
        <x:v>PAUSED</x:v>
      </x:c>
      <x:c r="P544" t="str">
        <x:v>INDEPENDENT_CONTRACTOR</x:v>
      </x:c>
      <x:c r="Q544" t="str">
        <x:v>BICYCLE</x:v>
      </x:c>
      <x:c r="R544" t="str">
        <x:v>LUNCH</x:v>
      </x:c>
      <x:c r="S544" t="n">
        <x:v>20</x:v>
      </x:c>
      <x:c r="T544" t="str">
        <x:v>CLEARED</x:v>
      </x:c>
      <x:c r="U544" t="str">
        <x:v>NOT_REQUIRED</x:v>
      </x:c>
      <x:c r="V544" s="16" t="n">
        <x:v>0.8751</x:v>
      </x:c>
      <x:c r="W544" t="str">
        <x:v>French</x:v>
      </x:c>
      <x:c r="X544"/>
      <x:c r="Y544" t="n">
        <x:v>4183</x:v>
      </x:c>
      <x:c r="Z544" s="17" t="n">
        <x:v>4.48</x:v>
      </x:c>
      <x:c r="AA544" s="16" t="n">
        <x:v>0.7741</x:v>
      </x:c>
      <x:c r="AB544" s="16" t="n">
        <x:v>0.9387</x:v>
      </x:c>
      <x:c r="AC544" s="16" t="n">
        <x:v>0.8908</x:v>
      </x:c>
      <x:c r="AD544" t="n">
        <x:v>0</x:v>
      </x:c>
      <x:c r="AE544" t="str">
        <x:f>IF(O544&lt;&gt;"ACTIVE","NOT_RATED",IF(AND(Z544&gt;=4.8,AB544&gt;=0.97,AC544&gt;=0.93,AD544=0),"ELITE",IF(AND(Z544&gt;=4.6,AB544&gt;=0.94,AC544&gt;=0.88),"HIGH_PERFORMER",IF(OR(Z544&lt;4.2,AB544&lt;0.85,AD544&gt;=2),"AT_RISK","STANDARD"))))</x:f>
        <x:v>NOT_RATED</x:v>
      </x:c>
      <x:c r="AF544" s="15" t="n">
        <x:v>45941</x:v>
      </x:c>
      <x:c r="AG544" t="str">
        <x:v>VERIFIED</x:v>
      </x:c>
      <x:c r="AH544" t="str">
        <x:v>COMPLETE</x:v>
      </x:c>
      <x:c r="AI544" t="str">
        <x:v>Olivia Martinez</x:v>
      </x:c>
      <x:c r="AJ544" t="str">
        <x:v>FRIEND</x:v>
      </x:c>
      <x:c r="AK544" t="str">
        <x:v>+1 (615) 555-0117</x:v>
      </x:c>
    </x:row>
    <x:row r="545" ht="18" customHeight="1">
      <x:c r="A545" t="str">
        <x:v>DHR-00544</x:v>
      </x:c>
      <x:c r="B545" t="str">
        <x:v>Riley Thompson</x:v>
      </x:c>
      <x:c r="C545" t="str">
        <x:v>https://api.dicebear.com/9.x/adventurer/png?seed=DHR-00544-Riley%20Thompson&amp;size=256&amp;radius=50&amp;backgroundColor=b6e3f4,c0aede,d1d4f9,ffd5dc,ffdfbf</x:v>
      </x:c>
      <x:c r="D545" t="str">
        <x:v>riley.thompson.544@example.com</x:v>
      </x:c>
      <x:c r="E545" t="str">
        <x:v>+1 (212) 555-0143</x:v>
      </x:c>
      <x:c r="F545" t="str">
        <x:v>New York, NY</x:v>
      </x:c>
      <x:c r="G545" t="str">
        <x:v>New York</x:v>
      </x:c>
      <x:c r="H545" t="str">
        <x:v>NY</x:v>
      </x:c>
      <x:c r="I545" s="18" t="str">
        <x:v>10001</x:v>
      </x:c>
      <x:c r="J545" s="15" t="n">
        <x:v>31346.39050241898</x:v>
      </x:c>
      <x:c r="K545" t="n">
        <x:f>INT((DATE(2025,12,31)-J545)/365.25)</x:f>
        <x:v>40</x:v>
      </x:c>
      <x:c r="L545" t="str">
        <x:f>IF(K545&lt;25,"18-24",IF(K545&lt;35,"25-34",IF(K545&lt;45,"35-44",IF(K545&lt;55,"45-54","55+"))))</x:f>
        <x:v>35-44</x:v>
      </x:c>
      <x:c r="M545" s="15" t="n">
        <x:v>44098.79613599537</x:v>
      </x:c>
      <x:c r="N545" t="n">
        <x:f>(YEAR(DATE(2025,12,31))-YEAR(M545))*12+MONTH(DATE(2025,12,31))-MONTH(M545)</x:f>
        <x:v>63</x:v>
      </x:c>
      <x:c r="O545" t="str">
        <x:v>ACTIVE</x:v>
      </x:c>
      <x:c r="P545" t="str">
        <x:v>INDEPENDENT_CONTRACTOR</x:v>
      </x:c>
      <x:c r="Q545" t="str">
        <x:v>E_BIKE</x:v>
      </x:c>
      <x:c r="R545" t="str">
        <x:v>LUNCH</x:v>
      </x:c>
      <x:c r="S545" t="n">
        <x:v>14</x:v>
      </x:c>
      <x:c r="T545" t="str">
        <x:v>CLEARED</x:v>
      </x:c>
      <x:c r="U545" t="str">
        <x:v>NOT_REQUIRED</x:v>
      </x:c>
      <x:c r="V545" s="16" t="n">
        <x:v>0.8168</x:v>
      </x:c>
      <x:c r="W545" t="str">
        <x:v>English</x:v>
      </x:c>
      <x:c r="X545" t="str">
        <x:v>Spanish</x:v>
      </x:c>
      <x:c r="Y545" t="n">
        <x:v>2287</x:v>
      </x:c>
      <x:c r="Z545" s="17" t="n">
        <x:v>4.32</x:v>
      </x:c>
      <x:c r="AA545" s="16" t="n">
        <x:v>0.7299</x:v>
      </x:c>
      <x:c r="AB545" s="16" t="n">
        <x:v>0.8936</x:v>
      </x:c>
      <x:c r="AC545" s="16" t="n">
        <x:v>0.9171</x:v>
      </x:c>
      <x:c r="AD545" t="n">
        <x:v>1</x:v>
      </x:c>
      <x:c r="AE545" t="str">
        <x:f>IF(O545&lt;&gt;"ACTIVE","NOT_RATED",IF(AND(Z545&gt;=4.8,AB545&gt;=0.97,AC545&gt;=0.93,AD545=0),"ELITE",IF(AND(Z545&gt;=4.6,AB545&gt;=0.94,AC545&gt;=0.88),"HIGH_PERFORMER",IF(OR(Z545&lt;4.2,AB545&lt;0.85,AD545&gt;=2),"AT_RISK","STANDARD"))))</x:f>
        <x:v>STANDARD</x:v>
      </x:c>
      <x:c r="AF545" s="15" t="n">
        <x:v>46012</x:v>
      </x:c>
      <x:c r="AG545" t="str">
        <x:v>VERIFIED</x:v>
      </x:c>
      <x:c r="AH545" t="str">
        <x:v>COMPLETE</x:v>
      </x:c>
      <x:c r="AI545" t="str">
        <x:v>Mateo Williams</x:v>
      </x:c>
      <x:c r="AJ545" t="str">
        <x:v>PARENT</x:v>
      </x:c>
      <x:c r="AK545" t="str">
        <x:v>+1 (212) 555-0124</x:v>
      </x:c>
    </x:row>
    <x:row r="546" ht="18" customHeight="1">
      <x:c r="A546" t="str">
        <x:v>DHR-00545</x:v>
      </x:c>
      <x:c r="B546" t="str">
        <x:v>Riley White</x:v>
      </x:c>
      <x:c r="C546" t="str">
        <x:v>https://api.dicebear.com/9.x/adventurer/png?seed=DHR-00545-Riley%20White&amp;size=256&amp;radius=50&amp;backgroundColor=b6e3f4,c0aede,d1d4f9,ffd5dc,ffdfbf</x:v>
      </x:c>
      <x:c r="D546" t="str">
        <x:v>riley.white.545@example.com</x:v>
      </x:c>
      <x:c r="E546" t="str">
        <x:v>+1 (619) 555-0144</x:v>
      </x:c>
      <x:c r="F546" t="str">
        <x:v>San Diego, CA</x:v>
      </x:c>
      <x:c r="G546" t="str">
        <x:v>San Diego</x:v>
      </x:c>
      <x:c r="H546" t="str">
        <x:v>CA</x:v>
      </x:c>
      <x:c r="I546" s="18" t="str">
        <x:v>92101</x:v>
      </x:c>
      <x:c r="J546" s="15" t="n">
        <x:v>31468.880820810184</x:v>
      </x:c>
      <x:c r="K546" t="n">
        <x:f>INT((DATE(2025,12,31)-J546)/365.25)</x:f>
        <x:v>39</x:v>
      </x:c>
      <x:c r="L546" t="str">
        <x:f>IF(K546&lt;25,"18-24",IF(K546&lt;35,"25-34",IF(K546&lt;45,"35-44",IF(K546&lt;55,"45-54","55+"))))</x:f>
        <x:v>35-44</x:v>
      </x:c>
      <x:c r="M546" s="15" t="n">
        <x:v>44879.24884777778</x:v>
      </x:c>
      <x:c r="N546" t="n">
        <x:f>(YEAR(DATE(2025,12,31))-YEAR(M546))*12+MONTH(DATE(2025,12,31))-MONTH(M546)</x:f>
        <x:v>37</x:v>
      </x:c>
      <x:c r="O546" t="str">
        <x:v>ACTIVE</x:v>
      </x:c>
      <x:c r="P546" t="str">
        <x:v>INDEPENDENT_CONTRACTOR</x:v>
      </x:c>
      <x:c r="Q546" t="str">
        <x:v>BICYCLE</x:v>
      </x:c>
      <x:c r="R546" t="str">
        <x:v>LUNCH</x:v>
      </x:c>
      <x:c r="S546" t="n">
        <x:v>37</x:v>
      </x:c>
      <x:c r="T546" t="str">
        <x:v>CLEARED</x:v>
      </x:c>
      <x:c r="U546" t="str">
        <x:v>NOT_REQUIRED</x:v>
      </x:c>
      <x:c r="V546" s="16" t="n">
        <x:v>0.8709</x:v>
      </x:c>
      <x:c r="W546" t="str">
        <x:v>English</x:v>
      </x:c>
      <x:c r="X546" t="str">
        <x:v>Spanish</x:v>
      </x:c>
      <x:c r="Y546" t="n">
        <x:v>5117</x:v>
      </x:c>
      <x:c r="Z546" s="17" t="n">
        <x:v>4.2</x:v>
      </x:c>
      <x:c r="AA546" s="16" t="n">
        <x:v>0.7898</x:v>
      </x:c>
      <x:c r="AB546" s="16" t="n">
        <x:v>0.9728</x:v>
      </x:c>
      <x:c r="AC546" s="16" t="n">
        <x:v>0.8549</x:v>
      </x:c>
      <x:c r="AD546" t="n">
        <x:v>0</x:v>
      </x:c>
      <x:c r="AE546" t="str">
        <x:f>IF(O546&lt;&gt;"ACTIVE","NOT_RATED",IF(AND(Z546&gt;=4.8,AB546&gt;=0.97,AC546&gt;=0.93,AD546=0),"ELITE",IF(AND(Z546&gt;=4.6,AB546&gt;=0.94,AC546&gt;=0.88),"HIGH_PERFORMER",IF(OR(Z546&lt;4.2,AB546&lt;0.85,AD546&gt;=2),"AT_RISK","STANDARD"))))</x:f>
        <x:v>STANDARD</x:v>
      </x:c>
      <x:c r="AF546" s="15" t="n">
        <x:v>46014</x:v>
      </x:c>
      <x:c r="AG546" t="str">
        <x:v>VERIFIED</x:v>
      </x:c>
      <x:c r="AH546" t="str">
        <x:v>COMPLETE</x:v>
      </x:c>
      <x:c r="AI546" t="str">
        <x:v>Quinn Thompson</x:v>
      </x:c>
      <x:c r="AJ546" t="str">
        <x:v>OTHER</x:v>
      </x:c>
      <x:c r="AK546" t="str">
        <x:v>+1 (619) 555-0131</x:v>
      </x:c>
    </x:row>
    <x:row r="547" ht="18" customHeight="1">
      <x:c r="A547" t="str">
        <x:v>DHR-00546</x:v>
      </x:c>
      <x:c r="B547" t="str">
        <x:v>Riley Williams</x:v>
      </x:c>
      <x:c r="C547" t="str">
        <x:v>https://api.dicebear.com/9.x/adventurer/png?seed=DHR-00546-Riley%20Williams&amp;size=256&amp;radius=50&amp;backgroundColor=b6e3f4,c0aede,d1d4f9,ffd5dc,ffdfbf</x:v>
      </x:c>
      <x:c r="D547" t="str">
        <x:v>riley.williams.546@example.com</x:v>
      </x:c>
      <x:c r="E547" t="str">
        <x:v>+1 (904) 555-0145</x:v>
      </x:c>
      <x:c r="F547" t="str">
        <x:v>Jacksonville, FL</x:v>
      </x:c>
      <x:c r="G547" t="str">
        <x:v>Jacksonville</x:v>
      </x:c>
      <x:c r="H547" t="str">
        <x:v>FL</x:v>
      </x:c>
      <x:c r="I547" s="18" t="str">
        <x:v>32202</x:v>
      </x:c>
      <x:c r="J547" s="15" t="n">
        <x:v>27157.12986653935</x:v>
      </x:c>
      <x:c r="K547" t="n">
        <x:f>INT((DATE(2025,12,31)-J547)/365.25)</x:f>
        <x:v>51</x:v>
      </x:c>
      <x:c r="L547" t="str">
        <x:f>IF(K547&lt;25,"18-24",IF(K547&lt;35,"25-34",IF(K547&lt;45,"35-44",IF(K547&lt;55,"45-54","55+"))))</x:f>
        <x:v>45-54</x:v>
      </x:c>
      <x:c r="M547" s="15" t="n">
        <x:v>44775.55315126157</x:v>
      </x:c>
      <x:c r="N547" t="n">
        <x:f>(YEAR(DATE(2025,12,31))-YEAR(M547))*12+MONTH(DATE(2025,12,31))-MONTH(M547)</x:f>
        <x:v>40</x:v>
      </x:c>
      <x:c r="O547" t="str">
        <x:v>ACTIVE</x:v>
      </x:c>
      <x:c r="P547" t="str">
        <x:v>INDEPENDENT_CONTRACTOR</x:v>
      </x:c>
      <x:c r="Q547" t="str">
        <x:v>BICYCLE</x:v>
      </x:c>
      <x:c r="R547" t="str">
        <x:v>DINNER</x:v>
      </x:c>
      <x:c r="S547" t="n">
        <x:v>9</x:v>
      </x:c>
      <x:c r="T547" t="str">
        <x:v>CLEARED</x:v>
      </x:c>
      <x:c r="U547" t="str">
        <x:v>NOT_REQUIRED</x:v>
      </x:c>
      <x:c r="V547" s="16" t="n">
        <x:v>0.7965</x:v>
      </x:c>
      <x:c r="W547" t="str">
        <x:v>Mandarin</x:v>
      </x:c>
      <x:c r="X547"/>
      <x:c r="Y547" t="n">
        <x:v>1044</x:v>
      </x:c>
      <x:c r="Z547" s="17" t="n">
        <x:v>4.49</x:v>
      </x:c>
      <x:c r="AA547" s="16" t="n">
        <x:v>0.6607</x:v>
      </x:c>
      <x:c r="AB547" s="16" t="n">
        <x:v>0.9898</x:v>
      </x:c>
      <x:c r="AC547" s="16" t="n">
        <x:v>0.9379</x:v>
      </x:c>
      <x:c r="AD547" t="n">
        <x:v>0</x:v>
      </x:c>
      <x:c r="AE547" t="str">
        <x:f>IF(O547&lt;&gt;"ACTIVE","NOT_RATED",IF(AND(Z547&gt;=4.8,AB547&gt;=0.97,AC547&gt;=0.93,AD547=0),"ELITE",IF(AND(Z547&gt;=4.6,AB547&gt;=0.94,AC547&gt;=0.88),"HIGH_PERFORMER",IF(OR(Z547&lt;4.2,AB547&lt;0.85,AD547&gt;=2),"AT_RISK","STANDARD"))))</x:f>
        <x:v>STANDARD</x:v>
      </x:c>
      <x:c r="AF547" s="15" t="n">
        <x:v>46018</x:v>
      </x:c>
      <x:c r="AG547" t="str">
        <x:v>VERIFIED</x:v>
      </x:c>
      <x:c r="AH547" t="str">
        <x:v>COMPLETE</x:v>
      </x:c>
      <x:c r="AI547" t="str">
        <x:v>Cameron Jackson</x:v>
      </x:c>
      <x:c r="AJ547" t="str">
        <x:v>SPOUSE_PARTNER</x:v>
      </x:c>
      <x:c r="AK547" t="str">
        <x:v>+1 (904) 555-0138</x:v>
      </x:c>
    </x:row>
    <x:row r="548" ht="18" customHeight="1">
      <x:c r="A548" t="str">
        <x:v>DHR-00547</x:v>
      </x:c>
      <x:c r="B548" t="str">
        <x:v>Riley Wilson</x:v>
      </x:c>
      <x:c r="C548" t="str">
        <x:v>https://api.dicebear.com/9.x/adventurer/png?seed=DHR-00547-Riley%20Wilson&amp;size=256&amp;radius=50&amp;backgroundColor=b6e3f4,c0aede,d1d4f9,ffd5dc,ffdfbf</x:v>
      </x:c>
      <x:c r="D548" t="str">
        <x:v>riley.wilson.547@example.com</x:v>
      </x:c>
      <x:c r="E548" t="str">
        <x:v>+1 (503) 555-0146</x:v>
      </x:c>
      <x:c r="F548" t="str">
        <x:v>Portland, OR</x:v>
      </x:c>
      <x:c r="G548" t="str">
        <x:v>Portland</x:v>
      </x:c>
      <x:c r="H548" t="str">
        <x:v>OR</x:v>
      </x:c>
      <x:c r="I548" s="18" t="str">
        <x:v>97205</x:v>
      </x:c>
      <x:c r="J548" s="15" t="n">
        <x:v>35564.519563043985</x:v>
      </x:c>
      <x:c r="K548" t="n">
        <x:f>INT((DATE(2025,12,31)-J548)/365.25)</x:f>
        <x:v>28</x:v>
      </x:c>
      <x:c r="L548" t="str">
        <x:f>IF(K548&lt;25,"18-24",IF(K548&lt;35,"25-34",IF(K548&lt;45,"35-44",IF(K548&lt;55,"45-54","55+"))))</x:f>
        <x:v>25-34</x:v>
      </x:c>
      <x:c r="M548" s="15" t="n">
        <x:v>45865.22293980324</x:v>
      </x:c>
      <x:c r="N548" t="n">
        <x:f>(YEAR(DATE(2025,12,31))-YEAR(M548))*12+MONTH(DATE(2025,12,31))-MONTH(M548)</x:f>
        <x:v>5</x:v>
      </x:c>
      <x:c r="O548" t="str">
        <x:v>ACTIVE</x:v>
      </x:c>
      <x:c r="P548" t="str">
        <x:v>INDEPENDENT_CONTRACTOR</x:v>
      </x:c>
      <x:c r="Q548" t="str">
        <x:v>BICYCLE</x:v>
      </x:c>
      <x:c r="R548" t="str">
        <x:v>FLEXIBLE</x:v>
      </x:c>
      <x:c r="S548" t="n">
        <x:v>21</x:v>
      </x:c>
      <x:c r="T548" t="str">
        <x:v>CLEARED</x:v>
      </x:c>
      <x:c r="U548" t="str">
        <x:v>NOT_REQUIRED</x:v>
      </x:c>
      <x:c r="V548" s="16" t="n">
        <x:v>0.8556</x:v>
      </x:c>
      <x:c r="W548" t="str">
        <x:v>Spanish</x:v>
      </x:c>
      <x:c r="X548" t="str">
        <x:v>English</x:v>
      </x:c>
      <x:c r="Y548" t="n">
        <x:v>374</x:v>
      </x:c>
      <x:c r="Z548" s="17" t="n">
        <x:v>4.57</x:v>
      </x:c>
      <x:c r="AA548" s="16" t="n">
        <x:v>0.9206</x:v>
      </x:c>
      <x:c r="AB548" s="16" t="n">
        <x:v>0.9792</x:v>
      </x:c>
      <x:c r="AC548" s="16" t="n">
        <x:v>0.8643</x:v>
      </x:c>
      <x:c r="AD548" t="n">
        <x:v>0</x:v>
      </x:c>
      <x:c r="AE548" t="str">
        <x:f>IF(O548&lt;&gt;"ACTIVE","NOT_RATED",IF(AND(Z548&gt;=4.8,AB548&gt;=0.97,AC548&gt;=0.93,AD548=0),"ELITE",IF(AND(Z548&gt;=4.6,AB548&gt;=0.94,AC548&gt;=0.88),"HIGH_PERFORMER",IF(OR(Z548&lt;4.2,AB548&lt;0.85,AD548&gt;=2),"AT_RISK","STANDARD"))))</x:f>
        <x:v>STANDARD</x:v>
      </x:c>
      <x:c r="AF548" s="15" t="n">
        <x:v>46016</x:v>
      </x:c>
      <x:c r="AG548" t="str">
        <x:v>VERIFIED</x:v>
      </x:c>
      <x:c r="AH548" t="str">
        <x:v>COMPLETE</x:v>
      </x:c>
      <x:c r="AI548" t="str">
        <x:v>Chris Lee</x:v>
      </x:c>
      <x:c r="AJ548" t="str">
        <x:v>PARENT</x:v>
      </x:c>
      <x:c r="AK548" t="str">
        <x:v>+1 (503) 555-0145</x:v>
      </x:c>
    </x:row>
    <x:row r="549" ht="18" customHeight="1">
      <x:c r="A549" t="str">
        <x:v>DHR-00548</x:v>
      </x:c>
      <x:c r="B549" t="str">
        <x:v>Riley Young</x:v>
      </x:c>
      <x:c r="C549" t="str">
        <x:v>https://api.dicebear.com/9.x/adventurer/png?seed=DHR-00548-Riley%20Young&amp;size=256&amp;radius=50&amp;backgroundColor=b6e3f4,c0aede,d1d4f9,ffd5dc,ffdfbf</x:v>
      </x:c>
      <x:c r="D549" t="str">
        <x:v>riley.young.548@example.com</x:v>
      </x:c>
      <x:c r="E549" t="str">
        <x:v>+1 (206) 555-0147</x:v>
      </x:c>
      <x:c r="F549" t="str">
        <x:v>Seattle, WA</x:v>
      </x:c>
      <x:c r="G549" t="str">
        <x:v>Seattle</x:v>
      </x:c>
      <x:c r="H549" t="str">
        <x:v>WA</x:v>
      </x:c>
      <x:c r="I549" s="18" t="str">
        <x:v>98101</x:v>
      </x:c>
      <x:c r="J549" s="15" t="n">
        <x:v>28834.767214201387</x:v>
      </x:c>
      <x:c r="K549" t="n">
        <x:f>INT((DATE(2025,12,31)-J549)/365.25)</x:f>
        <x:v>47</x:v>
      </x:c>
      <x:c r="L549" t="str">
        <x:f>IF(K549&lt;25,"18-24",IF(K549&lt;35,"25-34",IF(K549&lt;45,"35-44",IF(K549&lt;55,"45-54","55+"))))</x:f>
        <x:v>45-54</x:v>
      </x:c>
      <x:c r="M549" s="15" t="n">
        <x:v>45722.703344849535</x:v>
      </x:c>
      <x:c r="N549" t="n">
        <x:f>(YEAR(DATE(2025,12,31))-YEAR(M549))*12+MONTH(DATE(2025,12,31))-MONTH(M549)</x:f>
        <x:v>9</x:v>
      </x:c>
      <x:c r="O549" t="str">
        <x:v>ACTIVE</x:v>
      </x:c>
      <x:c r="P549" t="str">
        <x:v>INDEPENDENT_CONTRACTOR</x:v>
      </x:c>
      <x:c r="Q549" t="str">
        <x:v>CAR</x:v>
      </x:c>
      <x:c r="R549" t="str">
        <x:v>LUNCH</x:v>
      </x:c>
      <x:c r="S549" t="n">
        <x:v>16</x:v>
      </x:c>
      <x:c r="T549" t="str">
        <x:v>CLEARED</x:v>
      </x:c>
      <x:c r="U549" t="str">
        <x:v>VALID</x:v>
      </x:c>
      <x:c r="V549" s="16" t="n">
        <x:v>0.9286</x:v>
      </x:c>
      <x:c r="W549" t="str">
        <x:v>English</x:v>
      </x:c>
      <x:c r="X549"/>
      <x:c r="Y549" t="n">
        <x:v>400</x:v>
      </x:c>
      <x:c r="Z549" s="17" t="n">
        <x:v>4.44</x:v>
      </x:c>
      <x:c r="AA549" s="16" t="n">
        <x:v>0.8483</x:v>
      </x:c>
      <x:c r="AB549" s="16" t="n">
        <x:v>0.9284</x:v>
      </x:c>
      <x:c r="AC549" s="16" t="n">
        <x:v>0.9234</x:v>
      </x:c>
      <x:c r="AD549" t="n">
        <x:v>0</x:v>
      </x:c>
      <x:c r="AE549" t="str">
        <x:f>IF(O549&lt;&gt;"ACTIVE","NOT_RATED",IF(AND(Z549&gt;=4.8,AB549&gt;=0.97,AC549&gt;=0.93,AD549=0),"ELITE",IF(AND(Z549&gt;=4.6,AB549&gt;=0.94,AC549&gt;=0.88),"HIGH_PERFORMER",IF(OR(Z549&lt;4.2,AB549&lt;0.85,AD549&gt;=2),"AT_RISK","STANDARD"))))</x:f>
        <x:v>STANDARD</x:v>
      </x:c>
      <x:c r="AF549" s="15" t="n">
        <x:v>46018</x:v>
      </x:c>
      <x:c r="AG549" t="str">
        <x:v>VERIFIED</x:v>
      </x:c>
      <x:c r="AH549" t="str">
        <x:v>COMPLETE</x:v>
      </x:c>
      <x:c r="AI549" t="str">
        <x:v>Liam Davis</x:v>
      </x:c>
      <x:c r="AJ549" t="str">
        <x:v>SPOUSE_PARTNER</x:v>
      </x:c>
      <x:c r="AK549" t="str">
        <x:v>+1 (206) 555-0152</x:v>
      </x:c>
    </x:row>
    <x:row r="550" ht="18" customHeight="1">
      <x:c r="A550" t="str">
        <x:v>DHR-00549</x:v>
      </x:c>
      <x:c r="B550" t="str">
        <x:v>Robin Brown</x:v>
      </x:c>
      <x:c r="C550" t="str">
        <x:v>https://api.dicebear.com/9.x/adventurer/png?seed=DHR-00549-Robin%20Brown&amp;size=256&amp;radius=50&amp;backgroundColor=b6e3f4,c0aede,d1d4f9,ffd5dc,ffdfbf</x:v>
      </x:c>
      <x:c r="D550" t="str">
        <x:v>robin.brown.549@example.com</x:v>
      </x:c>
      <x:c r="E550" t="str">
        <x:v>+1 (713) 555-0148</x:v>
      </x:c>
      <x:c r="F550" t="str">
        <x:v>Houston, TX</x:v>
      </x:c>
      <x:c r="G550" t="str">
        <x:v>Houston</x:v>
      </x:c>
      <x:c r="H550" t="str">
        <x:v>TX</x:v>
      </x:c>
      <x:c r="I550" s="18" t="str">
        <x:v>77002</x:v>
      </x:c>
      <x:c r="J550" s="15" t="n">
        <x:v>26159.622138171297</x:v>
      </x:c>
      <x:c r="K550" t="n">
        <x:f>INT((DATE(2025,12,31)-J550)/365.25)</x:f>
        <x:v>54</x:v>
      </x:c>
      <x:c r="L550" t="str">
        <x:f>IF(K550&lt;25,"18-24",IF(K550&lt;35,"25-34",IF(K550&lt;45,"35-44",IF(K550&lt;55,"45-54","55+"))))</x:f>
        <x:v>45-54</x:v>
      </x:c>
      <x:c r="M550" s="15" t="n">
        <x:v>44698.52794828704</x:v>
      </x:c>
      <x:c r="N550" t="n">
        <x:f>(YEAR(DATE(2025,12,31))-YEAR(M550))*12+MONTH(DATE(2025,12,31))-MONTH(M550)</x:f>
        <x:v>43</x:v>
      </x:c>
      <x:c r="O550" t="str">
        <x:v>ACTIVE</x:v>
      </x:c>
      <x:c r="P550" t="str">
        <x:v>INDEPENDENT_CONTRACTOR</x:v>
      </x:c>
      <x:c r="Q550" t="str">
        <x:v>BICYCLE</x:v>
      </x:c>
      <x:c r="R550" t="str">
        <x:v>WEEKENDS</x:v>
      </x:c>
      <x:c r="S550" t="n">
        <x:v>13</x:v>
      </x:c>
      <x:c r="T550" t="str">
        <x:v>REVIEW_REQUIRED</x:v>
      </x:c>
      <x:c r="U550" t="str">
        <x:v>NOT_REQUIRED</x:v>
      </x:c>
      <x:c r="V550" s="16" t="n">
        <x:v>0.8994</x:v>
      </x:c>
      <x:c r="W550" t="str">
        <x:v>English</x:v>
      </x:c>
      <x:c r="X550" t="str">
        <x:v>Mandarin</x:v>
      </x:c>
      <x:c r="Y550" t="n">
        <x:v>1353</x:v>
      </x:c>
      <x:c r="Z550" s="17" t="n">
        <x:v>4.9</x:v>
      </x:c>
      <x:c r="AA550" s="16" t="n">
        <x:v>0.7447</x:v>
      </x:c>
      <x:c r="AB550" s="16" t="n">
        <x:v>0.9564</x:v>
      </x:c>
      <x:c r="AC550" s="16" t="n">
        <x:v>0.8169</x:v>
      </x:c>
      <x:c r="AD550" t="n">
        <x:v>0</x:v>
      </x:c>
      <x:c r="AE550" t="str">
        <x:f>IF(O550&lt;&gt;"ACTIVE","NOT_RATED",IF(AND(Z550&gt;=4.8,AB550&gt;=0.97,AC550&gt;=0.93,AD550=0),"ELITE",IF(AND(Z550&gt;=4.6,AB550&gt;=0.94,AC550&gt;=0.88),"HIGH_PERFORMER",IF(OR(Z550&lt;4.2,AB550&lt;0.85,AD550&gt;=2),"AT_RISK","STANDARD"))))</x:f>
        <x:v>STANDARD</x:v>
      </x:c>
      <x:c r="AF550" s="15" t="n">
        <x:v>46016</x:v>
      </x:c>
      <x:c r="AG550" t="str">
        <x:v>ON_HOLD</x:v>
      </x:c>
      <x:c r="AH550" t="str">
        <x:v>COMPLETE</x:v>
      </x:c>
      <x:c r="AI550" t="str">
        <x:v>Noah Rodriguez</x:v>
      </x:c>
      <x:c r="AJ550" t="str">
        <x:v>SPOUSE_PARTNER</x:v>
      </x:c>
      <x:c r="AK550" t="str">
        <x:v>+1 (713) 555-0159</x:v>
      </x:c>
    </x:row>
    <x:row r="551" ht="18" customHeight="1">
      <x:c r="A551" t="str">
        <x:v>DHR-00550</x:v>
      </x:c>
      <x:c r="B551" t="str">
        <x:v>Robin Clark</x:v>
      </x:c>
      <x:c r="C551" t="str">
        <x:v>https://api.dicebear.com/9.x/adventurer/png?seed=DHR-00550-Robin%20Clark&amp;size=256&amp;radius=50&amp;backgroundColor=b6e3f4,c0aede,d1d4f9,ffd5dc,ffdfbf</x:v>
      </x:c>
      <x:c r="D551" t="str">
        <x:v>robin.clark.550@example.com</x:v>
      </x:c>
      <x:c r="E551" t="str">
        <x:v>+1 (702) 555-0149</x:v>
      </x:c>
      <x:c r="F551" t="str">
        <x:v>Las Vegas, NV</x:v>
      </x:c>
      <x:c r="G551" t="str">
        <x:v>Las Vegas</x:v>
      </x:c>
      <x:c r="H551" t="str">
        <x:v>NV</x:v>
      </x:c>
      <x:c r="I551" s="18" t="str">
        <x:v>89101</x:v>
      </x:c>
      <x:c r="J551" s="15" t="n">
        <x:v>29792.433166180555</x:v>
      </x:c>
      <x:c r="K551" t="n">
        <x:f>INT((DATE(2025,12,31)-J551)/365.25)</x:f>
        <x:v>44</x:v>
      </x:c>
      <x:c r="L551" t="str">
        <x:f>IF(K551&lt;25,"18-24",IF(K551&lt;35,"25-34",IF(K551&lt;45,"35-44",IF(K551&lt;55,"45-54","55+"))))</x:f>
        <x:v>35-44</x:v>
      </x:c>
      <x:c r="M551" s="15" t="n">
        <x:v>43787.40787369213</x:v>
      </x:c>
      <x:c r="N551" t="n">
        <x:f>(YEAR(DATE(2025,12,31))-YEAR(M551))*12+MONTH(DATE(2025,12,31))-MONTH(M551)</x:f>
        <x:v>73</x:v>
      </x:c>
      <x:c r="O551" t="str">
        <x:v>PAUSED</x:v>
      </x:c>
      <x:c r="P551" t="str">
        <x:v>INDEPENDENT_CONTRACTOR</x:v>
      </x:c>
      <x:c r="Q551" t="str">
        <x:v>CAR</x:v>
      </x:c>
      <x:c r="R551" t="str">
        <x:v>WEEKENDS</x:v>
      </x:c>
      <x:c r="S551" t="n">
        <x:v>18</x:v>
      </x:c>
      <x:c r="T551" t="str">
        <x:v>CLEARED</x:v>
      </x:c>
      <x:c r="U551" t="str">
        <x:v>VALID</x:v>
      </x:c>
      <x:c r="V551" s="16" t="n">
        <x:v>0.9231</x:v>
      </x:c>
      <x:c r="W551" t="str">
        <x:v>English</x:v>
      </x:c>
      <x:c r="X551"/>
      <x:c r="Y551" t="n">
        <x:v>3366</x:v>
      </x:c>
      <x:c r="Z551" s="17" t="n">
        <x:v>4.98</x:v>
      </x:c>
      <x:c r="AA551" s="16" t="n">
        <x:v>0.8251</x:v>
      </x:c>
      <x:c r="AB551" s="16" t="n">
        <x:v>0.9683</x:v>
      </x:c>
      <x:c r="AC551" s="16" t="n">
        <x:v>0.9633</x:v>
      </x:c>
      <x:c r="AD551" t="n">
        <x:v>0</x:v>
      </x:c>
      <x:c r="AE551" t="str">
        <x:f>IF(O551&lt;&gt;"ACTIVE","NOT_RATED",IF(AND(Z551&gt;=4.8,AB551&gt;=0.97,AC551&gt;=0.93,AD551=0),"ELITE",IF(AND(Z551&gt;=4.6,AB551&gt;=0.94,AC551&gt;=0.88),"HIGH_PERFORMER",IF(OR(Z551&lt;4.2,AB551&lt;0.85,AD551&gt;=2),"AT_RISK","STANDARD"))))</x:f>
        <x:v>NOT_RATED</x:v>
      </x:c>
      <x:c r="AF551" s="15" t="n">
        <x:v>45987</x:v>
      </x:c>
      <x:c r="AG551" t="str">
        <x:v>VERIFIED</x:v>
      </x:c>
      <x:c r="AH551" t="str">
        <x:v>COMPLETE</x:v>
      </x:c>
      <x:c r="AI551" t="str">
        <x:v>Ava Miller</x:v>
      </x:c>
      <x:c r="AJ551" t="str">
        <x:v>FRIEND</x:v>
      </x:c>
      <x:c r="AK551" t="str">
        <x:v>+1 (702) 555-0166</x:v>
      </x:c>
    </x:row>
    <x:row r="552" ht="18" customHeight="1">
      <x:c r="A552" t="str">
        <x:v>DHR-00551</x:v>
      </x:c>
      <x:c r="B552" t="str">
        <x:v>Robin Davis</x:v>
      </x:c>
      <x:c r="C552" t="str">
        <x:v>https://api.dicebear.com/9.x/adventurer/png?seed=DHR-00551-Robin%20Davis&amp;size=256&amp;radius=50&amp;backgroundColor=b6e3f4,c0aede,d1d4f9,ffd5dc,ffdfbf</x:v>
      </x:c>
      <x:c r="D552" t="str">
        <x:v>robin.davis.551@example.com</x:v>
      </x:c>
      <x:c r="E552" t="str">
        <x:v>+1 (619) 555-0150</x:v>
      </x:c>
      <x:c r="F552" t="str">
        <x:v>San Diego, CA</x:v>
      </x:c>
      <x:c r="G552" t="str">
        <x:v>San Diego</x:v>
      </x:c>
      <x:c r="H552" t="str">
        <x:v>CA</x:v>
      </x:c>
      <x:c r="I552" s="18" t="str">
        <x:v>92101</x:v>
      </x:c>
      <x:c r="J552" s="15" t="n">
        <x:v>35615.945517037035</x:v>
      </x:c>
      <x:c r="K552" t="n">
        <x:f>INT((DATE(2025,12,31)-J552)/365.25)</x:f>
        <x:v>28</x:v>
      </x:c>
      <x:c r="L552" t="str">
        <x:f>IF(K552&lt;25,"18-24",IF(K552&lt;35,"25-34",IF(K552&lt;45,"35-44",IF(K552&lt;55,"45-54","55+"))))</x:f>
        <x:v>25-34</x:v>
      </x:c>
      <x:c r="M552" s="15" t="n">
        <x:v>44299.39964534722</x:v>
      </x:c>
      <x:c r="N552" t="n">
        <x:f>(YEAR(DATE(2025,12,31))-YEAR(M552))*12+MONTH(DATE(2025,12,31))-MONTH(M552)</x:f>
        <x:v>56</x:v>
      </x:c>
      <x:c r="O552" t="str">
        <x:v>ACTIVE</x:v>
      </x:c>
      <x:c r="P552" t="str">
        <x:v>INDEPENDENT_CONTRACTOR</x:v>
      </x:c>
      <x:c r="Q552" t="str">
        <x:v>SCOOTER</x:v>
      </x:c>
      <x:c r="R552" t="str">
        <x:v>LUNCH</x:v>
      </x:c>
      <x:c r="S552" t="n">
        <x:v>26</x:v>
      </x:c>
      <x:c r="T552" t="str">
        <x:v>CLEARED</x:v>
      </x:c>
      <x:c r="U552" t="str">
        <x:v>VALID</x:v>
      </x:c>
      <x:c r="V552" s="16" t="n">
        <x:v>0.8144</x:v>
      </x:c>
      <x:c r="W552" t="str">
        <x:v>Spanish</x:v>
      </x:c>
      <x:c r="X552"/>
      <x:c r="Y552" t="n">
        <x:v>2583</x:v>
      </x:c>
      <x:c r="Z552" s="17" t="n">
        <x:v>4.35</x:v>
      </x:c>
      <x:c r="AA552" s="16" t="n">
        <x:v>0.9656</x:v>
      </x:c>
      <x:c r="AB552" s="16" t="n">
        <x:v>0.9889</x:v>
      </x:c>
      <x:c r="AC552" s="16" t="n">
        <x:v>0.8577</x:v>
      </x:c>
      <x:c r="AD552" t="n">
        <x:v>0</x:v>
      </x:c>
      <x:c r="AE552" t="str">
        <x:f>IF(O552&lt;&gt;"ACTIVE","NOT_RATED",IF(AND(Z552&gt;=4.8,AB552&gt;=0.97,AC552&gt;=0.93,AD552=0),"ELITE",IF(AND(Z552&gt;=4.6,AB552&gt;=0.94,AC552&gt;=0.88),"HIGH_PERFORMER",IF(OR(Z552&lt;4.2,AB552&lt;0.85,AD552&gt;=2),"AT_RISK","STANDARD"))))</x:f>
        <x:v>STANDARD</x:v>
      </x:c>
      <x:c r="AF552" s="15" t="n">
        <x:v>46021</x:v>
      </x:c>
      <x:c r="AG552" t="str">
        <x:v>VERIFIED</x:v>
      </x:c>
      <x:c r="AH552" t="str">
        <x:v>COMPLETE</x:v>
      </x:c>
      <x:c r="AI552" t="str">
        <x:v>Olivia Thomas</x:v>
      </x:c>
      <x:c r="AJ552" t="str">
        <x:v>SPOUSE_PARTNER</x:v>
      </x:c>
      <x:c r="AK552" t="str">
        <x:v>+1 (619) 555-0173</x:v>
      </x:c>
    </x:row>
    <x:row r="553" ht="18" customHeight="1">
      <x:c r="A553" t="str">
        <x:v>DHR-00552</x:v>
      </x:c>
      <x:c r="B553" t="str">
        <x:v>Robin Garcia</x:v>
      </x:c>
      <x:c r="C553" t="str">
        <x:v>https://api.dicebear.com/9.x/adventurer/png?seed=DHR-00552-Robin%20Garcia&amp;size=256&amp;radius=50&amp;backgroundColor=b6e3f4,c0aede,d1d4f9,ffd5dc,ffdfbf</x:v>
      </x:c>
      <x:c r="D553" t="str">
        <x:v>robin.garcia.552@example.com</x:v>
      </x:c>
      <x:c r="E553" t="str">
        <x:v>+1 (404) 555-0151</x:v>
      </x:c>
      <x:c r="F553" t="str">
        <x:v>Atlanta, GA</x:v>
      </x:c>
      <x:c r="G553" t="str">
        <x:v>Atlanta</x:v>
      </x:c>
      <x:c r="H553" t="str">
        <x:v>GA</x:v>
      </x:c>
      <x:c r="I553" s="18" t="str">
        <x:v>30303</x:v>
      </x:c>
      <x:c r="J553" s="15" t="n">
        <x:v>37753.90752901621</x:v>
      </x:c>
      <x:c r="K553" t="n">
        <x:f>INT((DATE(2025,12,31)-J553)/365.25)</x:f>
        <x:v>22</x:v>
      </x:c>
      <x:c r="L553" t="str">
        <x:f>IF(K553&lt;25,"18-24",IF(K553&lt;35,"25-34",IF(K553&lt;45,"35-44",IF(K553&lt;55,"45-54","55+"))))</x:f>
        <x:v>18-24</x:v>
      </x:c>
      <x:c r="M553" s="15" t="n">
        <x:v>45435.49877849537</x:v>
      </x:c>
      <x:c r="N553" t="n">
        <x:f>(YEAR(DATE(2025,12,31))-YEAR(M553))*12+MONTH(DATE(2025,12,31))-MONTH(M553)</x:f>
        <x:v>19</x:v>
      </x:c>
      <x:c r="O553" t="str">
        <x:v>ACTIVE</x:v>
      </x:c>
      <x:c r="P553" t="str">
        <x:v>INDEPENDENT_CONTRACTOR</x:v>
      </x:c>
      <x:c r="Q553" t="str">
        <x:v>E_BIKE</x:v>
      </x:c>
      <x:c r="R553" t="str">
        <x:v>WEEKENDS</x:v>
      </x:c>
      <x:c r="S553" t="n">
        <x:v>41</x:v>
      </x:c>
      <x:c r="T553" t="str">
        <x:v>CLEARED</x:v>
      </x:c>
      <x:c r="U553" t="str">
        <x:v>NOT_REQUIRED</x:v>
      </x:c>
      <x:c r="V553" s="16" t="n">
        <x:v>0.9966</x:v>
      </x:c>
      <x:c r="W553" t="str">
        <x:v>English</x:v>
      </x:c>
      <x:c r="X553"/>
      <x:c r="Y553" t="n">
        <x:v>2613</x:v>
      </x:c>
      <x:c r="Z553" s="17" t="n">
        <x:v>4.18</x:v>
      </x:c>
      <x:c r="AA553" s="16" t="n">
        <x:v>0.7946</x:v>
      </x:c>
      <x:c r="AB553" s="16" t="n">
        <x:v>0.9792</x:v>
      </x:c>
      <x:c r="AC553" s="16" t="n">
        <x:v>0.834</x:v>
      </x:c>
      <x:c r="AD553" t="n">
        <x:v>1</x:v>
      </x:c>
      <x:c r="AE553" t="str">
        <x:f>IF(O553&lt;&gt;"ACTIVE","NOT_RATED",IF(AND(Z553&gt;=4.8,AB553&gt;=0.97,AC553&gt;=0.93,AD553=0),"ELITE",IF(AND(Z553&gt;=4.6,AB553&gt;=0.94,AC553&gt;=0.88),"HIGH_PERFORMER",IF(OR(Z553&lt;4.2,AB553&lt;0.85,AD553&gt;=2),"AT_RISK","STANDARD"))))</x:f>
        <x:v>AT_RISK</x:v>
      </x:c>
      <x:c r="AF553" s="15" t="n">
        <x:v>46008</x:v>
      </x:c>
      <x:c r="AG553" t="str">
        <x:v>VERIFIED</x:v>
      </x:c>
      <x:c r="AH553" t="str">
        <x:v>COMPLETE</x:v>
      </x:c>
      <x:c r="AI553" t="str">
        <x:v>Chris Anderson</x:v>
      </x:c>
      <x:c r="AJ553" t="str">
        <x:v>SPOUSE_PARTNER</x:v>
      </x:c>
      <x:c r="AK553" t="str">
        <x:v>+1 (404) 555-0180</x:v>
      </x:c>
    </x:row>
    <x:row r="554" ht="18" customHeight="1">
      <x:c r="A554" t="str">
        <x:v>DHR-00553</x:v>
      </x:c>
      <x:c r="B554" t="str">
        <x:v>Robin Jackson</x:v>
      </x:c>
      <x:c r="C554" t="str">
        <x:v>https://api.dicebear.com/9.x/adventurer/png?seed=DHR-00553-Robin%20Jackson&amp;size=256&amp;radius=50&amp;backgroundColor=b6e3f4,c0aede,d1d4f9,ffd5dc,ffdfbf</x:v>
      </x:c>
      <x:c r="D554" t="str">
        <x:v>robin.jackson.553@example.com</x:v>
      </x:c>
      <x:c r="E554" t="str">
        <x:v>+1 (305) 555-0152</x:v>
      </x:c>
      <x:c r="F554" t="str">
        <x:v>Miami, FL</x:v>
      </x:c>
      <x:c r="G554" t="str">
        <x:v>Miami</x:v>
      </x:c>
      <x:c r="H554" t="str">
        <x:v>FL</x:v>
      </x:c>
      <x:c r="I554" s="18" t="str">
        <x:v>33130</x:v>
      </x:c>
      <x:c r="J554" s="15" t="n">
        <x:v>36451.67890585648</x:v>
      </x:c>
      <x:c r="K554" t="n">
        <x:f>INT((DATE(2025,12,31)-J554)/365.25)</x:f>
        <x:v>26</x:v>
      </x:c>
      <x:c r="L554" t="str">
        <x:f>IF(K554&lt;25,"18-24",IF(K554&lt;35,"25-34",IF(K554&lt;45,"35-44",IF(K554&lt;55,"45-54","55+"))))</x:f>
        <x:v>25-34</x:v>
      </x:c>
      <x:c r="M554" s="15" t="n">
        <x:v>43729.170506319446</x:v>
      </x:c>
      <x:c r="N554" t="n">
        <x:f>(YEAR(DATE(2025,12,31))-YEAR(M554))*12+MONTH(DATE(2025,12,31))-MONTH(M554)</x:f>
        <x:v>75</x:v>
      </x:c>
      <x:c r="O554" t="str">
        <x:v>ACTIVE</x:v>
      </x:c>
      <x:c r="P554" t="str">
        <x:v>INDEPENDENT_CONTRACTOR</x:v>
      </x:c>
      <x:c r="Q554" t="str">
        <x:v>CAR</x:v>
      </x:c>
      <x:c r="R554" t="str">
        <x:v>LUNCH</x:v>
      </x:c>
      <x:c r="S554" t="n">
        <x:v>26</x:v>
      </x:c>
      <x:c r="T554" t="str">
        <x:v>CLEARED</x:v>
      </x:c>
      <x:c r="U554" t="str">
        <x:v>VALID</x:v>
      </x:c>
      <x:c r="V554" s="16" t="n">
        <x:v>0.9761</x:v>
      </x:c>
      <x:c r="W554" t="str">
        <x:v>English</x:v>
      </x:c>
      <x:c r="X554"/>
      <x:c r="Y554" t="n">
        <x:v>3957</x:v>
      </x:c>
      <x:c r="Z554" s="17" t="n">
        <x:v>4.88</x:v>
      </x:c>
      <x:c r="AA554" s="16" t="n">
        <x:v>0.7713</x:v>
      </x:c>
      <x:c r="AB554" s="16" t="n">
        <x:v>0.9041</x:v>
      </x:c>
      <x:c r="AC554" s="16" t="n">
        <x:v>0.8365</x:v>
      </x:c>
      <x:c r="AD554" t="n">
        <x:v>0</x:v>
      </x:c>
      <x:c r="AE554" t="str">
        <x:f>IF(O554&lt;&gt;"ACTIVE","NOT_RATED",IF(AND(Z554&gt;=4.8,AB554&gt;=0.97,AC554&gt;=0.93,AD554=0),"ELITE",IF(AND(Z554&gt;=4.6,AB554&gt;=0.94,AC554&gt;=0.88),"HIGH_PERFORMER",IF(OR(Z554&lt;4.2,AB554&lt;0.85,AD554&gt;=2),"AT_RISK","STANDARD"))))</x:f>
        <x:v>STANDARD</x:v>
      </x:c>
      <x:c r="AF554" s="15" t="n">
        <x:v>46015</x:v>
      </x:c>
      <x:c r="AG554" t="str">
        <x:v>VERIFIED</x:v>
      </x:c>
      <x:c r="AH554" t="str">
        <x:v>COMPLETE</x:v>
      </x:c>
      <x:c r="AI554" t="str">
        <x:v>Jesse Martin</x:v>
      </x:c>
      <x:c r="AJ554" t="str">
        <x:v>SPOUSE_PARTNER</x:v>
      </x:c>
      <x:c r="AK554" t="str">
        <x:v>+1 (305) 555-0187</x:v>
      </x:c>
    </x:row>
    <x:row r="555" ht="18" customHeight="1">
      <x:c r="A555" t="str">
        <x:v>DHR-00554</x:v>
      </x:c>
      <x:c r="B555" t="str">
        <x:v>Robin Johnson</x:v>
      </x:c>
      <x:c r="C555" t="str">
        <x:v>https://api.dicebear.com/9.x/adventurer/png?seed=DHR-00554-Robin%20Johnson&amp;size=256&amp;radius=50&amp;backgroundColor=b6e3f4,c0aede,d1d4f9,ffd5dc,ffdfbf</x:v>
      </x:c>
      <x:c r="D555" t="str">
        <x:v>robin.johnson.554@example.com</x:v>
      </x:c>
      <x:c r="E555" t="str">
        <x:v>+1 (215) 555-0153</x:v>
      </x:c>
      <x:c r="F555" t="str">
        <x:v>Philadelphia, PA</x:v>
      </x:c>
      <x:c r="G555" t="str">
        <x:v>Philadelphia</x:v>
      </x:c>
      <x:c r="H555" t="str">
        <x:v>PA</x:v>
      </x:c>
      <x:c r="I555" s="18" t="str">
        <x:v>19103</x:v>
      </x:c>
      <x:c r="J555" s="15" t="n">
        <x:v>33833.43043020833</x:v>
      </x:c>
      <x:c r="K555" t="n">
        <x:f>INT((DATE(2025,12,31)-J555)/365.25)</x:f>
        <x:v>33</x:v>
      </x:c>
      <x:c r="L555" t="str">
        <x:f>IF(K555&lt;25,"18-24",IF(K555&lt;35,"25-34",IF(K555&lt;45,"35-44",IF(K555&lt;55,"45-54","55+"))))</x:f>
        <x:v>25-34</x:v>
      </x:c>
      <x:c r="M555" s="15" t="n">
        <x:v>43778.29035260417</x:v>
      </x:c>
      <x:c r="N555" t="n">
        <x:f>(YEAR(DATE(2025,12,31))-YEAR(M555))*12+MONTH(DATE(2025,12,31))-MONTH(M555)</x:f>
        <x:v>73</x:v>
      </x:c>
      <x:c r="O555" t="str">
        <x:v>ACTIVE</x:v>
      </x:c>
      <x:c r="P555" t="str">
        <x:v>INDEPENDENT_CONTRACTOR</x:v>
      </x:c>
      <x:c r="Q555" t="str">
        <x:v>BICYCLE</x:v>
      </x:c>
      <x:c r="R555" t="str">
        <x:v>FLEXIBLE</x:v>
      </x:c>
      <x:c r="S555" t="n">
        <x:v>21</x:v>
      </x:c>
      <x:c r="T555" t="str">
        <x:v>CLEARED</x:v>
      </x:c>
      <x:c r="U555" t="str">
        <x:v>NOT_REQUIRED</x:v>
      </x:c>
      <x:c r="V555" s="16" t="n">
        <x:v>0.9915</x:v>
      </x:c>
      <x:c r="W555" t="str">
        <x:v>English</x:v>
      </x:c>
      <x:c r="X555"/>
      <x:c r="Y555" t="n">
        <x:v>3537</x:v>
      </x:c>
      <x:c r="Z555" s="17" t="n">
        <x:v>4.84</x:v>
      </x:c>
      <x:c r="AA555" s="16" t="n">
        <x:v>0.8007</x:v>
      </x:c>
      <x:c r="AB555" s="16" t="n">
        <x:v>0.9096</x:v>
      </x:c>
      <x:c r="AC555" s="16" t="n">
        <x:v>0.8643</x:v>
      </x:c>
      <x:c r="AD555" t="n">
        <x:v>0</x:v>
      </x:c>
      <x:c r="AE555" t="str">
        <x:f>IF(O555&lt;&gt;"ACTIVE","NOT_RATED",IF(AND(Z555&gt;=4.8,AB555&gt;=0.97,AC555&gt;=0.93,AD555=0),"ELITE",IF(AND(Z555&gt;=4.6,AB555&gt;=0.94,AC555&gt;=0.88),"HIGH_PERFORMER",IF(OR(Z555&lt;4.2,AB555&lt;0.85,AD555&gt;=2),"AT_RISK","STANDARD"))))</x:f>
        <x:v>STANDARD</x:v>
      </x:c>
      <x:c r="AF555" s="15" t="n">
        <x:v>46010</x:v>
      </x:c>
      <x:c r="AG555" t="str">
        <x:v>VERIFIED</x:v>
      </x:c>
      <x:c r="AH555" t="str">
        <x:v>COMPLETE</x:v>
      </x:c>
      <x:c r="AI555" t="str">
        <x:v>Drew Wilson</x:v>
      </x:c>
      <x:c r="AJ555" t="str">
        <x:v>SIBLING</x:v>
      </x:c>
      <x:c r="AK555" t="str">
        <x:v>+1 (215) 555-0194</x:v>
      </x:c>
    </x:row>
    <x:row r="556" ht="18" customHeight="1">
      <x:c r="A556" t="str">
        <x:v>DHR-00555</x:v>
      </x:c>
      <x:c r="B556" t="str">
        <x:v>Robin Jones</x:v>
      </x:c>
      <x:c r="C556" t="str">
        <x:v>https://api.dicebear.com/9.x/adventurer/png?seed=DHR-00555-Robin%20Jones&amp;size=256&amp;radius=50&amp;backgroundColor=b6e3f4,c0aede,d1d4f9,ffd5dc,ffdfbf</x:v>
      </x:c>
      <x:c r="D556" t="str">
        <x:v>robin.jones.555@example.com</x:v>
      </x:c>
      <x:c r="E556" t="str">
        <x:v>+1 (404) 555-0154</x:v>
      </x:c>
      <x:c r="F556" t="str">
        <x:v>Atlanta, GA</x:v>
      </x:c>
      <x:c r="G556" t="str">
        <x:v>Atlanta</x:v>
      </x:c>
      <x:c r="H556" t="str">
        <x:v>GA</x:v>
      </x:c>
      <x:c r="I556" s="18" t="str">
        <x:v>30303</x:v>
      </x:c>
      <x:c r="J556" s="15" t="n">
        <x:v>31413.61807679398</x:v>
      </x:c>
      <x:c r="K556" t="n">
        <x:f>INT((DATE(2025,12,31)-J556)/365.25)</x:f>
        <x:v>39</x:v>
      </x:c>
      <x:c r="L556" t="str">
        <x:f>IF(K556&lt;25,"18-24",IF(K556&lt;35,"25-34",IF(K556&lt;45,"35-44",IF(K556&lt;55,"45-54","55+"))))</x:f>
        <x:v>35-44</x:v>
      </x:c>
      <x:c r="M556" s="15" t="n">
        <x:v>45642.04435290509</x:v>
      </x:c>
      <x:c r="N556" t="n">
        <x:f>(YEAR(DATE(2025,12,31))-YEAR(M556))*12+MONTH(DATE(2025,12,31))-MONTH(M556)</x:f>
        <x:v>12</x:v>
      </x:c>
      <x:c r="O556" t="str">
        <x:v>ACTIVE</x:v>
      </x:c>
      <x:c r="P556" t="str">
        <x:v>INDEPENDENT_CONTRACTOR</x:v>
      </x:c>
      <x:c r="Q556" t="str">
        <x:v>BICYCLE</x:v>
      </x:c>
      <x:c r="R556" t="str">
        <x:v>WEEKENDS</x:v>
      </x:c>
      <x:c r="S556" t="n">
        <x:v>44</x:v>
      </x:c>
      <x:c r="T556" t="str">
        <x:v>CLEARED</x:v>
      </x:c>
      <x:c r="U556" t="str">
        <x:v>NOT_REQUIRED</x:v>
      </x:c>
      <x:c r="V556" s="16" t="n">
        <x:v>0.8302</x:v>
      </x:c>
      <x:c r="W556" t="str">
        <x:v>Spanish</x:v>
      </x:c>
      <x:c r="X556" t="str">
        <x:v>English</x:v>
      </x:c>
      <x:c r="Y556" t="n">
        <x:v>1456</x:v>
      </x:c>
      <x:c r="Z556" s="17" t="n">
        <x:v>4.88</x:v>
      </x:c>
      <x:c r="AA556" s="16" t="n">
        <x:v>0.9235</x:v>
      </x:c>
      <x:c r="AB556" s="16" t="n">
        <x:v>0.9871</x:v>
      </x:c>
      <x:c r="AC556" s="16" t="n">
        <x:v>0.8385</x:v>
      </x:c>
      <x:c r="AD556" t="n">
        <x:v>0</x:v>
      </x:c>
      <x:c r="AE556" t="str">
        <x:f>IF(O556&lt;&gt;"ACTIVE","NOT_RATED",IF(AND(Z556&gt;=4.8,AB556&gt;=0.97,AC556&gt;=0.93,AD556=0),"ELITE",IF(AND(Z556&gt;=4.6,AB556&gt;=0.94,AC556&gt;=0.88),"HIGH_PERFORMER",IF(OR(Z556&lt;4.2,AB556&lt;0.85,AD556&gt;=2),"AT_RISK","STANDARD"))))</x:f>
        <x:v>STANDARD</x:v>
      </x:c>
      <x:c r="AF556" s="15" t="n">
        <x:v>46012</x:v>
      </x:c>
      <x:c r="AG556" t="str">
        <x:v>VERIFIED</x:v>
      </x:c>
      <x:c r="AH556" t="str">
        <x:v>COMPLETE</x:v>
      </x:c>
      <x:c r="AI556" t="str">
        <x:v>Lucas Jones</x:v>
      </x:c>
      <x:c r="AJ556" t="str">
        <x:v>PARENT</x:v>
      </x:c>
      <x:c r="AK556" t="str">
        <x:v>+1 (404) 555-0101</x:v>
      </x:c>
    </x:row>
    <x:row r="557" ht="18" customHeight="1">
      <x:c r="A557" t="str">
        <x:v>DHR-00556</x:v>
      </x:c>
      <x:c r="B557" t="str">
        <x:v>Robin Lee</x:v>
      </x:c>
      <x:c r="C557" t="str">
        <x:v>https://api.dicebear.com/9.x/adventurer/png?seed=DHR-00556-Robin%20Lee&amp;size=256&amp;radius=50&amp;backgroundColor=b6e3f4,c0aede,d1d4f9,ffd5dc,ffdfbf</x:v>
      </x:c>
      <x:c r="D557" t="str">
        <x:v>robin.lee.556@example.com</x:v>
      </x:c>
      <x:c r="E557" t="str">
        <x:v>+1 (617) 555-0155</x:v>
      </x:c>
      <x:c r="F557" t="str">
        <x:v>Boston, MA</x:v>
      </x:c>
      <x:c r="G557" t="str">
        <x:v>Boston</x:v>
      </x:c>
      <x:c r="H557" t="str">
        <x:v>MA</x:v>
      </x:c>
      <x:c r="I557" s="18" t="str">
        <x:v>02108</x:v>
      </x:c>
      <x:c r="J557" s="15" t="n">
        <x:v>25108.08781490741</x:v>
      </x:c>
      <x:c r="K557" t="n">
        <x:f>INT((DATE(2025,12,31)-J557)/365.25)</x:f>
        <x:v>57</x:v>
      </x:c>
      <x:c r="L557" t="str">
        <x:f>IF(K557&lt;25,"18-24",IF(K557&lt;35,"25-34",IF(K557&lt;45,"35-44",IF(K557&lt;55,"45-54","55+"))))</x:f>
        <x:v>55+</x:v>
      </x:c>
      <x:c r="M557" s="15" t="n">
        <x:v>44741.25669695602</x:v>
      </x:c>
      <x:c r="N557" t="n">
        <x:f>(YEAR(DATE(2025,12,31))-YEAR(M557))*12+MONTH(DATE(2025,12,31))-MONTH(M557)</x:f>
        <x:v>42</x:v>
      </x:c>
      <x:c r="O557" t="str">
        <x:v>PAUSED</x:v>
      </x:c>
      <x:c r="P557" t="str">
        <x:v>INDEPENDENT_CONTRACTOR</x:v>
      </x:c>
      <x:c r="Q557" t="str">
        <x:v>CAR</x:v>
      </x:c>
      <x:c r="R557" t="str">
        <x:v>DINNER</x:v>
      </x:c>
      <x:c r="S557" t="n">
        <x:v>22</x:v>
      </x:c>
      <x:c r="T557" t="str">
        <x:v>CLEARED</x:v>
      </x:c>
      <x:c r="U557" t="str">
        <x:v>VALID</x:v>
      </x:c>
      <x:c r="V557" s="16" t="n">
        <x:v>0.7952</x:v>
      </x:c>
      <x:c r="W557" t="str">
        <x:v>English</x:v>
      </x:c>
      <x:c r="X557"/>
      <x:c r="Y557" t="n">
        <x:v>2579</x:v>
      </x:c>
      <x:c r="Z557" s="17" t="n">
        <x:v>4.56</x:v>
      </x:c>
      <x:c r="AA557" s="16" t="n">
        <x:v>0.7535</x:v>
      </x:c>
      <x:c r="AB557" s="16" t="n">
        <x:v>0.9616</x:v>
      </x:c>
      <x:c r="AC557" s="16" t="n">
        <x:v>0.9038</x:v>
      </x:c>
      <x:c r="AD557" t="n">
        <x:v>0</x:v>
      </x:c>
      <x:c r="AE557" t="str">
        <x:f>IF(O557&lt;&gt;"ACTIVE","NOT_RATED",IF(AND(Z557&gt;=4.8,AB557&gt;=0.97,AC557&gt;=0.93,AD557=0),"ELITE",IF(AND(Z557&gt;=4.6,AB557&gt;=0.94,AC557&gt;=0.88),"HIGH_PERFORMER",IF(OR(Z557&lt;4.2,AB557&lt;0.85,AD557&gt;=2),"AT_RISK","STANDARD"))))</x:f>
        <x:v>NOT_RATED</x:v>
      </x:c>
      <x:c r="AF557" s="15" t="n">
        <x:v>45973</x:v>
      </x:c>
      <x:c r="AG557" t="str">
        <x:v>VERIFIED</x:v>
      </x:c>
      <x:c r="AH557" t="str">
        <x:v>COMPLETE</x:v>
      </x:c>
      <x:c r="AI557" t="str">
        <x:v>Quinn Moore</x:v>
      </x:c>
      <x:c r="AJ557" t="str">
        <x:v>SPOUSE_PARTNER</x:v>
      </x:c>
      <x:c r="AK557" t="str">
        <x:v>+1 (617) 555-0108</x:v>
      </x:c>
    </x:row>
    <x:row r="558" ht="18" customHeight="1">
      <x:c r="A558" t="str">
        <x:v>DHR-00557</x:v>
      </x:c>
      <x:c r="B558" t="str">
        <x:v>Robin Lewis</x:v>
      </x:c>
      <x:c r="C558" t="str">
        <x:v>https://api.dicebear.com/9.x/adventurer/png?seed=DHR-00557-Robin%20Lewis&amp;size=256&amp;radius=50&amp;backgroundColor=b6e3f4,c0aede,d1d4f9,ffd5dc,ffdfbf</x:v>
      </x:c>
      <x:c r="D558" t="str">
        <x:v>robin.lewis.557@example.com</x:v>
      </x:c>
      <x:c r="E558" t="str">
        <x:v>+1 (619) 555-0156</x:v>
      </x:c>
      <x:c r="F558" t="str">
        <x:v>San Diego, CA</x:v>
      </x:c>
      <x:c r="G558" t="str">
        <x:v>San Diego</x:v>
      </x:c>
      <x:c r="H558" t="str">
        <x:v>CA</x:v>
      </x:c>
      <x:c r="I558" s="18" t="str">
        <x:v>92101</x:v>
      </x:c>
      <x:c r="J558" s="15" t="n">
        <x:v>30247.489212916666</x:v>
      </x:c>
      <x:c r="K558" t="n">
        <x:f>INT((DATE(2025,12,31)-J558)/365.25)</x:f>
        <x:v>43</x:v>
      </x:c>
      <x:c r="L558" t="str">
        <x:f>IF(K558&lt;25,"18-24",IF(K558&lt;35,"25-34",IF(K558&lt;45,"35-44",IF(K558&lt;55,"45-54","55+"))))</x:f>
        <x:v>35-44</x:v>
      </x:c>
      <x:c r="M558" s="15" t="n">
        <x:v>44556.10094482639</x:v>
      </x:c>
      <x:c r="N558" t="n">
        <x:f>(YEAR(DATE(2025,12,31))-YEAR(M558))*12+MONTH(DATE(2025,12,31))-MONTH(M558)</x:f>
        <x:v>48</x:v>
      </x:c>
      <x:c r="O558" t="str">
        <x:v>ACTIVE</x:v>
      </x:c>
      <x:c r="P558" t="str">
        <x:v>INDEPENDENT_CONTRACTOR</x:v>
      </x:c>
      <x:c r="Q558" t="str">
        <x:v>E_BIKE</x:v>
      </x:c>
      <x:c r="R558" t="str">
        <x:v>LUNCH</x:v>
      </x:c>
      <x:c r="S558" t="n">
        <x:v>16</x:v>
      </x:c>
      <x:c r="T558" t="str">
        <x:v>CLEARED</x:v>
      </x:c>
      <x:c r="U558" t="str">
        <x:v>NOT_REQUIRED</x:v>
      </x:c>
      <x:c r="V558" s="16" t="n">
        <x:v>0.9092</x:v>
      </x:c>
      <x:c r="W558" t="str">
        <x:v>English</x:v>
      </x:c>
      <x:c r="X558"/>
      <x:c r="Y558" t="n">
        <x:v>1705</x:v>
      </x:c>
      <x:c r="Z558" s="17" t="n">
        <x:v>4.77</x:v>
      </x:c>
      <x:c r="AA558" s="16" t="n">
        <x:v>0.7934</x:v>
      </x:c>
      <x:c r="AB558" s="16" t="n">
        <x:v>0.9897</x:v>
      </x:c>
      <x:c r="AC558" s="16" t="n">
        <x:v>0.8943</x:v>
      </x:c>
      <x:c r="AD558" t="n">
        <x:v>0</x:v>
      </x:c>
      <x:c r="AE558" t="str">
        <x:f>IF(O558&lt;&gt;"ACTIVE","NOT_RATED",IF(AND(Z558&gt;=4.8,AB558&gt;=0.97,AC558&gt;=0.93,AD558=0),"ELITE",IF(AND(Z558&gt;=4.6,AB558&gt;=0.94,AC558&gt;=0.88),"HIGH_PERFORMER",IF(OR(Z558&lt;4.2,AB558&lt;0.85,AD558&gt;=2),"AT_RISK","STANDARD"))))</x:f>
        <x:v>HIGH_PERFORMER</x:v>
      </x:c>
      <x:c r="AF558" s="15" t="n">
        <x:v>46011</x:v>
      </x:c>
      <x:c r="AG558" t="str">
        <x:v>VERIFIED</x:v>
      </x:c>
      <x:c r="AH558" t="str">
        <x:v>COMPLETE</x:v>
      </x:c>
      <x:c r="AI558" t="str">
        <x:v>Ethan Clark</x:v>
      </x:c>
      <x:c r="AJ558" t="str">
        <x:v>SIBLING</x:v>
      </x:c>
      <x:c r="AK558" t="str">
        <x:v>+1 (619) 555-0115</x:v>
      </x:c>
    </x:row>
    <x:row r="559" ht="18" customHeight="1">
      <x:c r="A559" t="str">
        <x:v>DHR-00558</x:v>
      </x:c>
      <x:c r="B559" t="str">
        <x:v>Robin Martin</x:v>
      </x:c>
      <x:c r="C559" t="str">
        <x:v>https://api.dicebear.com/9.x/adventurer/png?seed=DHR-00558-Robin%20Martin&amp;size=256&amp;radius=50&amp;backgroundColor=b6e3f4,c0aede,d1d4f9,ffd5dc,ffdfbf</x:v>
      </x:c>
      <x:c r="D559" t="str">
        <x:v>robin.martin.558@example.com</x:v>
      </x:c>
      <x:c r="E559" t="str">
        <x:v>+1 (213) 555-0157</x:v>
      </x:c>
      <x:c r="F559" t="str">
        <x:v>Los Angeles, CA</x:v>
      </x:c>
      <x:c r="G559" t="str">
        <x:v>Los Angeles</x:v>
      </x:c>
      <x:c r="H559" t="str">
        <x:v>CA</x:v>
      </x:c>
      <x:c r="I559" s="18" t="str">
        <x:v>90012</x:v>
      </x:c>
      <x:c r="J559" s="15" t="n">
        <x:v>37981.93838319444</x:v>
      </x:c>
      <x:c r="K559" t="n">
        <x:f>INT((DATE(2025,12,31)-J559)/365.25)</x:f>
        <x:v>22</x:v>
      </x:c>
      <x:c r="L559" t="str">
        <x:f>IF(K559&lt;25,"18-24",IF(K559&lt;35,"25-34",IF(K559&lt;45,"35-44",IF(K559&lt;55,"45-54","55+"))))</x:f>
        <x:v>18-24</x:v>
      </x:c>
      <x:c r="M559" s="15" t="n">
        <x:v>45757.792974351854</x:v>
      </x:c>
      <x:c r="N559" t="n">
        <x:f>(YEAR(DATE(2025,12,31))-YEAR(M559))*12+MONTH(DATE(2025,12,31))-MONTH(M559)</x:f>
        <x:v>8</x:v>
      </x:c>
      <x:c r="O559" t="str">
        <x:v>OFFBOARDED</x:v>
      </x:c>
      <x:c r="P559" t="str">
        <x:v>INDEPENDENT_CONTRACTOR</x:v>
      </x:c>
      <x:c r="Q559" t="str">
        <x:v>CAR</x:v>
      </x:c>
      <x:c r="R559" t="str">
        <x:v>LUNCH</x:v>
      </x:c>
      <x:c r="S559" t="n">
        <x:v>17</x:v>
      </x:c>
      <x:c r="T559" t="str">
        <x:v>CLEARED</x:v>
      </x:c>
      <x:c r="U559" t="str">
        <x:v>VALID</x:v>
      </x:c>
      <x:c r="V559" s="16" t="n">
        <x:v>0.8007</x:v>
      </x:c>
      <x:c r="W559" t="str">
        <x:v>English</x:v>
      </x:c>
      <x:c r="X559" t="str">
        <x:v>Spanish</x:v>
      </x:c>
      <x:c r="Y559" t="n">
        <x:v>342</x:v>
      </x:c>
      <x:c r="Z559" s="17" t="n">
        <x:v>4.71</x:v>
      </x:c>
      <x:c r="AA559" s="16" t="n">
        <x:v>0.6432</x:v>
      </x:c>
      <x:c r="AB559" s="16" t="n">
        <x:v>0.8887</x:v>
      </x:c>
      <x:c r="AC559" s="16" t="n">
        <x:v>0.9733</x:v>
      </x:c>
      <x:c r="AD559" t="n">
        <x:v>0</x:v>
      </x:c>
      <x:c r="AE559" t="str">
        <x:f>IF(O559&lt;&gt;"ACTIVE","NOT_RATED",IF(AND(Z559&gt;=4.8,AB559&gt;=0.97,AC559&gt;=0.93,AD559=0),"ELITE",IF(AND(Z559&gt;=4.6,AB559&gt;=0.94,AC559&gt;=0.88),"HIGH_PERFORMER",IF(OR(Z559&lt;4.2,AB559&lt;0.85,AD559&gt;=2),"AT_RISK","STANDARD"))))</x:f>
        <x:v>NOT_RATED</x:v>
      </x:c>
      <x:c r="AF559" s="15" t="n">
        <x:v>45787</x:v>
      </x:c>
      <x:c r="AG559" t="str">
        <x:v>VERIFIED</x:v>
      </x:c>
      <x:c r="AH559" t="str">
        <x:v>COMPLETE</x:v>
      </x:c>
      <x:c r="AI559" t="str">
        <x:v>Morgan Martinez</x:v>
      </x:c>
      <x:c r="AJ559" t="str">
        <x:v>FRIEND</x:v>
      </x:c>
      <x:c r="AK559" t="str">
        <x:v>+1 (213) 555-0122</x:v>
      </x:c>
    </x:row>
    <x:row r="560" ht="18" customHeight="1">
      <x:c r="A560" t="str">
        <x:v>DHR-00559</x:v>
      </x:c>
      <x:c r="B560" t="str">
        <x:v>Robin Martinez</x:v>
      </x:c>
      <x:c r="C560" t="str">
        <x:v>https://api.dicebear.com/9.x/adventurer/png?seed=DHR-00559-Robin%20Martinez&amp;size=256&amp;radius=50&amp;backgroundColor=b6e3f4,c0aede,d1d4f9,ffd5dc,ffdfbf</x:v>
      </x:c>
      <x:c r="D560" t="str">
        <x:v>robin.martinez.559@example.com</x:v>
      </x:c>
      <x:c r="E560" t="str">
        <x:v>+1 (415) 555-0158</x:v>
      </x:c>
      <x:c r="F560" t="str">
        <x:v>San Francisco, CA</x:v>
      </x:c>
      <x:c r="G560" t="str">
        <x:v>San Francisco</x:v>
      </x:c>
      <x:c r="H560" t="str">
        <x:v>CA</x:v>
      </x:c>
      <x:c r="I560" s="18" t="str">
        <x:v>94103</x:v>
      </x:c>
      <x:c r="J560" s="15" t="n">
        <x:v>31435.993914074075</x:v>
      </x:c>
      <x:c r="K560" t="n">
        <x:f>INT((DATE(2025,12,31)-J560)/365.25)</x:f>
        <x:v>39</x:v>
      </x:c>
      <x:c r="L560" t="str">
        <x:f>IF(K560&lt;25,"18-24",IF(K560&lt;35,"25-34",IF(K560&lt;45,"35-44",IF(K560&lt;55,"45-54","55+"))))</x:f>
        <x:v>35-44</x:v>
      </x:c>
      <x:c r="M560" s="15" t="n">
        <x:v>44975.053793356485</x:v>
      </x:c>
      <x:c r="N560" t="n">
        <x:f>(YEAR(DATE(2025,12,31))-YEAR(M560))*12+MONTH(DATE(2025,12,31))-MONTH(M560)</x:f>
        <x:v>34</x:v>
      </x:c>
      <x:c r="O560" t="str">
        <x:v>ACTIVE</x:v>
      </x:c>
      <x:c r="P560" t="str">
        <x:v>INDEPENDENT_CONTRACTOR</x:v>
      </x:c>
      <x:c r="Q560" t="str">
        <x:v>MOTORCYCLE</x:v>
      </x:c>
      <x:c r="R560" t="str">
        <x:v>LUNCH</x:v>
      </x:c>
      <x:c r="S560" t="n">
        <x:v>12</x:v>
      </x:c>
      <x:c r="T560" t="str">
        <x:v>CLEARED</x:v>
      </x:c>
      <x:c r="U560" t="str">
        <x:v>VALID</x:v>
      </x:c>
      <x:c r="V560" s="16" t="n">
        <x:v>0.9794</x:v>
      </x:c>
      <x:c r="W560" t="str">
        <x:v>Spanish</x:v>
      </x:c>
      <x:c r="X560" t="str">
        <x:v>English</x:v>
      </x:c>
      <x:c r="Y560" t="n">
        <x:v>1144</x:v>
      </x:c>
      <x:c r="Z560" s="17" t="n">
        <x:v>4.65</x:v>
      </x:c>
      <x:c r="AA560" s="16" t="n">
        <x:v>0.6007</x:v>
      </x:c>
      <x:c r="AB560" s="16" t="n">
        <x:v>0.9628</x:v>
      </x:c>
      <x:c r="AC560" s="16" t="n">
        <x:v>0.8892</x:v>
      </x:c>
      <x:c r="AD560" t="n">
        <x:v>0</x:v>
      </x:c>
      <x:c r="AE560" t="str">
        <x:f>IF(O560&lt;&gt;"ACTIVE","NOT_RATED",IF(AND(Z560&gt;=4.8,AB560&gt;=0.97,AC560&gt;=0.93,AD560=0),"ELITE",IF(AND(Z560&gt;=4.6,AB560&gt;=0.94,AC560&gt;=0.88),"HIGH_PERFORMER",IF(OR(Z560&lt;4.2,AB560&lt;0.85,AD560&gt;=2),"AT_RISK","STANDARD"))))</x:f>
        <x:v>HIGH_PERFORMER</x:v>
      </x:c>
      <x:c r="AF560" s="15" t="n">
        <x:v>46009</x:v>
      </x:c>
      <x:c r="AG560" t="str">
        <x:v>VERIFIED</x:v>
      </x:c>
      <x:c r="AH560" t="str">
        <x:v>COMPLETE</x:v>
      </x:c>
      <x:c r="AI560" t="str">
        <x:v>Mateo Thomas</x:v>
      </x:c>
      <x:c r="AJ560" t="str">
        <x:v>PARENT</x:v>
      </x:c>
      <x:c r="AK560" t="str">
        <x:v>+1 (415) 555-0129</x:v>
      </x:c>
    </x:row>
    <x:row r="561" ht="18" customHeight="1">
      <x:c r="A561" t="str">
        <x:v>DHR-00560</x:v>
      </x:c>
      <x:c r="B561" t="str">
        <x:v>Robin Miller</x:v>
      </x:c>
      <x:c r="C561" t="str">
        <x:v>https://api.dicebear.com/9.x/adventurer/png?seed=DHR-00560-Robin%20Miller&amp;size=256&amp;radius=50&amp;backgroundColor=b6e3f4,c0aede,d1d4f9,ffd5dc,ffdfbf</x:v>
      </x:c>
      <x:c r="D561" t="str">
        <x:v>robin.miller.560@example.com</x:v>
      </x:c>
      <x:c r="E561" t="str">
        <x:v>+1 (602) 555-0159</x:v>
      </x:c>
      <x:c r="F561" t="str">
        <x:v>Phoenix, AZ</x:v>
      </x:c>
      <x:c r="G561" t="str">
        <x:v>Phoenix</x:v>
      </x:c>
      <x:c r="H561" t="str">
        <x:v>AZ</x:v>
      </x:c>
      <x:c r="I561" s="18" t="str">
        <x:v>85004</x:v>
      </x:c>
      <x:c r="J561" s="15" t="n">
        <x:v>30015.40193539352</x:v>
      </x:c>
      <x:c r="K561" t="n">
        <x:f>INT((DATE(2025,12,31)-J561)/365.25)</x:f>
        <x:v>43</x:v>
      </x:c>
      <x:c r="L561" t="str">
        <x:f>IF(K561&lt;25,"18-24",IF(K561&lt;35,"25-34",IF(K561&lt;45,"35-44",IF(K561&lt;55,"45-54","55+"))))</x:f>
        <x:v>35-44</x:v>
      </x:c>
      <x:c r="M561" s="15" t="n">
        <x:v>45037.93060283565</x:v>
      </x:c>
      <x:c r="N561" t="n">
        <x:f>(YEAR(DATE(2025,12,31))-YEAR(M561))*12+MONTH(DATE(2025,12,31))-MONTH(M561)</x:f>
        <x:v>32</x:v>
      </x:c>
      <x:c r="O561" t="str">
        <x:v>ACTIVE</x:v>
      </x:c>
      <x:c r="P561" t="str">
        <x:v>INDEPENDENT_CONTRACTOR</x:v>
      </x:c>
      <x:c r="Q561" t="str">
        <x:v>CAR</x:v>
      </x:c>
      <x:c r="R561" t="str">
        <x:v>LUNCH</x:v>
      </x:c>
      <x:c r="S561" t="n">
        <x:v>44</x:v>
      </x:c>
      <x:c r="T561" t="str">
        <x:v>CLEARED</x:v>
      </x:c>
      <x:c r="U561" t="str">
        <x:v>VALID</x:v>
      </x:c>
      <x:c r="V561" s="16" t="n">
        <x:v>0.8431</x:v>
      </x:c>
      <x:c r="W561" t="str">
        <x:v>Mandarin</x:v>
      </x:c>
      <x:c r="X561"/>
      <x:c r="Y561" t="n">
        <x:v>4058</x:v>
      </x:c>
      <x:c r="Z561" s="17" t="n">
        <x:v>4.68</x:v>
      </x:c>
      <x:c r="AA561" s="16" t="n">
        <x:v>0.8539</x:v>
      </x:c>
      <x:c r="AB561" s="16" t="n">
        <x:v>0.9339</x:v>
      </x:c>
      <x:c r="AC561" s="16" t="n">
        <x:v>0.9562</x:v>
      </x:c>
      <x:c r="AD561" t="n">
        <x:v>0</x:v>
      </x:c>
      <x:c r="AE561" t="str">
        <x:f>IF(O561&lt;&gt;"ACTIVE","NOT_RATED",IF(AND(Z561&gt;=4.8,AB561&gt;=0.97,AC561&gt;=0.93,AD561=0),"ELITE",IF(AND(Z561&gt;=4.6,AB561&gt;=0.94,AC561&gt;=0.88),"HIGH_PERFORMER",IF(OR(Z561&lt;4.2,AB561&lt;0.85,AD561&gt;=2),"AT_RISK","STANDARD"))))</x:f>
        <x:v>STANDARD</x:v>
      </x:c>
      <x:c r="AF561" s="15" t="n">
        <x:v>46009</x:v>
      </x:c>
      <x:c r="AG561" t="str">
        <x:v>VERIFIED</x:v>
      </x:c>
      <x:c r="AH561" t="str">
        <x:v>COMPLETE</x:v>
      </x:c>
      <x:c r="AI561" t="str">
        <x:v>Quinn Wilson</x:v>
      </x:c>
      <x:c r="AJ561" t="str">
        <x:v>FRIEND</x:v>
      </x:c>
      <x:c r="AK561" t="str">
        <x:v>+1 (602) 555-0136</x:v>
      </x:c>
    </x:row>
    <x:row r="562" ht="18" customHeight="1">
      <x:c r="A562" t="str">
        <x:v>DHR-00561</x:v>
      </x:c>
      <x:c r="B562" t="str">
        <x:v>Robin Moore</x:v>
      </x:c>
      <x:c r="C562" t="str">
        <x:v>https://api.dicebear.com/9.x/adventurer/png?seed=DHR-00561-Robin%20Moore&amp;size=256&amp;radius=50&amp;backgroundColor=b6e3f4,c0aede,d1d4f9,ffd5dc,ffdfbf</x:v>
      </x:c>
      <x:c r="D562" t="str">
        <x:v>robin.moore.561@example.com</x:v>
      </x:c>
      <x:c r="E562" t="str">
        <x:v>+1 (305) 555-0160</x:v>
      </x:c>
      <x:c r="F562" t="str">
        <x:v>Miami, FL</x:v>
      </x:c>
      <x:c r="G562" t="str">
        <x:v>Miami</x:v>
      </x:c>
      <x:c r="H562" t="str">
        <x:v>FL</x:v>
      </x:c>
      <x:c r="I562" s="18" t="str">
        <x:v>33130</x:v>
      </x:c>
      <x:c r="J562" s="15" t="n">
        <x:v>30843.503553599538</x:v>
      </x:c>
      <x:c r="K562" t="n">
        <x:f>INT((DATE(2025,12,31)-J562)/365.25)</x:f>
        <x:v>41</x:v>
      </x:c>
      <x:c r="L562" t="str">
        <x:f>IF(K562&lt;25,"18-24",IF(K562&lt;35,"25-34",IF(K562&lt;45,"35-44",IF(K562&lt;55,"45-54","55+"))))</x:f>
        <x:v>35-44</x:v>
      </x:c>
      <x:c r="M562" s="15" t="n">
        <x:v>44412.80359927083</x:v>
      </x:c>
      <x:c r="N562" t="n">
        <x:f>(YEAR(DATE(2025,12,31))-YEAR(M562))*12+MONTH(DATE(2025,12,31))-MONTH(M562)</x:f>
        <x:v>52</x:v>
      </x:c>
      <x:c r="O562" t="str">
        <x:v>ACTIVE</x:v>
      </x:c>
      <x:c r="P562" t="str">
        <x:v>INDEPENDENT_CONTRACTOR</x:v>
      </x:c>
      <x:c r="Q562" t="str">
        <x:v>CAR</x:v>
      </x:c>
      <x:c r="R562" t="str">
        <x:v>LUNCH</x:v>
      </x:c>
      <x:c r="S562" t="n">
        <x:v>11</x:v>
      </x:c>
      <x:c r="T562" t="str">
        <x:v>CLEARED</x:v>
      </x:c>
      <x:c r="U562" t="str">
        <x:v>VALID</x:v>
      </x:c>
      <x:c r="V562" s="16" t="n">
        <x:v>0.8173</x:v>
      </x:c>
      <x:c r="W562" t="str">
        <x:v>English</x:v>
      </x:c>
      <x:c r="X562" t="str">
        <x:v>Spanish</x:v>
      </x:c>
      <x:c r="Y562" t="n">
        <x:v>1426</x:v>
      </x:c>
      <x:c r="Z562" s="17" t="n">
        <x:v>4.5</x:v>
      </x:c>
      <x:c r="AA562" s="16" t="n">
        <x:v>0.8871</x:v>
      </x:c>
      <x:c r="AB562" s="16" t="n">
        <x:v>0.9152</x:v>
      </x:c>
      <x:c r="AC562" s="16" t="n">
        <x:v>0.8709</x:v>
      </x:c>
      <x:c r="AD562" t="n">
        <x:v>0</x:v>
      </x:c>
      <x:c r="AE562" t="str">
        <x:f>IF(O562&lt;&gt;"ACTIVE","NOT_RATED",IF(AND(Z562&gt;=4.8,AB562&gt;=0.97,AC562&gt;=0.93,AD562=0),"ELITE",IF(AND(Z562&gt;=4.6,AB562&gt;=0.94,AC562&gt;=0.88),"HIGH_PERFORMER",IF(OR(Z562&lt;4.2,AB562&lt;0.85,AD562&gt;=2),"AT_RISK","STANDARD"))))</x:f>
        <x:v>STANDARD</x:v>
      </x:c>
      <x:c r="AF562" s="15" t="n">
        <x:v>46013</x:v>
      </x:c>
      <x:c r="AG562" t="str">
        <x:v>VERIFIED</x:v>
      </x:c>
      <x:c r="AH562" t="str">
        <x:v>COMPLETE</x:v>
      </x:c>
      <x:c r="AI562" t="str">
        <x:v>Hayden Brown</x:v>
      </x:c>
      <x:c r="AJ562" t="str">
        <x:v>SPOUSE_PARTNER</x:v>
      </x:c>
      <x:c r="AK562" t="str">
        <x:v>+1 (305) 555-0143</x:v>
      </x:c>
    </x:row>
    <x:row r="563" ht="18" customHeight="1">
      <x:c r="A563" t="str">
        <x:v>DHR-00562</x:v>
      </x:c>
      <x:c r="B563" t="str">
        <x:v>Robin Perez</x:v>
      </x:c>
      <x:c r="C563" t="str">
        <x:v>https://api.dicebear.com/9.x/adventurer/png?seed=DHR-00562-Robin%20Perez&amp;size=256&amp;radius=50&amp;backgroundColor=b6e3f4,c0aede,d1d4f9,ffd5dc,ffdfbf</x:v>
      </x:c>
      <x:c r="D563" t="str">
        <x:v>robin.perez.562@example.com</x:v>
      </x:c>
      <x:c r="E563" t="str">
        <x:v>+1 (214) 555-0161</x:v>
      </x:c>
      <x:c r="F563" t="str">
        <x:v>Dallas, TX</x:v>
      </x:c>
      <x:c r="G563" t="str">
        <x:v>Dallas</x:v>
      </x:c>
      <x:c r="H563" t="str">
        <x:v>TX</x:v>
      </x:c>
      <x:c r="I563" s="18" t="str">
        <x:v>75201</x:v>
      </x:c>
      <x:c r="J563" s="15" t="n">
        <x:v>34847.55548744213</x:v>
      </x:c>
      <x:c r="K563" t="n">
        <x:f>INT((DATE(2025,12,31)-J563)/365.25)</x:f>
        <x:v>30</x:v>
      </x:c>
      <x:c r="L563" t="str">
        <x:f>IF(K563&lt;25,"18-24",IF(K563&lt;35,"25-34",IF(K563&lt;45,"35-44",IF(K563&lt;55,"45-54","55+"))))</x:f>
        <x:v>25-34</x:v>
      </x:c>
      <x:c r="M563" s="15" t="n">
        <x:v>44970.89737126158</x:v>
      </x:c>
      <x:c r="N563" t="n">
        <x:f>(YEAR(DATE(2025,12,31))-YEAR(M563))*12+MONTH(DATE(2025,12,31))-MONTH(M563)</x:f>
        <x:v>34</x:v>
      </x:c>
      <x:c r="O563" t="str">
        <x:v>ACTIVE</x:v>
      </x:c>
      <x:c r="P563" t="str">
        <x:v>INDEPENDENT_CONTRACTOR</x:v>
      </x:c>
      <x:c r="Q563" t="str">
        <x:v>CAR</x:v>
      </x:c>
      <x:c r="R563" t="str">
        <x:v>WEEKENDS</x:v>
      </x:c>
      <x:c r="S563" t="n">
        <x:v>9</x:v>
      </x:c>
      <x:c r="T563" t="str">
        <x:v>CLEARED</x:v>
      </x:c>
      <x:c r="U563" t="str">
        <x:v>EXPIRING_SOON</x:v>
      </x:c>
      <x:c r="V563" s="16" t="n">
        <x:v>0.9153</x:v>
      </x:c>
      <x:c r="W563" t="str">
        <x:v>English</x:v>
      </x:c>
      <x:c r="X563"/>
      <x:c r="Y563" t="n">
        <x:v>990</x:v>
      </x:c>
      <x:c r="Z563" s="17" t="n">
        <x:v>4.5</x:v>
      </x:c>
      <x:c r="AA563" s="16" t="n">
        <x:v>0.6272</x:v>
      </x:c>
      <x:c r="AB563" s="16" t="n">
        <x:v>0.9855</x:v>
      </x:c>
      <x:c r="AC563" s="16" t="n">
        <x:v>0.946</x:v>
      </x:c>
      <x:c r="AD563" t="n">
        <x:v>0</x:v>
      </x:c>
      <x:c r="AE563" t="str">
        <x:f>IF(O563&lt;&gt;"ACTIVE","NOT_RATED",IF(AND(Z563&gt;=4.8,AB563&gt;=0.97,AC563&gt;=0.93,AD563=0),"ELITE",IF(AND(Z563&gt;=4.6,AB563&gt;=0.94,AC563&gt;=0.88),"HIGH_PERFORMER",IF(OR(Z563&lt;4.2,AB563&lt;0.85,AD563&gt;=2),"AT_RISK","STANDARD"))))</x:f>
        <x:v>STANDARD</x:v>
      </x:c>
      <x:c r="AF563" s="15" t="n">
        <x:v>46019</x:v>
      </x:c>
      <x:c r="AG563" t="str">
        <x:v>VERIFIED</x:v>
      </x:c>
      <x:c r="AH563" t="str">
        <x:v>COMPLETE</x:v>
      </x:c>
      <x:c r="AI563" t="str">
        <x:v>Liam Walker</x:v>
      </x:c>
      <x:c r="AJ563" t="str">
        <x:v>SPOUSE_PARTNER</x:v>
      </x:c>
      <x:c r="AK563" t="str">
        <x:v>+1 (214) 555-0150</x:v>
      </x:c>
    </x:row>
    <x:row r="564" ht="18" customHeight="1">
      <x:c r="A564" t="str">
        <x:v>DHR-00563</x:v>
      </x:c>
      <x:c r="B564" t="str">
        <x:v>Robin Thomas</x:v>
      </x:c>
      <x:c r="C564" t="str">
        <x:v>https://api.dicebear.com/9.x/adventurer/png?seed=DHR-00563-Robin%20Thomas&amp;size=256&amp;radius=50&amp;backgroundColor=b6e3f4,c0aede,d1d4f9,ffd5dc,ffdfbf</x:v>
      </x:c>
      <x:c r="D564" t="str">
        <x:v>robin.thomas.563@example.com</x:v>
      </x:c>
      <x:c r="E564" t="str">
        <x:v>+1 (415) 555-0162</x:v>
      </x:c>
      <x:c r="F564" t="str">
        <x:v>San Francisco, CA</x:v>
      </x:c>
      <x:c r="G564" t="str">
        <x:v>San Francisco</x:v>
      </x:c>
      <x:c r="H564" t="str">
        <x:v>CA</x:v>
      </x:c>
      <x:c r="I564" s="18" t="str">
        <x:v>94103</x:v>
      </x:c>
      <x:c r="J564" s="15" t="n">
        <x:v>35098.63052582176</x:v>
      </x:c>
      <x:c r="K564" t="n">
        <x:f>INT((DATE(2025,12,31)-J564)/365.25)</x:f>
        <x:v>29</x:v>
      </x:c>
      <x:c r="L564" t="str">
        <x:f>IF(K564&lt;25,"18-24",IF(K564&lt;35,"25-34",IF(K564&lt;45,"35-44",IF(K564&lt;55,"45-54","55+"))))</x:f>
        <x:v>25-34</x:v>
      </x:c>
      <x:c r="M564" s="15" t="n">
        <x:v>43653.75979357639</x:v>
      </x:c>
      <x:c r="N564" t="n">
        <x:f>(YEAR(DATE(2025,12,31))-YEAR(M564))*12+MONTH(DATE(2025,12,31))-MONTH(M564)</x:f>
        <x:v>77</x:v>
      </x:c>
      <x:c r="O564" t="str">
        <x:v>OFFBOARDED</x:v>
      </x:c>
      <x:c r="P564" t="str">
        <x:v>INDEPENDENT_CONTRACTOR</x:v>
      </x:c>
      <x:c r="Q564" t="str">
        <x:v>E_BIKE</x:v>
      </x:c>
      <x:c r="R564" t="str">
        <x:v>DINNER</x:v>
      </x:c>
      <x:c r="S564" t="n">
        <x:v>21</x:v>
      </x:c>
      <x:c r="T564" t="str">
        <x:v>EXPIRED</x:v>
      </x:c>
      <x:c r="U564" t="str">
        <x:v>NOT_REQUIRED</x:v>
      </x:c>
      <x:c r="V564" s="16" t="n">
        <x:v>0.7973</x:v>
      </x:c>
      <x:c r="W564" t="str">
        <x:v>Spanish</x:v>
      </x:c>
      <x:c r="X564"/>
      <x:c r="Y564" t="n">
        <x:v>6035</x:v>
      </x:c>
      <x:c r="Z564" s="17" t="n">
        <x:v>4.58</x:v>
      </x:c>
      <x:c r="AA564" s="16" t="n">
        <x:v>0.887</x:v>
      </x:c>
      <x:c r="AB564" s="16" t="n">
        <x:v>0.9864</x:v>
      </x:c>
      <x:c r="AC564" s="16" t="n">
        <x:v>0.9808</x:v>
      </x:c>
      <x:c r="AD564" t="n">
        <x:v>0</x:v>
      </x:c>
      <x:c r="AE564" t="str">
        <x:f>IF(O564&lt;&gt;"ACTIVE","NOT_RATED",IF(AND(Z564&gt;=4.8,AB564&gt;=0.97,AC564&gt;=0.93,AD564=0),"ELITE",IF(AND(Z564&gt;=4.6,AB564&gt;=0.94,AC564&gt;=0.88),"HIGH_PERFORMER",IF(OR(Z564&lt;4.2,AB564&lt;0.85,AD564&gt;=2),"AT_RISK","STANDARD"))))</x:f>
        <x:v>NOT_RATED</x:v>
      </x:c>
      <x:c r="AF564" s="15" t="n">
        <x:v>45818</x:v>
      </x:c>
      <x:c r="AG564" t="str">
        <x:v>VERIFIED</x:v>
      </x:c>
      <x:c r="AH564" t="str">
        <x:v>COMPLETE</x:v>
      </x:c>
      <x:c r="AI564" t="str">
        <x:v>Parker Taylor</x:v>
      </x:c>
      <x:c r="AJ564" t="str">
        <x:v>FRIEND</x:v>
      </x:c>
      <x:c r="AK564" t="str">
        <x:v>+1 (415) 555-0157</x:v>
      </x:c>
    </x:row>
    <x:row r="565" ht="18" customHeight="1">
      <x:c r="A565" t="str">
        <x:v>DHR-00564</x:v>
      </x:c>
      <x:c r="B565" t="str">
        <x:v>Robin Thompson</x:v>
      </x:c>
      <x:c r="C565" t="str">
        <x:v>https://api.dicebear.com/9.x/adventurer/png?seed=DHR-00564-Robin%20Thompson&amp;size=256&amp;radius=50&amp;backgroundColor=b6e3f4,c0aede,d1d4f9,ffd5dc,ffdfbf</x:v>
      </x:c>
      <x:c r="D565" t="str">
        <x:v>robin.thompson.564@example.com</x:v>
      </x:c>
      <x:c r="E565" t="str">
        <x:v>+1 (704) 555-0163</x:v>
      </x:c>
      <x:c r="F565" t="str">
        <x:v>Charlotte, NC</x:v>
      </x:c>
      <x:c r="G565" t="str">
        <x:v>Charlotte</x:v>
      </x:c>
      <x:c r="H565" t="str">
        <x:v>NC</x:v>
      </x:c>
      <x:c r="I565" s="18" t="str">
        <x:v>28202</x:v>
      </x:c>
      <x:c r="J565" s="15" t="n">
        <x:v>30468.664717129628</x:v>
      </x:c>
      <x:c r="K565" t="n">
        <x:f>INT((DATE(2025,12,31)-J565)/365.25)</x:f>
        <x:v>42</x:v>
      </x:c>
      <x:c r="L565" t="str">
        <x:f>IF(K565&lt;25,"18-24",IF(K565&lt;35,"25-34",IF(K565&lt;45,"35-44",IF(K565&lt;55,"45-54","55+"))))</x:f>
        <x:v>35-44</x:v>
      </x:c>
      <x:c r="M565" s="15" t="n">
        <x:v>45538.45214043982</x:v>
      </x:c>
      <x:c r="N565" t="n">
        <x:f>(YEAR(DATE(2025,12,31))-YEAR(M565))*12+MONTH(DATE(2025,12,31))-MONTH(M565)</x:f>
        <x:v>15</x:v>
      </x:c>
      <x:c r="O565" t="str">
        <x:v>OFFBOARDED</x:v>
      </x:c>
      <x:c r="P565" t="str">
        <x:v>INDEPENDENT_CONTRACTOR</x:v>
      </x:c>
      <x:c r="Q565" t="str">
        <x:v>CAR</x:v>
      </x:c>
      <x:c r="R565" t="str">
        <x:v>FLEXIBLE</x:v>
      </x:c>
      <x:c r="S565" t="n">
        <x:v>12</x:v>
      </x:c>
      <x:c r="T565" t="str">
        <x:v>CLEARED</x:v>
      </x:c>
      <x:c r="U565" t="str">
        <x:v>VALID</x:v>
      </x:c>
      <x:c r="V565" s="16" t="n">
        <x:v>0.73</x:v>
      </x:c>
      <x:c r="W565" t="str">
        <x:v>English</x:v>
      </x:c>
      <x:c r="X565"/>
      <x:c r="Y565" t="n">
        <x:v>392</x:v>
      </x:c>
      <x:c r="Z565" s="17" t="n">
        <x:v>4.71</x:v>
      </x:c>
      <x:c r="AA565" s="16" t="n">
        <x:v>0.7331</x:v>
      </x:c>
      <x:c r="AB565" s="16" t="n">
        <x:v>0.8866</x:v>
      </x:c>
      <x:c r="AC565" s="16" t="n">
        <x:v>0.8569</x:v>
      </x:c>
      <x:c r="AD565" t="n">
        <x:v>0</x:v>
      </x:c>
      <x:c r="AE565" t="str">
        <x:f>IF(O565&lt;&gt;"ACTIVE","NOT_RATED",IF(AND(Z565&gt;=4.8,AB565&gt;=0.97,AC565&gt;=0.93,AD565=0),"ELITE",IF(AND(Z565&gt;=4.6,AB565&gt;=0.94,AC565&gt;=0.88),"HIGH_PERFORMER",IF(OR(Z565&lt;4.2,AB565&lt;0.85,AD565&gt;=2),"AT_RISK","STANDARD"))))</x:f>
        <x:v>NOT_RATED</x:v>
      </x:c>
      <x:c r="AF565" s="15" t="n">
        <x:v>45658</x:v>
      </x:c>
      <x:c r="AG565" t="str">
        <x:v>VERIFIED</x:v>
      </x:c>
      <x:c r="AH565" t="str">
        <x:v>COMPLETE</x:v>
      </x:c>
      <x:c r="AI565" t="str">
        <x:v>Jordan Walker</x:v>
      </x:c>
      <x:c r="AJ565" t="str">
        <x:v>SPOUSE_PARTNER</x:v>
      </x:c>
      <x:c r="AK565" t="str">
        <x:v>+1 (704) 555-0164</x:v>
      </x:c>
    </x:row>
    <x:row r="566" ht="18" customHeight="1">
      <x:c r="A566" t="str">
        <x:v>DHR-00565</x:v>
      </x:c>
      <x:c r="B566" t="str">
        <x:v>Robin Walker</x:v>
      </x:c>
      <x:c r="C566" t="str">
        <x:v>https://api.dicebear.com/9.x/adventurer/png?seed=DHR-00565-Robin%20Walker&amp;size=256&amp;radius=50&amp;backgroundColor=b6e3f4,c0aede,d1d4f9,ffd5dc,ffdfbf</x:v>
      </x:c>
      <x:c r="D566" t="str">
        <x:v>robin.walker.565@example.com</x:v>
      </x:c>
      <x:c r="E566" t="str">
        <x:v>+1 (704) 555-0164</x:v>
      </x:c>
      <x:c r="F566" t="str">
        <x:v>Charlotte, NC</x:v>
      </x:c>
      <x:c r="G566" t="str">
        <x:v>Charlotte</x:v>
      </x:c>
      <x:c r="H566" t="str">
        <x:v>NC</x:v>
      </x:c>
      <x:c r="I566" s="18" t="str">
        <x:v>28202</x:v>
      </x:c>
      <x:c r="J566" s="15" t="n">
        <x:v>29246.545205520833</x:v>
      </x:c>
      <x:c r="K566" t="n">
        <x:f>INT((DATE(2025,12,31)-J566)/365.25)</x:f>
        <x:v>45</x:v>
      </x:c>
      <x:c r="L566" t="str">
        <x:f>IF(K566&lt;25,"18-24",IF(K566&lt;35,"25-34",IF(K566&lt;45,"35-44",IF(K566&lt;55,"45-54","55+"))))</x:f>
        <x:v>45-54</x:v>
      </x:c>
      <x:c r="M566" s="15" t="n">
        <x:v>45729.381886076386</x:v>
      </x:c>
      <x:c r="N566" t="n">
        <x:f>(YEAR(DATE(2025,12,31))-YEAR(M566))*12+MONTH(DATE(2025,12,31))-MONTH(M566)</x:f>
        <x:v>9</x:v>
      </x:c>
      <x:c r="O566" t="str">
        <x:v>ACTIVE</x:v>
      </x:c>
      <x:c r="P566" t="str">
        <x:v>INDEPENDENT_CONTRACTOR</x:v>
      </x:c>
      <x:c r="Q566" t="str">
        <x:v>CAR</x:v>
      </x:c>
      <x:c r="R566" t="str">
        <x:v>LUNCH</x:v>
      </x:c>
      <x:c r="S566" t="n">
        <x:v>28</x:v>
      </x:c>
      <x:c r="T566" t="str">
        <x:v>CLEARED</x:v>
      </x:c>
      <x:c r="U566" t="str">
        <x:v>VALID</x:v>
      </x:c>
      <x:c r="V566" s="16" t="n">
        <x:v>0.8241</x:v>
      </x:c>
      <x:c r="W566" t="str">
        <x:v>English</x:v>
      </x:c>
      <x:c r="X566"/>
      <x:c r="Y566" t="n">
        <x:v>753</x:v>
      </x:c>
      <x:c r="Z566" s="17" t="n">
        <x:v>4.42</x:v>
      </x:c>
      <x:c r="AA566" s="16" t="n">
        <x:v>0.8439</x:v>
      </x:c>
      <x:c r="AB566" s="16" t="n">
        <x:v>0.8684</x:v>
      </x:c>
      <x:c r="AC566" s="16" t="n">
        <x:v>0.8838</x:v>
      </x:c>
      <x:c r="AD566" t="n">
        <x:v>0</x:v>
      </x:c>
      <x:c r="AE566" t="str">
        <x:f>IF(O566&lt;&gt;"ACTIVE","NOT_RATED",IF(AND(Z566&gt;=4.8,AB566&gt;=0.97,AC566&gt;=0.93,AD566=0),"ELITE",IF(AND(Z566&gt;=4.6,AB566&gt;=0.94,AC566&gt;=0.88),"HIGH_PERFORMER",IF(OR(Z566&lt;4.2,AB566&lt;0.85,AD566&gt;=2),"AT_RISK","STANDARD"))))</x:f>
        <x:v>STANDARD</x:v>
      </x:c>
      <x:c r="AF566" s="15" t="n">
        <x:v>46008</x:v>
      </x:c>
      <x:c r="AG566" t="str">
        <x:v>VERIFIED</x:v>
      </x:c>
      <x:c r="AH566" t="str">
        <x:v>COMPLETE</x:v>
      </x:c>
      <x:c r="AI566" t="str">
        <x:v>Parker Miller</x:v>
      </x:c>
      <x:c r="AJ566" t="str">
        <x:v>SPOUSE_PARTNER</x:v>
      </x:c>
      <x:c r="AK566" t="str">
        <x:v>+1 (704) 555-0171</x:v>
      </x:c>
    </x:row>
    <x:row r="567" ht="18" customHeight="1">
      <x:c r="A567" t="str">
        <x:v>DHR-00566</x:v>
      </x:c>
      <x:c r="B567" t="str">
        <x:v>Robin White</x:v>
      </x:c>
      <x:c r="C567" t="str">
        <x:v>https://api.dicebear.com/9.x/adventurer/png?seed=DHR-00566-Robin%20White&amp;size=256&amp;radius=50&amp;backgroundColor=b6e3f4,c0aede,d1d4f9,ffd5dc,ffdfbf</x:v>
      </x:c>
      <x:c r="D567" t="str">
        <x:v>robin.white.566@example.com</x:v>
      </x:c>
      <x:c r="E567" t="str">
        <x:v>+1 (210) 555-0165</x:v>
      </x:c>
      <x:c r="F567" t="str">
        <x:v>San Antonio, TX</x:v>
      </x:c>
      <x:c r="G567" t="str">
        <x:v>San Antonio</x:v>
      </x:c>
      <x:c r="H567" t="str">
        <x:v>TX</x:v>
      </x:c>
      <x:c r="I567" s="18" t="str">
        <x:v>78205</x:v>
      </x:c>
      <x:c r="J567" s="15" t="n">
        <x:v>32976.23277850694</x:v>
      </x:c>
      <x:c r="K567" t="n">
        <x:f>INT((DATE(2025,12,31)-J567)/365.25)</x:f>
        <x:v>35</x:v>
      </x:c>
      <x:c r="L567" t="str">
        <x:f>IF(K567&lt;25,"18-24",IF(K567&lt;35,"25-34",IF(K567&lt;45,"35-44",IF(K567&lt;55,"45-54","55+"))))</x:f>
        <x:v>35-44</x:v>
      </x:c>
      <x:c r="M567" s="15" t="n">
        <x:v>43689.36493390046</x:v>
      </x:c>
      <x:c r="N567" t="n">
        <x:f>(YEAR(DATE(2025,12,31))-YEAR(M567))*12+MONTH(DATE(2025,12,31))-MONTH(M567)</x:f>
        <x:v>76</x:v>
      </x:c>
      <x:c r="O567" t="str">
        <x:v>ACTIVE</x:v>
      </x:c>
      <x:c r="P567" t="str">
        <x:v>INDEPENDENT_CONTRACTOR</x:v>
      </x:c>
      <x:c r="Q567" t="str">
        <x:v>CAR</x:v>
      </x:c>
      <x:c r="R567" t="str">
        <x:v>FLEXIBLE</x:v>
      </x:c>
      <x:c r="S567" t="n">
        <x:v>37</x:v>
      </x:c>
      <x:c r="T567" t="str">
        <x:v>CLEARED</x:v>
      </x:c>
      <x:c r="U567" t="str">
        <x:v>VALID</x:v>
      </x:c>
      <x:c r="V567" s="16" t="n">
        <x:v>0.9179</x:v>
      </x:c>
      <x:c r="W567" t="str">
        <x:v>English</x:v>
      </x:c>
      <x:c r="X567"/>
      <x:c r="Y567" t="n">
        <x:v>11569</x:v>
      </x:c>
      <x:c r="Z567" s="17" t="n">
        <x:v>4.93</x:v>
      </x:c>
      <x:c r="AA567" s="16" t="n">
        <x:v>0.8801</x:v>
      </x:c>
      <x:c r="AB567" s="16" t="n">
        <x:v>0.9851</x:v>
      </x:c>
      <x:c r="AC567" s="16" t="n">
        <x:v>0.9753</x:v>
      </x:c>
      <x:c r="AD567" t="n">
        <x:v>0</x:v>
      </x:c>
      <x:c r="AE567" t="str">
        <x:f>IF(O567&lt;&gt;"ACTIVE","NOT_RATED",IF(AND(Z567&gt;=4.8,AB567&gt;=0.97,AC567&gt;=0.93,AD567=0),"ELITE",IF(AND(Z567&gt;=4.6,AB567&gt;=0.94,AC567&gt;=0.88),"HIGH_PERFORMER",IF(OR(Z567&lt;4.2,AB567&lt;0.85,AD567&gt;=2),"AT_RISK","STANDARD"))))</x:f>
        <x:v>ELITE</x:v>
      </x:c>
      <x:c r="AF567" s="15" t="n">
        <x:v>46011</x:v>
      </x:c>
      <x:c r="AG567" t="str">
        <x:v>VERIFIED</x:v>
      </x:c>
      <x:c r="AH567" t="str">
        <x:v>COMPLETE</x:v>
      </x:c>
      <x:c r="AI567" t="str">
        <x:v>Skyler Anderson</x:v>
      </x:c>
      <x:c r="AJ567" t="str">
        <x:v>SPOUSE_PARTNER</x:v>
      </x:c>
      <x:c r="AK567" t="str">
        <x:v>+1 (210) 555-0178</x:v>
      </x:c>
    </x:row>
    <x:row r="568" ht="18" customHeight="1">
      <x:c r="A568" t="str">
        <x:v>DHR-00567</x:v>
      </x:c>
      <x:c r="B568" t="str">
        <x:v>Robin Williams</x:v>
      </x:c>
      <x:c r="C568" t="str">
        <x:v>https://api.dicebear.com/9.x/adventurer/png?seed=DHR-00567-Robin%20Williams&amp;size=256&amp;radius=50&amp;backgroundColor=b6e3f4,c0aede,d1d4f9,ffd5dc,ffdfbf</x:v>
      </x:c>
      <x:c r="D568" t="str">
        <x:v>robin.williams.567@example.com</x:v>
      </x:c>
      <x:c r="E568" t="str">
        <x:v>+1 (404) 555-0166</x:v>
      </x:c>
      <x:c r="F568" t="str">
        <x:v>Atlanta, GA</x:v>
      </x:c>
      <x:c r="G568" t="str">
        <x:v>Atlanta</x:v>
      </x:c>
      <x:c r="H568" t="str">
        <x:v>GA</x:v>
      </x:c>
      <x:c r="I568" s="18" t="str">
        <x:v>30303</x:v>
      </x:c>
      <x:c r="J568" s="15" t="n">
        <x:v>25002.396917395832</x:v>
      </x:c>
      <x:c r="K568" t="n">
        <x:f>INT((DATE(2025,12,31)-J568)/365.25)</x:f>
        <x:v>57</x:v>
      </x:c>
      <x:c r="L568" t="str">
        <x:f>IF(K568&lt;25,"18-24",IF(K568&lt;35,"25-34",IF(K568&lt;45,"35-44",IF(K568&lt;55,"45-54","55+"))))</x:f>
        <x:v>55+</x:v>
      </x:c>
      <x:c r="M568" s="15" t="n">
        <x:v>43556.30600162037</x:v>
      </x:c>
      <x:c r="N568" t="n">
        <x:f>(YEAR(DATE(2025,12,31))-YEAR(M568))*12+MONTH(DATE(2025,12,31))-MONTH(M568)</x:f>
        <x:v>80</x:v>
      </x:c>
      <x:c r="O568" t="str">
        <x:v>ACTIVE</x:v>
      </x:c>
      <x:c r="P568" t="str">
        <x:v>INDEPENDENT_CONTRACTOR</x:v>
      </x:c>
      <x:c r="Q568" t="str">
        <x:v>CAR</x:v>
      </x:c>
      <x:c r="R568" t="str">
        <x:v>DINNER</x:v>
      </x:c>
      <x:c r="S568" t="n">
        <x:v>35</x:v>
      </x:c>
      <x:c r="T568" t="str">
        <x:v>CLEARED</x:v>
      </x:c>
      <x:c r="U568" t="str">
        <x:v>VALID</x:v>
      </x:c>
      <x:c r="V568" s="16" t="n">
        <x:v>0.9755</x:v>
      </x:c>
      <x:c r="W568" t="str">
        <x:v>English</x:v>
      </x:c>
      <x:c r="X568"/>
      <x:c r="Y568" t="n">
        <x:v>10815</x:v>
      </x:c>
      <x:c r="Z568" s="17" t="n">
        <x:v>4.44</x:v>
      </x:c>
      <x:c r="AA568" s="16" t="n">
        <x:v>0.6554</x:v>
      </x:c>
      <x:c r="AB568" s="16" t="n">
        <x:v>0.9249</x:v>
      </x:c>
      <x:c r="AC568" s="16" t="n">
        <x:v>0.8367</x:v>
      </x:c>
      <x:c r="AD568" t="n">
        <x:v>0</x:v>
      </x:c>
      <x:c r="AE568" t="str">
        <x:f>IF(O568&lt;&gt;"ACTIVE","NOT_RATED",IF(AND(Z568&gt;=4.8,AB568&gt;=0.97,AC568&gt;=0.93,AD568=0),"ELITE",IF(AND(Z568&gt;=4.6,AB568&gt;=0.94,AC568&gt;=0.88),"HIGH_PERFORMER",IF(OR(Z568&lt;4.2,AB568&lt;0.85,AD568&gt;=2),"AT_RISK","STANDARD"))))</x:f>
        <x:v>STANDARD</x:v>
      </x:c>
      <x:c r="AF568" s="15" t="n">
        <x:v>46022</x:v>
      </x:c>
      <x:c r="AG568" t="str">
        <x:v>VERIFIED</x:v>
      </x:c>
      <x:c r="AH568" t="str">
        <x:v>COMPLETE</x:v>
      </x:c>
      <x:c r="AI568" t="str">
        <x:v>Casey Martinez</x:v>
      </x:c>
      <x:c r="AJ568" t="str">
        <x:v>FRIEND</x:v>
      </x:c>
      <x:c r="AK568" t="str">
        <x:v>+1 (404) 555-0185</x:v>
      </x:c>
    </x:row>
    <x:row r="569" ht="18" customHeight="1">
      <x:c r="A569" t="str">
        <x:v>DHR-00568</x:v>
      </x:c>
      <x:c r="B569" t="str">
        <x:v>Robin Wilson</x:v>
      </x:c>
      <x:c r="C569" t="str">
        <x:v>https://api.dicebear.com/9.x/adventurer/png?seed=DHR-00568-Robin%20Wilson&amp;size=256&amp;radius=50&amp;backgroundColor=b6e3f4,c0aede,d1d4f9,ffd5dc,ffdfbf</x:v>
      </x:c>
      <x:c r="D569" t="str">
        <x:v>robin.wilson.568@example.com</x:v>
      </x:c>
      <x:c r="E569" t="str">
        <x:v>+1 (415) 555-0167</x:v>
      </x:c>
      <x:c r="F569" t="str">
        <x:v>San Francisco, CA</x:v>
      </x:c>
      <x:c r="G569" t="str">
        <x:v>San Francisco</x:v>
      </x:c>
      <x:c r="H569" t="str">
        <x:v>CA</x:v>
      </x:c>
      <x:c r="I569" s="18" t="str">
        <x:v>94103</x:v>
      </x:c>
      <x:c r="J569" s="15" t="n">
        <x:v>36707.70187658565</x:v>
      </x:c>
      <x:c r="K569" t="n">
        <x:f>INT((DATE(2025,12,31)-J569)/365.25)</x:f>
        <x:v>25</x:v>
      </x:c>
      <x:c r="L569" t="str">
        <x:f>IF(K569&lt;25,"18-24",IF(K569&lt;35,"25-34",IF(K569&lt;45,"35-44",IF(K569&lt;55,"45-54","55+"))))</x:f>
        <x:v>25-34</x:v>
      </x:c>
      <x:c r="M569" s="15" t="n">
        <x:v>45347.35828854167</x:v>
      </x:c>
      <x:c r="N569" t="n">
        <x:f>(YEAR(DATE(2025,12,31))-YEAR(M569))*12+MONTH(DATE(2025,12,31))-MONTH(M569)</x:f>
        <x:v>22</x:v>
      </x:c>
      <x:c r="O569" t="str">
        <x:v>ACTIVE</x:v>
      </x:c>
      <x:c r="P569" t="str">
        <x:v>INDEPENDENT_CONTRACTOR</x:v>
      </x:c>
      <x:c r="Q569" t="str">
        <x:v>CAR</x:v>
      </x:c>
      <x:c r="R569" t="str">
        <x:v>LUNCH</x:v>
      </x:c>
      <x:c r="S569" t="n">
        <x:v>16</x:v>
      </x:c>
      <x:c r="T569" t="str">
        <x:v>CLEARED</x:v>
      </x:c>
      <x:c r="U569" t="str">
        <x:v>EXPIRING_SOON</x:v>
      </x:c>
      <x:c r="V569" s="16" t="n">
        <x:v>0.9029</x:v>
      </x:c>
      <x:c r="W569" t="str">
        <x:v>English</x:v>
      </x:c>
      <x:c r="X569" t="str">
        <x:v>Spanish</x:v>
      </x:c>
      <x:c r="Y569" t="n">
        <x:v>756</x:v>
      </x:c>
      <x:c r="Z569" s="17" t="n">
        <x:v>4.46</x:v>
      </x:c>
      <x:c r="AA569" s="16" t="n">
        <x:v>0.6453</x:v>
      </x:c>
      <x:c r="AB569" s="16" t="n">
        <x:v>0.9737</x:v>
      </x:c>
      <x:c r="AC569" s="16" t="n">
        <x:v>0.8247</x:v>
      </x:c>
      <x:c r="AD569" t="n">
        <x:v>0</x:v>
      </x:c>
      <x:c r="AE569" t="str">
        <x:f>IF(O569&lt;&gt;"ACTIVE","NOT_RATED",IF(AND(Z569&gt;=4.8,AB569&gt;=0.97,AC569&gt;=0.93,AD569=0),"ELITE",IF(AND(Z569&gt;=4.6,AB569&gt;=0.94,AC569&gt;=0.88),"HIGH_PERFORMER",IF(OR(Z569&lt;4.2,AB569&lt;0.85,AD569&gt;=2),"AT_RISK","STANDARD"))))</x:f>
        <x:v>STANDARD</x:v>
      </x:c>
      <x:c r="AF569" s="15" t="n">
        <x:v>46017</x:v>
      </x:c>
      <x:c r="AG569" t="str">
        <x:v>VERIFIED</x:v>
      </x:c>
      <x:c r="AH569" t="str">
        <x:v>COMPLETE</x:v>
      </x:c>
      <x:c r="AI569" t="str">
        <x:v>Taylor Thomas</x:v>
      </x:c>
      <x:c r="AJ569" t="str">
        <x:v>PARENT</x:v>
      </x:c>
      <x:c r="AK569" t="str">
        <x:v>+1 (415) 555-0192</x:v>
      </x:c>
    </x:row>
    <x:row r="570" ht="18" customHeight="1">
      <x:c r="A570" t="str">
        <x:v>DHR-00569</x:v>
      </x:c>
      <x:c r="B570" t="str">
        <x:v>Robin Young</x:v>
      </x:c>
      <x:c r="C570" t="str">
        <x:v>https://api.dicebear.com/9.x/adventurer/png?seed=DHR-00569-Robin%20Young&amp;size=256&amp;radius=50&amp;backgroundColor=b6e3f4,c0aede,d1d4f9,ffd5dc,ffdfbf</x:v>
      </x:c>
      <x:c r="D570" t="str">
        <x:v>robin.young.569@example.com</x:v>
      </x:c>
      <x:c r="E570" t="str">
        <x:v>+1 (214) 555-0168</x:v>
      </x:c>
      <x:c r="F570" t="str">
        <x:v>Dallas, TX</x:v>
      </x:c>
      <x:c r="G570" t="str">
        <x:v>Dallas</x:v>
      </x:c>
      <x:c r="H570" t="str">
        <x:v>TX</x:v>
      </x:c>
      <x:c r="I570" s="18" t="str">
        <x:v>75201</x:v>
      </x:c>
      <x:c r="J570" s="15" t="n">
        <x:v>34445.05759174768</x:v>
      </x:c>
      <x:c r="K570" t="n">
        <x:f>INT((DATE(2025,12,31)-J570)/365.25)</x:f>
        <x:v>31</x:v>
      </x:c>
      <x:c r="L570" t="str">
        <x:f>IF(K570&lt;25,"18-24",IF(K570&lt;35,"25-34",IF(K570&lt;45,"35-44",IF(K570&lt;55,"45-54","55+"))))</x:f>
        <x:v>25-34</x:v>
      </x:c>
      <x:c r="M570" s="15" t="n">
        <x:v>45325.671723217594</x:v>
      </x:c>
      <x:c r="N570" t="n">
        <x:f>(YEAR(DATE(2025,12,31))-YEAR(M570))*12+MONTH(DATE(2025,12,31))-MONTH(M570)</x:f>
        <x:v>22</x:v>
      </x:c>
      <x:c r="O570" t="str">
        <x:v>ACTIVE</x:v>
      </x:c>
      <x:c r="P570" t="str">
        <x:v>INDEPENDENT_CONTRACTOR</x:v>
      </x:c>
      <x:c r="Q570" t="str">
        <x:v>CAR</x:v>
      </x:c>
      <x:c r="R570" t="str">
        <x:v>WEEKENDS</x:v>
      </x:c>
      <x:c r="S570" t="n">
        <x:v>48</x:v>
      </x:c>
      <x:c r="T570" t="str">
        <x:v>CLEARED</x:v>
      </x:c>
      <x:c r="U570" t="str">
        <x:v>VALID</x:v>
      </x:c>
      <x:c r="V570" s="16" t="n">
        <x:v>0.9807</x:v>
      </x:c>
      <x:c r="W570" t="str">
        <x:v>English</x:v>
      </x:c>
      <x:c r="X570"/>
      <x:c r="Y570" t="n">
        <x:v>3771</x:v>
      </x:c>
      <x:c r="Z570" s="17" t="n">
        <x:v>4.18</x:v>
      </x:c>
      <x:c r="AA570" s="16" t="n">
        <x:v>0.8866</x:v>
      </x:c>
      <x:c r="AB570" s="16" t="n">
        <x:v>0.8958</x:v>
      </x:c>
      <x:c r="AC570" s="16" t="n">
        <x:v>0.8698</x:v>
      </x:c>
      <x:c r="AD570" t="n">
        <x:v>0</x:v>
      </x:c>
      <x:c r="AE570" t="str">
        <x:f>IF(O570&lt;&gt;"ACTIVE","NOT_RATED",IF(AND(Z570&gt;=4.8,AB570&gt;=0.97,AC570&gt;=0.93,AD570=0),"ELITE",IF(AND(Z570&gt;=4.6,AB570&gt;=0.94,AC570&gt;=0.88),"HIGH_PERFORMER",IF(OR(Z570&lt;4.2,AB570&lt;0.85,AD570&gt;=2),"AT_RISK","STANDARD"))))</x:f>
        <x:v>AT_RISK</x:v>
      </x:c>
      <x:c r="AF570" s="15" t="n">
        <x:v>46019</x:v>
      </x:c>
      <x:c r="AG570" t="str">
        <x:v>VERIFIED</x:v>
      </x:c>
      <x:c r="AH570" t="str">
        <x:v>PENDING</x:v>
      </x:c>
      <x:c r="AI570" t="str">
        <x:v>Robin Johnson</x:v>
      </x:c>
      <x:c r="AJ570" t="str">
        <x:v>SIBLING</x:v>
      </x:c>
      <x:c r="AK570" t="str">
        <x:v>+1 (214) 555-0199</x:v>
      </x:c>
    </x:row>
    <x:row r="571" ht="18" customHeight="1">
      <x:c r="A571" t="str">
        <x:v>DHR-00570</x:v>
      </x:c>
      <x:c r="B571" t="str">
        <x:v>Sam Anderson</x:v>
      </x:c>
      <x:c r="C571" t="str">
        <x:v>https://api.dicebear.com/9.x/adventurer/png?seed=DHR-00570-Sam%20Anderson&amp;size=256&amp;radius=50&amp;backgroundColor=b6e3f4,c0aede,d1d4f9,ffd5dc,ffdfbf</x:v>
      </x:c>
      <x:c r="D571" t="str">
        <x:v>sam.anderson.570@example.com</x:v>
      </x:c>
      <x:c r="E571" t="str">
        <x:v>+1 (612) 555-0169</x:v>
      </x:c>
      <x:c r="F571" t="str">
        <x:v>Minneapolis, MN</x:v>
      </x:c>
      <x:c r="G571" t="str">
        <x:v>Minneapolis</x:v>
      </x:c>
      <x:c r="H571" t="str">
        <x:v>MN</x:v>
      </x:c>
      <x:c r="I571" s="18" t="str">
        <x:v>55401</x:v>
      </x:c>
      <x:c r="J571" s="15" t="n">
        <x:v>28493.04272892361</x:v>
      </x:c>
      <x:c r="K571" t="n">
        <x:f>INT((DATE(2025,12,31)-J571)/365.25)</x:f>
        <x:v>47</x:v>
      </x:c>
      <x:c r="L571" t="str">
        <x:f>IF(K571&lt;25,"18-24",IF(K571&lt;35,"25-34",IF(K571&lt;45,"35-44",IF(K571&lt;55,"45-54","55+"))))</x:f>
        <x:v>45-54</x:v>
      </x:c>
      <x:c r="M571" s="15" t="n">
        <x:v>43786.12385643519</x:v>
      </x:c>
      <x:c r="N571" t="n">
        <x:f>(YEAR(DATE(2025,12,31))-YEAR(M571))*12+MONTH(DATE(2025,12,31))-MONTH(M571)</x:f>
        <x:v>73</x:v>
      </x:c>
      <x:c r="O571" t="str">
        <x:v>ACTIVE</x:v>
      </x:c>
      <x:c r="P571" t="str">
        <x:v>INDEPENDENT_CONTRACTOR</x:v>
      </x:c>
      <x:c r="Q571" t="str">
        <x:v>CAR</x:v>
      </x:c>
      <x:c r="R571" t="str">
        <x:v>LUNCH</x:v>
      </x:c>
      <x:c r="S571" t="n">
        <x:v>37</x:v>
      </x:c>
      <x:c r="T571" t="str">
        <x:v>CLEARED</x:v>
      </x:c>
      <x:c r="U571" t="str">
        <x:v>VALID</x:v>
      </x:c>
      <x:c r="V571" s="16" t="n">
        <x:v>0.9686</x:v>
      </x:c>
      <x:c r="W571" t="str">
        <x:v>English</x:v>
      </x:c>
      <x:c r="X571" t="str">
        <x:v>Spanish</x:v>
      </x:c>
      <x:c r="Y571" t="n">
        <x:v>8281</x:v>
      </x:c>
      <x:c r="Z571" s="17" t="n">
        <x:v>4.43</x:v>
      </x:c>
      <x:c r="AA571" s="16" t="n">
        <x:v>0.8354</x:v>
      </x:c>
      <x:c r="AB571" s="16" t="n">
        <x:v>0.9646</x:v>
      </x:c>
      <x:c r="AC571" s="16" t="n">
        <x:v>0.995</x:v>
      </x:c>
      <x:c r="AD571" t="n">
        <x:v>0</x:v>
      </x:c>
      <x:c r="AE571" t="str">
        <x:f>IF(O571&lt;&gt;"ACTIVE","NOT_RATED",IF(AND(Z571&gt;=4.8,AB571&gt;=0.97,AC571&gt;=0.93,AD571=0),"ELITE",IF(AND(Z571&gt;=4.6,AB571&gt;=0.94,AC571&gt;=0.88),"HIGH_PERFORMER",IF(OR(Z571&lt;4.2,AB571&lt;0.85,AD571&gt;=2),"AT_RISK","STANDARD"))))</x:f>
        <x:v>STANDARD</x:v>
      </x:c>
      <x:c r="AF571" s="15" t="n">
        <x:v>46019</x:v>
      </x:c>
      <x:c r="AG571" t="str">
        <x:v>VERIFIED</x:v>
      </x:c>
      <x:c r="AH571" t="str">
        <x:v>COMPLETE</x:v>
      </x:c>
      <x:c r="AI571" t="str">
        <x:v>Cameron Taylor</x:v>
      </x:c>
      <x:c r="AJ571" t="str">
        <x:v>SPOUSE_PARTNER</x:v>
      </x:c>
      <x:c r="AK571" t="str">
        <x:v>+1 (612) 555-0106</x:v>
      </x:c>
    </x:row>
    <x:row r="572" ht="18" customHeight="1">
      <x:c r="A572" t="str">
        <x:v>DHR-00571</x:v>
      </x:c>
      <x:c r="B572" t="str">
        <x:v>Sam Clark</x:v>
      </x:c>
      <x:c r="C572" t="str">
        <x:v>https://api.dicebear.com/9.x/adventurer/png?seed=DHR-00571-Sam%20Clark&amp;size=256&amp;radius=50&amp;backgroundColor=b6e3f4,c0aede,d1d4f9,ffd5dc,ffdfbf</x:v>
      </x:c>
      <x:c r="D572" t="str">
        <x:v>sam.clark.571@example.com</x:v>
      </x:c>
      <x:c r="E572" t="str">
        <x:v>+1 (512) 555-0170</x:v>
      </x:c>
      <x:c r="F572" t="str">
        <x:v>Austin, TX</x:v>
      </x:c>
      <x:c r="G572" t="str">
        <x:v>Austin</x:v>
      </x:c>
      <x:c r="H572" t="str">
        <x:v>TX</x:v>
      </x:c>
      <x:c r="I572" s="18" t="str">
        <x:v>78701</x:v>
      </x:c>
      <x:c r="J572" s="15" t="n">
        <x:v>28934.57459652778</x:v>
      </x:c>
      <x:c r="K572" t="n">
        <x:f>INT((DATE(2025,12,31)-J572)/365.25)</x:f>
        <x:v>46</x:v>
      </x:c>
      <x:c r="L572" t="str">
        <x:f>IF(K572&lt;25,"18-24",IF(K572&lt;35,"25-34",IF(K572&lt;45,"35-44",IF(K572&lt;55,"45-54","55+"))))</x:f>
        <x:v>45-54</x:v>
      </x:c>
      <x:c r="M572" s="15" t="n">
        <x:v>44409.90538925926</x:v>
      </x:c>
      <x:c r="N572" t="n">
        <x:f>(YEAR(DATE(2025,12,31))-YEAR(M572))*12+MONTH(DATE(2025,12,31))-MONTH(M572)</x:f>
        <x:v>52</x:v>
      </x:c>
      <x:c r="O572" t="str">
        <x:v>ACTIVE</x:v>
      </x:c>
      <x:c r="P572" t="str">
        <x:v>INDEPENDENT_CONTRACTOR</x:v>
      </x:c>
      <x:c r="Q572" t="str">
        <x:v>CAR</x:v>
      </x:c>
      <x:c r="R572" t="str">
        <x:v>LUNCH</x:v>
      </x:c>
      <x:c r="S572" t="n">
        <x:v>41</x:v>
      </x:c>
      <x:c r="T572" t="str">
        <x:v>CLEARED</x:v>
      </x:c>
      <x:c r="U572" t="str">
        <x:v>VALID</x:v>
      </x:c>
      <x:c r="V572" s="16" t="n">
        <x:v>0.812</x:v>
      </x:c>
      <x:c r="W572" t="str">
        <x:v>Spanish</x:v>
      </x:c>
      <x:c r="X572" t="str">
        <x:v>English</x:v>
      </x:c>
      <x:c r="Y572" t="n">
        <x:v>5651</x:v>
      </x:c>
      <x:c r="Z572" s="17" t="n">
        <x:v>4.7</x:v>
      </x:c>
      <x:c r="AA572" s="16" t="n">
        <x:v>0.9709</x:v>
      </x:c>
      <x:c r="AB572" s="16" t="n">
        <x:v>0.998</x:v>
      </x:c>
      <x:c r="AC572" s="16" t="n">
        <x:v>0.8218</x:v>
      </x:c>
      <x:c r="AD572" t="n">
        <x:v>0</x:v>
      </x:c>
      <x:c r="AE572" t="str">
        <x:f>IF(O572&lt;&gt;"ACTIVE","NOT_RATED",IF(AND(Z572&gt;=4.8,AB572&gt;=0.97,AC572&gt;=0.93,AD572=0),"ELITE",IF(AND(Z572&gt;=4.6,AB572&gt;=0.94,AC572&gt;=0.88),"HIGH_PERFORMER",IF(OR(Z572&lt;4.2,AB572&lt;0.85,AD572&gt;=2),"AT_RISK","STANDARD"))))</x:f>
        <x:v>STANDARD</x:v>
      </x:c>
      <x:c r="AF572" s="15" t="n">
        <x:v>46022</x:v>
      </x:c>
      <x:c r="AG572" t="str">
        <x:v>VERIFIED</x:v>
      </x:c>
      <x:c r="AH572" t="str">
        <x:v>COMPLETE</x:v>
      </x:c>
      <x:c r="AI572" t="str">
        <x:v>Sofia Harris</x:v>
      </x:c>
      <x:c r="AJ572" t="str">
        <x:v>SIBLING</x:v>
      </x:c>
      <x:c r="AK572" t="str">
        <x:v>+1 (512) 555-0113</x:v>
      </x:c>
    </x:row>
    <x:row r="573" ht="18" customHeight="1">
      <x:c r="A573" t="str">
        <x:v>DHR-00572</x:v>
      </x:c>
      <x:c r="B573" t="str">
        <x:v>Sam Davis</x:v>
      </x:c>
      <x:c r="C573" t="str">
        <x:v>https://api.dicebear.com/9.x/adventurer/png?seed=DHR-00572-Sam%20Davis&amp;size=256&amp;radius=50&amp;backgroundColor=b6e3f4,c0aede,d1d4f9,ffd5dc,ffdfbf</x:v>
      </x:c>
      <x:c r="D573" t="str">
        <x:v>sam.davis.572@example.com</x:v>
      </x:c>
      <x:c r="E573" t="str">
        <x:v>+1 (215) 555-0171</x:v>
      </x:c>
      <x:c r="F573" t="str">
        <x:v>Philadelphia, PA</x:v>
      </x:c>
      <x:c r="G573" t="str">
        <x:v>Philadelphia</x:v>
      </x:c>
      <x:c r="H573" t="str">
        <x:v>PA</x:v>
      </x:c>
      <x:c r="I573" s="18" t="str">
        <x:v>19103</x:v>
      </x:c>
      <x:c r="J573" s="15" t="n">
        <x:v>26491.32631627315</x:v>
      </x:c>
      <x:c r="K573" t="n">
        <x:f>INT((DATE(2025,12,31)-J573)/365.25)</x:f>
        <x:v>53</x:v>
      </x:c>
      <x:c r="L573" t="str">
        <x:f>IF(K573&lt;25,"18-24",IF(K573&lt;35,"25-34",IF(K573&lt;45,"35-44",IF(K573&lt;55,"45-54","55+"))))</x:f>
        <x:v>45-54</x:v>
      </x:c>
      <x:c r="M573" s="15" t="n">
        <x:v>44989.05935483796</x:v>
      </x:c>
      <x:c r="N573" t="n">
        <x:f>(YEAR(DATE(2025,12,31))-YEAR(M573))*12+MONTH(DATE(2025,12,31))-MONTH(M573)</x:f>
        <x:v>33</x:v>
      </x:c>
      <x:c r="O573" t="str">
        <x:v>ACTIVE</x:v>
      </x:c>
      <x:c r="P573" t="str">
        <x:v>INDEPENDENT_CONTRACTOR</x:v>
      </x:c>
      <x:c r="Q573" t="str">
        <x:v>E_BIKE</x:v>
      </x:c>
      <x:c r="R573" t="str">
        <x:v>DINNER</x:v>
      </x:c>
      <x:c r="S573" t="n">
        <x:v>15</x:v>
      </x:c>
      <x:c r="T573" t="str">
        <x:v>CLEARED</x:v>
      </x:c>
      <x:c r="U573" t="str">
        <x:v>NOT_REQUIRED</x:v>
      </x:c>
      <x:c r="V573" s="16" t="n">
        <x:v>0.8673</x:v>
      </x:c>
      <x:c r="W573" t="str">
        <x:v>English</x:v>
      </x:c>
      <x:c r="X573"/>
      <x:c r="Y573" t="n">
        <x:v>1721</x:v>
      </x:c>
      <x:c r="Z573" s="17" t="n">
        <x:v>4.47</x:v>
      </x:c>
      <x:c r="AA573" s="16" t="n">
        <x:v>0.6173</x:v>
      </x:c>
      <x:c r="AB573" s="16" t="n">
        <x:v>0.9012</x:v>
      </x:c>
      <x:c r="AC573" s="16" t="n">
        <x:v>0.9517</x:v>
      </x:c>
      <x:c r="AD573" t="n">
        <x:v>0</x:v>
      </x:c>
      <x:c r="AE573" t="str">
        <x:f>IF(O573&lt;&gt;"ACTIVE","NOT_RATED",IF(AND(Z573&gt;=4.8,AB573&gt;=0.97,AC573&gt;=0.93,AD573=0),"ELITE",IF(AND(Z573&gt;=4.6,AB573&gt;=0.94,AC573&gt;=0.88),"HIGH_PERFORMER",IF(OR(Z573&lt;4.2,AB573&lt;0.85,AD573&gt;=2),"AT_RISK","STANDARD"))))</x:f>
        <x:v>STANDARD</x:v>
      </x:c>
      <x:c r="AF573" s="15" t="n">
        <x:v>46008</x:v>
      </x:c>
      <x:c r="AG573" t="str">
        <x:v>VERIFIED</x:v>
      </x:c>
      <x:c r="AH573" t="str">
        <x:v>COMPLETE</x:v>
      </x:c>
      <x:c r="AI573" t="str">
        <x:v>Mia Thompson</x:v>
      </x:c>
      <x:c r="AJ573" t="str">
        <x:v>PARENT</x:v>
      </x:c>
      <x:c r="AK573" t="str">
        <x:v>+1 (215) 555-0120</x:v>
      </x:c>
    </x:row>
    <x:row r="574" ht="18" customHeight="1">
      <x:c r="A574" t="str">
        <x:v>DHR-00573</x:v>
      </x:c>
      <x:c r="B574" t="str">
        <x:v>Sam Garcia</x:v>
      </x:c>
      <x:c r="C574" t="str">
        <x:v>https://api.dicebear.com/9.x/adventurer/png?seed=DHR-00573-Sam%20Garcia&amp;size=256&amp;radius=50&amp;backgroundColor=b6e3f4,c0aede,d1d4f9,ffd5dc,ffdfbf</x:v>
      </x:c>
      <x:c r="D574" t="str">
        <x:v>sam.garcia.573@example.com</x:v>
      </x:c>
      <x:c r="E574" t="str">
        <x:v>+1 (404) 555-0172</x:v>
      </x:c>
      <x:c r="F574" t="str">
        <x:v>Atlanta, GA</x:v>
      </x:c>
      <x:c r="G574" t="str">
        <x:v>Atlanta</x:v>
      </x:c>
      <x:c r="H574" t="str">
        <x:v>GA</x:v>
      </x:c>
      <x:c r="I574" s="18" t="str">
        <x:v>30303</x:v>
      </x:c>
      <x:c r="J574" s="15" t="n">
        <x:v>28118.151882488426</x:v>
      </x:c>
      <x:c r="K574" t="n">
        <x:f>INT((DATE(2025,12,31)-J574)/365.25)</x:f>
        <x:v>49</x:v>
      </x:c>
      <x:c r="L574" t="str">
        <x:f>IF(K574&lt;25,"18-24",IF(K574&lt;35,"25-34",IF(K574&lt;45,"35-44",IF(K574&lt;55,"45-54","55+"))))</x:f>
        <x:v>45-54</x:v>
      </x:c>
      <x:c r="M574" s="15" t="n">
        <x:v>43506.774633043984</x:v>
      </x:c>
      <x:c r="N574" t="n">
        <x:f>(YEAR(DATE(2025,12,31))-YEAR(M574))*12+MONTH(DATE(2025,12,31))-MONTH(M574)</x:f>
        <x:v>82</x:v>
      </x:c>
      <x:c r="O574" t="str">
        <x:v>ACTIVE</x:v>
      </x:c>
      <x:c r="P574" t="str">
        <x:v>INDEPENDENT_CONTRACTOR</x:v>
      </x:c>
      <x:c r="Q574" t="str">
        <x:v>CAR</x:v>
      </x:c>
      <x:c r="R574" t="str">
        <x:v>WEEKENDS</x:v>
      </x:c>
      <x:c r="S574" t="n">
        <x:v>12</x:v>
      </x:c>
      <x:c r="T574" t="str">
        <x:v>CLEARED</x:v>
      </x:c>
      <x:c r="U574" t="str">
        <x:v>VALID</x:v>
      </x:c>
      <x:c r="V574" s="16" t="n">
        <x:v>0.9851</x:v>
      </x:c>
      <x:c r="W574" t="str">
        <x:v>Vietnamese</x:v>
      </x:c>
      <x:c r="X574"/>
      <x:c r="Y574" t="n">
        <x:v>3461</x:v>
      </x:c>
      <x:c r="Z574" s="17" t="n">
        <x:v>4.51</x:v>
      </x:c>
      <x:c r="AA574" s="16" t="n">
        <x:v>0.6964</x:v>
      </x:c>
      <x:c r="AB574" s="16" t="n">
        <x:v>0.9317</x:v>
      </x:c>
      <x:c r="AC574" s="16" t="n">
        <x:v>0.9787</x:v>
      </x:c>
      <x:c r="AD574" t="n">
        <x:v>0</x:v>
      </x:c>
      <x:c r="AE574" t="str">
        <x:f>IF(O574&lt;&gt;"ACTIVE","NOT_RATED",IF(AND(Z574&gt;=4.8,AB574&gt;=0.97,AC574&gt;=0.93,AD574=0),"ELITE",IF(AND(Z574&gt;=4.6,AB574&gt;=0.94,AC574&gt;=0.88),"HIGH_PERFORMER",IF(OR(Z574&lt;4.2,AB574&lt;0.85,AD574&gt;=2),"AT_RISK","STANDARD"))))</x:f>
        <x:v>STANDARD</x:v>
      </x:c>
      <x:c r="AF574" s="15" t="n">
        <x:v>46016</x:v>
      </x:c>
      <x:c r="AG574" t="str">
        <x:v>VERIFIED</x:v>
      </x:c>
      <x:c r="AH574" t="str">
        <x:v>COMPLETE</x:v>
      </x:c>
      <x:c r="AI574" t="str">
        <x:v>Riley Lee</x:v>
      </x:c>
      <x:c r="AJ574" t="str">
        <x:v>OTHER</x:v>
      </x:c>
      <x:c r="AK574" t="str">
        <x:v>+1 (404) 555-0127</x:v>
      </x:c>
    </x:row>
    <x:row r="575" ht="18" customHeight="1">
      <x:c r="A575" t="str">
        <x:v>DHR-00574</x:v>
      </x:c>
      <x:c r="B575" t="str">
        <x:v>Sam Harris</x:v>
      </x:c>
      <x:c r="C575" t="str">
        <x:v>https://api.dicebear.com/9.x/adventurer/png?seed=DHR-00574-Sam%20Harris&amp;size=256&amp;radius=50&amp;backgroundColor=b6e3f4,c0aede,d1d4f9,ffd5dc,ffdfbf</x:v>
      </x:c>
      <x:c r="D575" t="str">
        <x:v>sam.harris.574@example.com</x:v>
      </x:c>
      <x:c r="E575" t="str">
        <x:v>+1 (212) 555-0173</x:v>
      </x:c>
      <x:c r="F575" t="str">
        <x:v>New York, NY</x:v>
      </x:c>
      <x:c r="G575" t="str">
        <x:v>New York</x:v>
      </x:c>
      <x:c r="H575" t="str">
        <x:v>NY</x:v>
      </x:c>
      <x:c r="I575" s="18" t="str">
        <x:v>10001</x:v>
      </x:c>
      <x:c r="J575" s="15" t="n">
        <x:v>32558.359314085646</x:v>
      </x:c>
      <x:c r="K575" t="n">
        <x:f>INT((DATE(2025,12,31)-J575)/365.25)</x:f>
        <x:v>36</x:v>
      </x:c>
      <x:c r="L575" t="str">
        <x:f>IF(K575&lt;25,"18-24",IF(K575&lt;35,"25-34",IF(K575&lt;45,"35-44",IF(K575&lt;55,"45-54","55+"))))</x:f>
        <x:v>35-44</x:v>
      </x:c>
      <x:c r="M575" s="15" t="n">
        <x:v>43684.89224006944</x:v>
      </x:c>
      <x:c r="N575" t="n">
        <x:f>(YEAR(DATE(2025,12,31))-YEAR(M575))*12+MONTH(DATE(2025,12,31))-MONTH(M575)</x:f>
        <x:v>76</x:v>
      </x:c>
      <x:c r="O575" t="str">
        <x:v>ACTIVE</x:v>
      </x:c>
      <x:c r="P575" t="str">
        <x:v>INDEPENDENT_CONTRACTOR</x:v>
      </x:c>
      <x:c r="Q575" t="str">
        <x:v>CAR</x:v>
      </x:c>
      <x:c r="R575" t="str">
        <x:v>FLEXIBLE</x:v>
      </x:c>
      <x:c r="S575" t="n">
        <x:v>37</x:v>
      </x:c>
      <x:c r="T575" t="str">
        <x:v>CLEARED</x:v>
      </x:c>
      <x:c r="U575" t="str">
        <x:v>VALID</x:v>
      </x:c>
      <x:c r="V575" s="16" t="n">
        <x:v>0.9176</x:v>
      </x:c>
      <x:c r="W575" t="str">
        <x:v>Spanish</x:v>
      </x:c>
      <x:c r="X575"/>
      <x:c r="Y575" t="n">
        <x:v>11057</x:v>
      </x:c>
      <x:c r="Z575" s="17" t="n">
        <x:v>4.73</x:v>
      </x:c>
      <x:c r="AA575" s="16" t="n">
        <x:v>0.9804</x:v>
      </x:c>
      <x:c r="AB575" s="16" t="n">
        <x:v>0.9722</x:v>
      </x:c>
      <x:c r="AC575" s="16" t="n">
        <x:v>0.9171</x:v>
      </x:c>
      <x:c r="AD575" t="n">
        <x:v>0</x:v>
      </x:c>
      <x:c r="AE575" t="str">
        <x:f>IF(O575&lt;&gt;"ACTIVE","NOT_RATED",IF(AND(Z575&gt;=4.8,AB575&gt;=0.97,AC575&gt;=0.93,AD575=0),"ELITE",IF(AND(Z575&gt;=4.6,AB575&gt;=0.94,AC575&gt;=0.88),"HIGH_PERFORMER",IF(OR(Z575&lt;4.2,AB575&lt;0.85,AD575&gt;=2),"AT_RISK","STANDARD"))))</x:f>
        <x:v>HIGH_PERFORMER</x:v>
      </x:c>
      <x:c r="AF575" s="15" t="n">
        <x:v>46010</x:v>
      </x:c>
      <x:c r="AG575" t="str">
        <x:v>VERIFIED</x:v>
      </x:c>
      <x:c r="AH575" t="str">
        <x:v>COMPLETE</x:v>
      </x:c>
      <x:c r="AI575" t="str">
        <x:v>Robin Anderson</x:v>
      </x:c>
      <x:c r="AJ575" t="str">
        <x:v>SPOUSE_PARTNER</x:v>
      </x:c>
      <x:c r="AK575" t="str">
        <x:v>+1 (212) 555-0134</x:v>
      </x:c>
    </x:row>
    <x:row r="576" ht="18" customHeight="1">
      <x:c r="A576" t="str">
        <x:v>DHR-00575</x:v>
      </x:c>
      <x:c r="B576" t="str">
        <x:v>Sam Jackson</x:v>
      </x:c>
      <x:c r="C576" t="str">
        <x:v>https://api.dicebear.com/9.x/adventurer/png?seed=DHR-00575-Sam%20Jackson&amp;size=256&amp;radius=50&amp;backgroundColor=b6e3f4,c0aede,d1d4f9,ffd5dc,ffdfbf</x:v>
      </x:c>
      <x:c r="D576" t="str">
        <x:v>sam.jackson.575@example.com</x:v>
      </x:c>
      <x:c r="E576" t="str">
        <x:v>+1 (213) 555-0174</x:v>
      </x:c>
      <x:c r="F576" t="str">
        <x:v>Los Angeles, CA</x:v>
      </x:c>
      <x:c r="G576" t="str">
        <x:v>Los Angeles</x:v>
      </x:c>
      <x:c r="H576" t="str">
        <x:v>CA</x:v>
      </x:c>
      <x:c r="I576" s="18" t="str">
        <x:v>90012</x:v>
      </x:c>
      <x:c r="J576" s="15" t="n">
        <x:v>31241.533303645832</x:v>
      </x:c>
      <x:c r="K576" t="n">
        <x:f>INT((DATE(2025,12,31)-J576)/365.25)</x:f>
        <x:v>40</x:v>
      </x:c>
      <x:c r="L576" t="str">
        <x:f>IF(K576&lt;25,"18-24",IF(K576&lt;35,"25-34",IF(K576&lt;45,"35-44",IF(K576&lt;55,"45-54","55+"))))</x:f>
        <x:v>35-44</x:v>
      </x:c>
      <x:c r="M576" s="15" t="n">
        <x:v>45741.04588052083</x:v>
      </x:c>
      <x:c r="N576" t="n">
        <x:f>(YEAR(DATE(2025,12,31))-YEAR(M576))*12+MONTH(DATE(2025,12,31))-MONTH(M576)</x:f>
        <x:v>9</x:v>
      </x:c>
      <x:c r="O576" t="str">
        <x:v>ACTIVE</x:v>
      </x:c>
      <x:c r="P576" t="str">
        <x:v>INDEPENDENT_CONTRACTOR</x:v>
      </x:c>
      <x:c r="Q576" t="str">
        <x:v>CAR</x:v>
      </x:c>
      <x:c r="R576" t="str">
        <x:v>FLEXIBLE</x:v>
      </x:c>
      <x:c r="S576" t="n">
        <x:v>47</x:v>
      </x:c>
      <x:c r="T576" t="str">
        <x:v>CLEARED</x:v>
      </x:c>
      <x:c r="U576" t="str">
        <x:v>VALID</x:v>
      </x:c>
      <x:c r="V576" s="16" t="n">
        <x:v>0.9011</x:v>
      </x:c>
      <x:c r="W576" t="str">
        <x:v>English</x:v>
      </x:c>
      <x:c r="X576"/>
      <x:c r="Y576" t="n">
        <x:v>893</x:v>
      </x:c>
      <x:c r="Z576" s="17" t="n">
        <x:v>4.52</x:v>
      </x:c>
      <x:c r="AA576" s="16" t="n">
        <x:v>0.808</x:v>
      </x:c>
      <x:c r="AB576" s="16" t="n">
        <x:v>0.9734</x:v>
      </x:c>
      <x:c r="AC576" s="16" t="n">
        <x:v>0.9079</x:v>
      </x:c>
      <x:c r="AD576" t="n">
        <x:v>0</x:v>
      </x:c>
      <x:c r="AE576" t="str">
        <x:f>IF(O576&lt;&gt;"ACTIVE","NOT_RATED",IF(AND(Z576&gt;=4.8,AB576&gt;=0.97,AC576&gt;=0.93,AD576=0),"ELITE",IF(AND(Z576&gt;=4.6,AB576&gt;=0.94,AC576&gt;=0.88),"HIGH_PERFORMER",IF(OR(Z576&lt;4.2,AB576&lt;0.85,AD576&gt;=2),"AT_RISK","STANDARD"))))</x:f>
        <x:v>STANDARD</x:v>
      </x:c>
      <x:c r="AF576" s="15" t="n">
        <x:v>46021</x:v>
      </x:c>
      <x:c r="AG576" t="str">
        <x:v>VERIFIED</x:v>
      </x:c>
      <x:c r="AH576" t="str">
        <x:v>COMPLETE</x:v>
      </x:c>
      <x:c r="AI576" t="str">
        <x:v>Jordan Davis</x:v>
      </x:c>
      <x:c r="AJ576" t="str">
        <x:v>SPOUSE_PARTNER</x:v>
      </x:c>
      <x:c r="AK576" t="str">
        <x:v>+1 (213) 555-0141</x:v>
      </x:c>
    </x:row>
    <x:row r="577" ht="18" customHeight="1">
      <x:c r="A577" t="str">
        <x:v>DHR-00576</x:v>
      </x:c>
      <x:c r="B577" t="str">
        <x:v>Sam Johnson</x:v>
      </x:c>
      <x:c r="C577" t="str">
        <x:v>https://api.dicebear.com/9.x/adventurer/png?seed=DHR-00576-Sam%20Johnson&amp;size=256&amp;radius=50&amp;backgroundColor=b6e3f4,c0aede,d1d4f9,ffd5dc,ffdfbf</x:v>
      </x:c>
      <x:c r="D577" t="str">
        <x:v>sam.johnson.576@example.com</x:v>
      </x:c>
      <x:c r="E577" t="str">
        <x:v>+1 (206) 555-0175</x:v>
      </x:c>
      <x:c r="F577" t="str">
        <x:v>Seattle, WA</x:v>
      </x:c>
      <x:c r="G577" t="str">
        <x:v>Seattle</x:v>
      </x:c>
      <x:c r="H577" t="str">
        <x:v>WA</x:v>
      </x:c>
      <x:c r="I577" s="18" t="str">
        <x:v>98101</x:v>
      </x:c>
      <x:c r="J577" s="15" t="n">
        <x:v>25313.02913244213</x:v>
      </x:c>
      <x:c r="K577" t="n">
        <x:f>INT((DATE(2025,12,31)-J577)/365.25)</x:f>
        <x:v>56</x:v>
      </x:c>
      <x:c r="L577" t="str">
        <x:f>IF(K577&lt;25,"18-24",IF(K577&lt;35,"25-34",IF(K577&lt;45,"35-44",IF(K577&lt;55,"45-54","55+"))))</x:f>
        <x:v>55+</x:v>
      </x:c>
      <x:c r="M577" s="15" t="n">
        <x:v>45640.6180215625</x:v>
      </x:c>
      <x:c r="N577" t="n">
        <x:f>(YEAR(DATE(2025,12,31))-YEAR(M577))*12+MONTH(DATE(2025,12,31))-MONTH(M577)</x:f>
        <x:v>12</x:v>
      </x:c>
      <x:c r="O577" t="str">
        <x:v>ACTIVE</x:v>
      </x:c>
      <x:c r="P577" t="str">
        <x:v>INDEPENDENT_CONTRACTOR</x:v>
      </x:c>
      <x:c r="Q577" t="str">
        <x:v>CAR</x:v>
      </x:c>
      <x:c r="R577" t="str">
        <x:v>LUNCH</x:v>
      </x:c>
      <x:c r="S577" t="n">
        <x:v>43</x:v>
      </x:c>
      <x:c r="T577" t="str">
        <x:v>CLEARED</x:v>
      </x:c>
      <x:c r="U577" t="str">
        <x:v>VALID</x:v>
      </x:c>
      <x:c r="V577" s="16" t="n">
        <x:v>0.9502</x:v>
      </x:c>
      <x:c r="W577" t="str">
        <x:v>Spanish</x:v>
      </x:c>
      <x:c r="X577"/>
      <x:c r="Y577" t="n">
        <x:v>1558</x:v>
      </x:c>
      <x:c r="Z577" s="17" t="n">
        <x:v>4.42</x:v>
      </x:c>
      <x:c r="AA577" s="16" t="n">
        <x:v>0.7012</x:v>
      </x:c>
      <x:c r="AB577" s="16" t="n">
        <x:v>0.9455</x:v>
      </x:c>
      <x:c r="AC577" s="16" t="n">
        <x:v>0.8972</x:v>
      </x:c>
      <x:c r="AD577" t="n">
        <x:v>0</x:v>
      </x:c>
      <x:c r="AE577" t="str">
        <x:f>IF(O577&lt;&gt;"ACTIVE","NOT_RATED",IF(AND(Z577&gt;=4.8,AB577&gt;=0.97,AC577&gt;=0.93,AD577=0),"ELITE",IF(AND(Z577&gt;=4.6,AB577&gt;=0.94,AC577&gt;=0.88),"HIGH_PERFORMER",IF(OR(Z577&lt;4.2,AB577&lt;0.85,AD577&gt;=2),"AT_RISK","STANDARD"))))</x:f>
        <x:v>STANDARD</x:v>
      </x:c>
      <x:c r="AF577" s="15" t="n">
        <x:v>46012</x:v>
      </x:c>
      <x:c r="AG577" t="str">
        <x:v>VERIFIED</x:v>
      </x:c>
      <x:c r="AH577" t="str">
        <x:v>COMPLETE</x:v>
      </x:c>
      <x:c r="AI577" t="str">
        <x:v>Reese Rodriguez</x:v>
      </x:c>
      <x:c r="AJ577" t="str">
        <x:v>SIBLING</x:v>
      </x:c>
      <x:c r="AK577" t="str">
        <x:v>+1 (206) 555-0148</x:v>
      </x:c>
    </x:row>
    <x:row r="578" ht="18" customHeight="1">
      <x:c r="A578" t="str">
        <x:v>DHR-00577</x:v>
      </x:c>
      <x:c r="B578" t="str">
        <x:v>Sam Jones</x:v>
      </x:c>
      <x:c r="C578" t="str">
        <x:v>https://api.dicebear.com/9.x/adventurer/png?seed=DHR-00577-Sam%20Jones&amp;size=256&amp;radius=50&amp;backgroundColor=b6e3f4,c0aede,d1d4f9,ffd5dc,ffdfbf</x:v>
      </x:c>
      <x:c r="D578" t="str">
        <x:v>sam.jones.577@example.com</x:v>
      </x:c>
      <x:c r="E578" t="str">
        <x:v>+1 (212) 555-0176</x:v>
      </x:c>
      <x:c r="F578" t="str">
        <x:v>New York, NY</x:v>
      </x:c>
      <x:c r="G578" t="str">
        <x:v>New York</x:v>
      </x:c>
      <x:c r="H578" t="str">
        <x:v>NY</x:v>
      </x:c>
      <x:c r="I578" s="18" t="str">
        <x:v>10001</x:v>
      </x:c>
      <x:c r="J578" s="15" t="n">
        <x:v>25714.139967256946</x:v>
      </x:c>
      <x:c r="K578" t="n">
        <x:f>INT((DATE(2025,12,31)-J578)/365.25)</x:f>
        <x:v>55</x:v>
      </x:c>
      <x:c r="L578" t="str">
        <x:f>IF(K578&lt;25,"18-24",IF(K578&lt;35,"25-34",IF(K578&lt;45,"35-44",IF(K578&lt;55,"45-54","55+"))))</x:f>
        <x:v>55+</x:v>
      </x:c>
      <x:c r="M578" s="15" t="n">
        <x:v>43858.371789467594</x:v>
      </x:c>
      <x:c r="N578" t="n">
        <x:f>(YEAR(DATE(2025,12,31))-YEAR(M578))*12+MONTH(DATE(2025,12,31))-MONTH(M578)</x:f>
        <x:v>71</x:v>
      </x:c>
      <x:c r="O578" t="str">
        <x:v>ACTIVE</x:v>
      </x:c>
      <x:c r="P578" t="str">
        <x:v>INDEPENDENT_CONTRACTOR</x:v>
      </x:c>
      <x:c r="Q578" t="str">
        <x:v>CAR</x:v>
      </x:c>
      <x:c r="R578" t="str">
        <x:v>DINNER</x:v>
      </x:c>
      <x:c r="S578" t="n">
        <x:v>44</x:v>
      </x:c>
      <x:c r="T578" t="str">
        <x:v>CLEARED</x:v>
      </x:c>
      <x:c r="U578" t="str">
        <x:v>VALID</x:v>
      </x:c>
      <x:c r="V578" s="16" t="n">
        <x:v>0.8301</x:v>
      </x:c>
      <x:c r="W578" t="str">
        <x:v>Spanish</x:v>
      </x:c>
      <x:c r="X578"/>
      <x:c r="Y578" t="n">
        <x:v>12916</x:v>
      </x:c>
      <x:c r="Z578" s="17" t="n">
        <x:v>4.49</x:v>
      </x:c>
      <x:c r="AA578" s="16" t="n">
        <x:v>0.8383</x:v>
      </x:c>
      <x:c r="AB578" s="16" t="n">
        <x:v>0.954</x:v>
      </x:c>
      <x:c r="AC578" s="16" t="n">
        <x:v>0.8767</x:v>
      </x:c>
      <x:c r="AD578" t="n">
        <x:v>0</x:v>
      </x:c>
      <x:c r="AE578" t="str">
        <x:f>IF(O578&lt;&gt;"ACTIVE","NOT_RATED",IF(AND(Z578&gt;=4.8,AB578&gt;=0.97,AC578&gt;=0.93,AD578=0),"ELITE",IF(AND(Z578&gt;=4.6,AB578&gt;=0.94,AC578&gt;=0.88),"HIGH_PERFORMER",IF(OR(Z578&lt;4.2,AB578&lt;0.85,AD578&gt;=2),"AT_RISK","STANDARD"))))</x:f>
        <x:v>STANDARD</x:v>
      </x:c>
      <x:c r="AF578" s="15" t="n">
        <x:v>46008</x:v>
      </x:c>
      <x:c r="AG578" t="str">
        <x:v>VERIFIED</x:v>
      </x:c>
      <x:c r="AH578" t="str">
        <x:v>COMPLETE</x:v>
      </x:c>
      <x:c r="AI578" t="str">
        <x:v>Devin Jones</x:v>
      </x:c>
      <x:c r="AJ578" t="str">
        <x:v>PARENT</x:v>
      </x:c>
      <x:c r="AK578" t="str">
        <x:v>+1 (212) 555-0155</x:v>
      </x:c>
    </x:row>
    <x:row r="579" ht="18" customHeight="1">
      <x:c r="A579" t="str">
        <x:v>DHR-00578</x:v>
      </x:c>
      <x:c r="B579" t="str">
        <x:v>Sam Lewis</x:v>
      </x:c>
      <x:c r="C579" t="str">
        <x:v>https://api.dicebear.com/9.x/adventurer/png?seed=DHR-00578-Sam%20Lewis&amp;size=256&amp;radius=50&amp;backgroundColor=b6e3f4,c0aede,d1d4f9,ffd5dc,ffdfbf</x:v>
      </x:c>
      <x:c r="D579" t="str">
        <x:v>sam.lewis.578@example.com</x:v>
      </x:c>
      <x:c r="E579" t="str">
        <x:v>+1 (512) 555-0177</x:v>
      </x:c>
      <x:c r="F579" t="str">
        <x:v>Austin, TX</x:v>
      </x:c>
      <x:c r="G579" t="str">
        <x:v>Austin</x:v>
      </x:c>
      <x:c r="H579" t="str">
        <x:v>TX</x:v>
      </x:c>
      <x:c r="I579" s="18" t="str">
        <x:v>78701</x:v>
      </x:c>
      <x:c r="J579" s="15" t="n">
        <x:v>30856.950074953704</x:v>
      </x:c>
      <x:c r="K579" t="n">
        <x:f>INT((DATE(2025,12,31)-J579)/365.25)</x:f>
        <x:v>41</x:v>
      </x:c>
      <x:c r="L579" t="str">
        <x:f>IF(K579&lt;25,"18-24",IF(K579&lt;35,"25-34",IF(K579&lt;45,"35-44",IF(K579&lt;55,"45-54","55+"))))</x:f>
        <x:v>35-44</x:v>
      </x:c>
      <x:c r="M579" s="15" t="n">
        <x:v>45134.97881086806</x:v>
      </x:c>
      <x:c r="N579" t="n">
        <x:f>(YEAR(DATE(2025,12,31))-YEAR(M579))*12+MONTH(DATE(2025,12,31))-MONTH(M579)</x:f>
        <x:v>29</x:v>
      </x:c>
      <x:c r="O579" t="str">
        <x:v>ACTIVE</x:v>
      </x:c>
      <x:c r="P579" t="str">
        <x:v>INDEPENDENT_CONTRACTOR</x:v>
      </x:c>
      <x:c r="Q579" t="str">
        <x:v>BICYCLE</x:v>
      </x:c>
      <x:c r="R579" t="str">
        <x:v>FLEXIBLE</x:v>
      </x:c>
      <x:c r="S579" t="n">
        <x:v>35</x:v>
      </x:c>
      <x:c r="T579" t="str">
        <x:v>CLEARED</x:v>
      </x:c>
      <x:c r="U579" t="str">
        <x:v>NOT_REQUIRED</x:v>
      </x:c>
      <x:c r="V579" s="16" t="n">
        <x:v>0.9072</x:v>
      </x:c>
      <x:c r="W579" t="str">
        <x:v>English</x:v>
      </x:c>
      <x:c r="X579" t="str">
        <x:v>Spanish</x:v>
      </x:c>
      <x:c r="Y579" t="n">
        <x:v>3344</x:v>
      </x:c>
      <x:c r="Z579" s="17" t="n">
        <x:v>4.61</x:v>
      </x:c>
      <x:c r="AA579" s="16" t="n">
        <x:v>0.9429</x:v>
      </x:c>
      <x:c r="AB579" s="16" t="n">
        <x:v>0.9402</x:v>
      </x:c>
      <x:c r="AC579" s="16" t="n">
        <x:v>0.913</x:v>
      </x:c>
      <x:c r="AD579" t="n">
        <x:v>0</x:v>
      </x:c>
      <x:c r="AE579" t="str">
        <x:f>IF(O579&lt;&gt;"ACTIVE","NOT_RATED",IF(AND(Z579&gt;=4.8,AB579&gt;=0.97,AC579&gt;=0.93,AD579=0),"ELITE",IF(AND(Z579&gt;=4.6,AB579&gt;=0.94,AC579&gt;=0.88),"HIGH_PERFORMER",IF(OR(Z579&lt;4.2,AB579&lt;0.85,AD579&gt;=2),"AT_RISK","STANDARD"))))</x:f>
        <x:v>HIGH_PERFORMER</x:v>
      </x:c>
      <x:c r="AF579" s="15" t="n">
        <x:v>46022</x:v>
      </x:c>
      <x:c r="AG579" t="str">
        <x:v>VERIFIED</x:v>
      </x:c>
      <x:c r="AH579" t="str">
        <x:v>COMPLETE</x:v>
      </x:c>
      <x:c r="AI579" t="str">
        <x:v>Mateo Taylor</x:v>
      </x:c>
      <x:c r="AJ579" t="str">
        <x:v>OTHER</x:v>
      </x:c>
      <x:c r="AK579" t="str">
        <x:v>+1 (512) 555-0162</x:v>
      </x:c>
    </x:row>
    <x:row r="580" ht="18" customHeight="1">
      <x:c r="A580" t="str">
        <x:v>DHR-00579</x:v>
      </x:c>
      <x:c r="B580" t="str">
        <x:v>Sam Martin</x:v>
      </x:c>
      <x:c r="C580" t="str">
        <x:v>https://api.dicebear.com/9.x/adventurer/png?seed=DHR-00579-Sam%20Martin&amp;size=256&amp;radius=50&amp;backgroundColor=b6e3f4,c0aede,d1d4f9,ffd5dc,ffdfbf</x:v>
      </x:c>
      <x:c r="D580" t="str">
        <x:v>sam.martin.579@example.com</x:v>
      </x:c>
      <x:c r="E580" t="str">
        <x:v>+1 (312) 555-0178</x:v>
      </x:c>
      <x:c r="F580" t="str">
        <x:v>Chicago, IL</x:v>
      </x:c>
      <x:c r="G580" t="str">
        <x:v>Chicago</x:v>
      </x:c>
      <x:c r="H580" t="str">
        <x:v>IL</x:v>
      </x:c>
      <x:c r="I580" s="18" t="str">
        <x:v>60601</x:v>
      </x:c>
      <x:c r="J580" s="15" t="n">
        <x:v>33162.660057280096</x:v>
      </x:c>
      <x:c r="K580" t="n">
        <x:f>INT((DATE(2025,12,31)-J580)/365.25)</x:f>
        <x:v>35</x:v>
      </x:c>
      <x:c r="L580" t="str">
        <x:f>IF(K580&lt;25,"18-24",IF(K580&lt;35,"25-34",IF(K580&lt;45,"35-44",IF(K580&lt;55,"45-54","55+"))))</x:f>
        <x:v>35-44</x:v>
      </x:c>
      <x:c r="M580" s="15" t="n">
        <x:v>43969.83443865741</x:v>
      </x:c>
      <x:c r="N580" t="n">
        <x:f>(YEAR(DATE(2025,12,31))-YEAR(M580))*12+MONTH(DATE(2025,12,31))-MONTH(M580)</x:f>
        <x:v>67</x:v>
      </x:c>
      <x:c r="O580" t="str">
        <x:v>ACTIVE</x:v>
      </x:c>
      <x:c r="P580" t="str">
        <x:v>INDEPENDENT_CONTRACTOR</x:v>
      </x:c>
      <x:c r="Q580" t="str">
        <x:v>CAR</x:v>
      </x:c>
      <x:c r="R580" t="str">
        <x:v>FLEXIBLE</x:v>
      </x:c>
      <x:c r="S580" t="n">
        <x:v>12</x:v>
      </x:c>
      <x:c r="T580" t="str">
        <x:v>CLEARED</x:v>
      </x:c>
      <x:c r="U580" t="str">
        <x:v>VALID</x:v>
      </x:c>
      <x:c r="V580" s="16" t="n">
        <x:v>0.8427</x:v>
      </x:c>
      <x:c r="W580" t="str">
        <x:v>English</x:v>
      </x:c>
      <x:c r="X580"/>
      <x:c r="Y580" t="n">
        <x:v>1304</x:v>
      </x:c>
      <x:c r="Z580" s="17" t="n">
        <x:v>4.96</x:v>
      </x:c>
      <x:c r="AA580" s="16" t="n">
        <x:v>0.6537</x:v>
      </x:c>
      <x:c r="AB580" s="16" t="n">
        <x:v>0.9456</x:v>
      </x:c>
      <x:c r="AC580" s="16" t="n">
        <x:v>0.9358</x:v>
      </x:c>
      <x:c r="AD580" t="n">
        <x:v>0</x:v>
      </x:c>
      <x:c r="AE580" t="str">
        <x:f>IF(O580&lt;&gt;"ACTIVE","NOT_RATED",IF(AND(Z580&gt;=4.8,AB580&gt;=0.97,AC580&gt;=0.93,AD580=0),"ELITE",IF(AND(Z580&gt;=4.6,AB580&gt;=0.94,AC580&gt;=0.88),"HIGH_PERFORMER",IF(OR(Z580&lt;4.2,AB580&lt;0.85,AD580&gt;=2),"AT_RISK","STANDARD"))))</x:f>
        <x:v>HIGH_PERFORMER</x:v>
      </x:c>
      <x:c r="AF580" s="15" t="n">
        <x:v>46018</x:v>
      </x:c>
      <x:c r="AG580" t="str">
        <x:v>VERIFIED</x:v>
      </x:c>
      <x:c r="AH580" t="str">
        <x:v>COMPLETE</x:v>
      </x:c>
      <x:c r="AI580" t="str">
        <x:v>Cameron Anderson</x:v>
      </x:c>
      <x:c r="AJ580" t="str">
        <x:v>PARENT</x:v>
      </x:c>
      <x:c r="AK580" t="str">
        <x:v>+1 (312) 555-0169</x:v>
      </x:c>
    </x:row>
    <x:row r="581" ht="18" customHeight="1">
      <x:c r="A581" t="str">
        <x:v>DHR-00580</x:v>
      </x:c>
      <x:c r="B581" t="str">
        <x:v>Sam Martinez</x:v>
      </x:c>
      <x:c r="C581" t="str">
        <x:v>https://api.dicebear.com/9.x/adventurer/png?seed=DHR-00580-Sam%20Martinez&amp;size=256&amp;radius=50&amp;backgroundColor=b6e3f4,c0aede,d1d4f9,ffd5dc,ffdfbf</x:v>
      </x:c>
      <x:c r="D581" t="str">
        <x:v>sam.martinez.580@example.com</x:v>
      </x:c>
      <x:c r="E581" t="str">
        <x:v>+1 (713) 555-0179</x:v>
      </x:c>
      <x:c r="F581" t="str">
        <x:v>Houston, TX</x:v>
      </x:c>
      <x:c r="G581" t="str">
        <x:v>Houston</x:v>
      </x:c>
      <x:c r="H581" t="str">
        <x:v>TX</x:v>
      </x:c>
      <x:c r="I581" s="18" t="str">
        <x:v>77002</x:v>
      </x:c>
      <x:c r="J581" s="15" t="n">
        <x:v>24512.96947277778</x:v>
      </x:c>
      <x:c r="K581" t="n">
        <x:f>INT((DATE(2025,12,31)-J581)/365.25)</x:f>
        <x:v>58</x:v>
      </x:c>
      <x:c r="L581" t="str">
        <x:f>IF(K581&lt;25,"18-24",IF(K581&lt;35,"25-34",IF(K581&lt;45,"35-44",IF(K581&lt;55,"45-54","55+"))))</x:f>
        <x:v>55+</x:v>
      </x:c>
      <x:c r="M581" s="15" t="n">
        <x:v>45955.1197971875</x:v>
      </x:c>
      <x:c r="N581" t="n">
        <x:f>(YEAR(DATE(2025,12,31))-YEAR(M581))*12+MONTH(DATE(2025,12,31))-MONTH(M581)</x:f>
        <x:v>2</x:v>
      </x:c>
      <x:c r="O581" t="str">
        <x:v>ACTIVE</x:v>
      </x:c>
      <x:c r="P581" t="str">
        <x:v>INDEPENDENT_CONTRACTOR</x:v>
      </x:c>
      <x:c r="Q581" t="str">
        <x:v>E_BIKE</x:v>
      </x:c>
      <x:c r="R581" t="str">
        <x:v>LUNCH</x:v>
      </x:c>
      <x:c r="S581" t="n">
        <x:v>26</x:v>
      </x:c>
      <x:c r="T581" t="str">
        <x:v>CLEARED</x:v>
      </x:c>
      <x:c r="U581" t="str">
        <x:v>NOT_REQUIRED</x:v>
      </x:c>
      <x:c r="V581" s="16" t="n">
        <x:v>0.8037</x:v>
      </x:c>
      <x:c r="W581" t="str">
        <x:v>English</x:v>
      </x:c>
      <x:c r="X581"/>
      <x:c r="Y581" t="n">
        <x:v>183</x:v>
      </x:c>
      <x:c r="Z581" s="17" t="n">
        <x:v>4.69</x:v>
      </x:c>
      <x:c r="AA581" s="16" t="n">
        <x:v>0.9094</x:v>
      </x:c>
      <x:c r="AB581" s="16" t="n">
        <x:v>0.9559</x:v>
      </x:c>
      <x:c r="AC581" s="16" t="n">
        <x:v>0.8507</x:v>
      </x:c>
      <x:c r="AD581" t="n">
        <x:v>0</x:v>
      </x:c>
      <x:c r="AE581" t="str">
        <x:f>IF(O581&lt;&gt;"ACTIVE","NOT_RATED",IF(AND(Z581&gt;=4.8,AB581&gt;=0.97,AC581&gt;=0.93,AD581=0),"ELITE",IF(AND(Z581&gt;=4.6,AB581&gt;=0.94,AC581&gt;=0.88),"HIGH_PERFORMER",IF(OR(Z581&lt;4.2,AB581&lt;0.85,AD581&gt;=2),"AT_RISK","STANDARD"))))</x:f>
        <x:v>STANDARD</x:v>
      </x:c>
      <x:c r="AF581" s="15" t="n">
        <x:v>46020</x:v>
      </x:c>
      <x:c r="AG581" t="str">
        <x:v>VERIFIED</x:v>
      </x:c>
      <x:c r="AH581" t="str">
        <x:v>COMPLETE</x:v>
      </x:c>
      <x:c r="AI581" t="str">
        <x:v>Avery Rodriguez</x:v>
      </x:c>
      <x:c r="AJ581" t="str">
        <x:v>SIBLING</x:v>
      </x:c>
      <x:c r="AK581" t="str">
        <x:v>+1 (713) 555-0176</x:v>
      </x:c>
    </x:row>
    <x:row r="582" ht="18" customHeight="1">
      <x:c r="A582" t="str">
        <x:v>DHR-00581</x:v>
      </x:c>
      <x:c r="B582" t="str">
        <x:v>Sam Miller</x:v>
      </x:c>
      <x:c r="C582" t="str">
        <x:v>https://api.dicebear.com/9.x/adventurer/png?seed=DHR-00581-Sam%20Miller&amp;size=256&amp;radius=50&amp;backgroundColor=b6e3f4,c0aede,d1d4f9,ffd5dc,ffdfbf</x:v>
      </x:c>
      <x:c r="D582" t="str">
        <x:v>sam.miller.581@example.com</x:v>
      </x:c>
      <x:c r="E582" t="str">
        <x:v>+1 (713) 555-0180</x:v>
      </x:c>
      <x:c r="F582" t="str">
        <x:v>Houston, TX</x:v>
      </x:c>
      <x:c r="G582" t="str">
        <x:v>Houston</x:v>
      </x:c>
      <x:c r="H582" t="str">
        <x:v>TX</x:v>
      </x:c>
      <x:c r="I582" s="18" t="str">
        <x:v>77002</x:v>
      </x:c>
      <x:c r="J582" s="15" t="n">
        <x:v>32193.945070972222</x:v>
      </x:c>
      <x:c r="K582" t="n">
        <x:f>INT((DATE(2025,12,31)-J582)/365.25)</x:f>
        <x:v>37</x:v>
      </x:c>
      <x:c r="L582" t="str">
        <x:f>IF(K582&lt;25,"18-24",IF(K582&lt;35,"25-34",IF(K582&lt;45,"35-44",IF(K582&lt;55,"45-54","55+"))))</x:f>
        <x:v>35-44</x:v>
      </x:c>
      <x:c r="M582" s="15" t="n">
        <x:v>45609.54575460648</x:v>
      </x:c>
      <x:c r="N582" t="n">
        <x:f>(YEAR(DATE(2025,12,31))-YEAR(M582))*12+MONTH(DATE(2025,12,31))-MONTH(M582)</x:f>
        <x:v>13</x:v>
      </x:c>
      <x:c r="O582" t="str">
        <x:v>PAUSED</x:v>
      </x:c>
      <x:c r="P582" t="str">
        <x:v>INDEPENDENT_CONTRACTOR</x:v>
      </x:c>
      <x:c r="Q582" t="str">
        <x:v>CAR</x:v>
      </x:c>
      <x:c r="R582" t="str">
        <x:v>LUNCH</x:v>
      </x:c>
      <x:c r="S582" t="n">
        <x:v>25</x:v>
      </x:c>
      <x:c r="T582" t="str">
        <x:v>CLEARED</x:v>
      </x:c>
      <x:c r="U582" t="str">
        <x:v>VALID</x:v>
      </x:c>
      <x:c r="V582" s="16" t="n">
        <x:v>0.7852</x:v>
      </x:c>
      <x:c r="W582" t="str">
        <x:v>English</x:v>
      </x:c>
      <x:c r="X582" t="str">
        <x:v>Spanish</x:v>
      </x:c>
      <x:c r="Y582" t="n">
        <x:v>1393</x:v>
      </x:c>
      <x:c r="Z582" s="17" t="n">
        <x:v>4.18</x:v>
      </x:c>
      <x:c r="AA582" s="16" t="n">
        <x:v>0.8985</x:v>
      </x:c>
      <x:c r="AB582" s="16" t="n">
        <x:v>0.941</x:v>
      </x:c>
      <x:c r="AC582" s="16" t="n">
        <x:v>0.8332</x:v>
      </x:c>
      <x:c r="AD582" t="n">
        <x:v>0</x:v>
      </x:c>
      <x:c r="AE582" t="str">
        <x:f>IF(O582&lt;&gt;"ACTIVE","NOT_RATED",IF(AND(Z582&gt;=4.8,AB582&gt;=0.97,AC582&gt;=0.93,AD582=0),"ELITE",IF(AND(Z582&gt;=4.6,AB582&gt;=0.94,AC582&gt;=0.88),"HIGH_PERFORMER",IF(OR(Z582&lt;4.2,AB582&lt;0.85,AD582&gt;=2),"AT_RISK","STANDARD"))))</x:f>
        <x:v>NOT_RATED</x:v>
      </x:c>
      <x:c r="AF582" s="15" t="n">
        <x:v>45954</x:v>
      </x:c>
      <x:c r="AG582" t="str">
        <x:v>VERIFIED</x:v>
      </x:c>
      <x:c r="AH582" t="str">
        <x:v>COMPLETE</x:v>
      </x:c>
      <x:c r="AI582" t="str">
        <x:v>Reese Clark</x:v>
      </x:c>
      <x:c r="AJ582" t="str">
        <x:v>SPOUSE_PARTNER</x:v>
      </x:c>
      <x:c r="AK582" t="str">
        <x:v>+1 (713) 555-0183</x:v>
      </x:c>
    </x:row>
    <x:row r="583" ht="18" customHeight="1">
      <x:c r="A583" t="str">
        <x:v>DHR-00582</x:v>
      </x:c>
      <x:c r="B583" t="str">
        <x:v>Sam Moore</x:v>
      </x:c>
      <x:c r="C583" t="str">
        <x:v>https://api.dicebear.com/9.x/adventurer/png?seed=DHR-00582-Sam%20Moore&amp;size=256&amp;radius=50&amp;backgroundColor=b6e3f4,c0aede,d1d4f9,ffd5dc,ffdfbf</x:v>
      </x:c>
      <x:c r="D583" t="str">
        <x:v>sam.moore.582@example.com</x:v>
      </x:c>
      <x:c r="E583" t="str">
        <x:v>+1 (305) 555-0181</x:v>
      </x:c>
      <x:c r="F583" t="str">
        <x:v>Miami, FL</x:v>
      </x:c>
      <x:c r="G583" t="str">
        <x:v>Miami</x:v>
      </x:c>
      <x:c r="H583" t="str">
        <x:v>FL</x:v>
      </x:c>
      <x:c r="I583" s="18" t="str">
        <x:v>33130</x:v>
      </x:c>
      <x:c r="J583" s="15" t="n">
        <x:v>27989.615750844907</x:v>
      </x:c>
      <x:c r="K583" t="n">
        <x:f>INT((DATE(2025,12,31)-J583)/365.25)</x:f>
        <x:v>49</x:v>
      </x:c>
      <x:c r="L583" t="str">
        <x:f>IF(K583&lt;25,"18-24",IF(K583&lt;35,"25-34",IF(K583&lt;45,"35-44",IF(K583&lt;55,"45-54","55+"))))</x:f>
        <x:v>45-54</x:v>
      </x:c>
      <x:c r="M583" s="15" t="n">
        <x:v>45258.740174375</x:v>
      </x:c>
      <x:c r="N583" t="n">
        <x:f>(YEAR(DATE(2025,12,31))-YEAR(M583))*12+MONTH(DATE(2025,12,31))-MONTH(M583)</x:f>
        <x:v>25</x:v>
      </x:c>
      <x:c r="O583" t="str">
        <x:v>ACTIVE</x:v>
      </x:c>
      <x:c r="P583" t="str">
        <x:v>INDEPENDENT_CONTRACTOR</x:v>
      </x:c>
      <x:c r="Q583" t="str">
        <x:v>E_BIKE</x:v>
      </x:c>
      <x:c r="R583" t="str">
        <x:v>FLEXIBLE</x:v>
      </x:c>
      <x:c r="S583" t="n">
        <x:v>38</x:v>
      </x:c>
      <x:c r="T583" t="str">
        <x:v>CLEARED</x:v>
      </x:c>
      <x:c r="U583" t="str">
        <x:v>NOT_REQUIRED</x:v>
      </x:c>
      <x:c r="V583" s="16" t="n">
        <x:v>0.8155</x:v>
      </x:c>
      <x:c r="W583" t="str">
        <x:v>English</x:v>
      </x:c>
      <x:c r="X583"/>
      <x:c r="Y583" t="n">
        <x:v>3878</x:v>
      </x:c>
      <x:c r="Z583" s="17" t="n">
        <x:v>4.49</x:v>
      </x:c>
      <x:c r="AA583" s="16" t="n">
        <x:v>0.9073</x:v>
      </x:c>
      <x:c r="AB583" s="16" t="n">
        <x:v>0.9088</x:v>
      </x:c>
      <x:c r="AC583" s="16" t="n">
        <x:v>0.9031</x:v>
      </x:c>
      <x:c r="AD583" t="n">
        <x:v>0</x:v>
      </x:c>
      <x:c r="AE583" t="str">
        <x:f>IF(O583&lt;&gt;"ACTIVE","NOT_RATED",IF(AND(Z583&gt;=4.8,AB583&gt;=0.97,AC583&gt;=0.93,AD583=0),"ELITE",IF(AND(Z583&gt;=4.6,AB583&gt;=0.94,AC583&gt;=0.88),"HIGH_PERFORMER",IF(OR(Z583&lt;4.2,AB583&lt;0.85,AD583&gt;=2),"AT_RISK","STANDARD"))))</x:f>
        <x:v>STANDARD</x:v>
      </x:c>
      <x:c r="AF583" s="15" t="n">
        <x:v>46015</x:v>
      </x:c>
      <x:c r="AG583" t="str">
        <x:v>VERIFIED</x:v>
      </x:c>
      <x:c r="AH583" t="str">
        <x:v>COMPLETE</x:v>
      </x:c>
      <x:c r="AI583" t="str">
        <x:v>Sofia White</x:v>
      </x:c>
      <x:c r="AJ583" t="str">
        <x:v>OTHER</x:v>
      </x:c>
      <x:c r="AK583" t="str">
        <x:v>+1 (305) 555-0190</x:v>
      </x:c>
    </x:row>
    <x:row r="584" ht="18" customHeight="1">
      <x:c r="A584" t="str">
        <x:v>DHR-00583</x:v>
      </x:c>
      <x:c r="B584" t="str">
        <x:v>Sam Perez</x:v>
      </x:c>
      <x:c r="C584" t="str">
        <x:v>https://api.dicebear.com/9.x/adventurer/png?seed=DHR-00583-Sam%20Perez&amp;size=256&amp;radius=50&amp;backgroundColor=b6e3f4,c0aede,d1d4f9,ffd5dc,ffdfbf</x:v>
      </x:c>
      <x:c r="D584" t="str">
        <x:v>sam.perez.583@example.com</x:v>
      </x:c>
      <x:c r="E584" t="str">
        <x:v>+1 (312) 555-0182</x:v>
      </x:c>
      <x:c r="F584" t="str">
        <x:v>Chicago, IL</x:v>
      </x:c>
      <x:c r="G584" t="str">
        <x:v>Chicago</x:v>
      </x:c>
      <x:c r="H584" t="str">
        <x:v>IL</x:v>
      </x:c>
      <x:c r="I584" s="18" t="str">
        <x:v>60601</x:v>
      </x:c>
      <x:c r="J584" s="15" t="n">
        <x:v>28817.753596006944</x:v>
      </x:c>
      <x:c r="K584" t="n">
        <x:f>INT((DATE(2025,12,31)-J584)/365.25)</x:f>
        <x:v>47</x:v>
      </x:c>
      <x:c r="L584" t="str">
        <x:f>IF(K584&lt;25,"18-24",IF(K584&lt;35,"25-34",IF(K584&lt;45,"35-44",IF(K584&lt;55,"45-54","55+"))))</x:f>
        <x:v>45-54</x:v>
      </x:c>
      <x:c r="M584" s="15" t="n">
        <x:v>45174.87938278935</x:v>
      </x:c>
      <x:c r="N584" t="n">
        <x:f>(YEAR(DATE(2025,12,31))-YEAR(M584))*12+MONTH(DATE(2025,12,31))-MONTH(M584)</x:f>
        <x:v>27</x:v>
      </x:c>
      <x:c r="O584" t="str">
        <x:v>ACTIVE</x:v>
      </x:c>
      <x:c r="P584" t="str">
        <x:v>INDEPENDENT_CONTRACTOR</x:v>
      </x:c>
      <x:c r="Q584" t="str">
        <x:v>CAR</x:v>
      </x:c>
      <x:c r="R584" t="str">
        <x:v>DINNER</x:v>
      </x:c>
      <x:c r="S584" t="n">
        <x:v>38</x:v>
      </x:c>
      <x:c r="T584" t="str">
        <x:v>CLEARED</x:v>
      </x:c>
      <x:c r="U584" t="str">
        <x:v>VALID</x:v>
      </x:c>
      <x:c r="V584" s="16" t="n">
        <x:v>0.9238</x:v>
      </x:c>
      <x:c r="W584" t="str">
        <x:v>Spanish</x:v>
      </x:c>
      <x:c r="X584"/>
      <x:c r="Y584" t="n">
        <x:v>2381</x:v>
      </x:c>
      <x:c r="Z584" s="17" t="n">
        <x:v>4.71</x:v>
      </x:c>
      <x:c r="AA584" s="16" t="n">
        <x:v>0.7172</x:v>
      </x:c>
      <x:c r="AB584" s="16" t="n">
        <x:v>0.9067</x:v>
      </x:c>
      <x:c r="AC584" s="16" t="n">
        <x:v>0.8374</x:v>
      </x:c>
      <x:c r="AD584" t="n">
        <x:v>0</x:v>
      </x:c>
      <x:c r="AE584" t="str">
        <x:f>IF(O584&lt;&gt;"ACTIVE","NOT_RATED",IF(AND(Z584&gt;=4.8,AB584&gt;=0.97,AC584&gt;=0.93,AD584=0),"ELITE",IF(AND(Z584&gt;=4.6,AB584&gt;=0.94,AC584&gt;=0.88),"HIGH_PERFORMER",IF(OR(Z584&lt;4.2,AB584&lt;0.85,AD584&gt;=2),"AT_RISK","STANDARD"))))</x:f>
        <x:v>STANDARD</x:v>
      </x:c>
      <x:c r="AF584" s="15" t="n">
        <x:v>46019</x:v>
      </x:c>
      <x:c r="AG584" t="str">
        <x:v>VERIFIED</x:v>
      </x:c>
      <x:c r="AH584" t="str">
        <x:v>COMPLETE</x:v>
      </x:c>
      <x:c r="AI584" t="str">
        <x:v>Ethan Thompson</x:v>
      </x:c>
      <x:c r="AJ584" t="str">
        <x:v>PARENT</x:v>
      </x:c>
      <x:c r="AK584" t="str">
        <x:v>+1 (312) 555-0197</x:v>
      </x:c>
    </x:row>
    <x:row r="585" ht="18" customHeight="1">
      <x:c r="A585" t="str">
        <x:v>DHR-00584</x:v>
      </x:c>
      <x:c r="B585" t="str">
        <x:v>Sam Rodriguez</x:v>
      </x:c>
      <x:c r="C585" t="str">
        <x:v>https://api.dicebear.com/9.x/adventurer/png?seed=DHR-00584-Sam%20Rodriguez&amp;size=256&amp;radius=50&amp;backgroundColor=b6e3f4,c0aede,d1d4f9,ffd5dc,ffdfbf</x:v>
      </x:c>
      <x:c r="D585" t="str">
        <x:v>sam.rodriguez.584@example.com</x:v>
      </x:c>
      <x:c r="E585" t="str">
        <x:v>+1 (305) 555-0183</x:v>
      </x:c>
      <x:c r="F585" t="str">
        <x:v>Miami, FL</x:v>
      </x:c>
      <x:c r="G585" t="str">
        <x:v>Miami</x:v>
      </x:c>
      <x:c r="H585" t="str">
        <x:v>FL</x:v>
      </x:c>
      <x:c r="I585" s="18" t="str">
        <x:v>33130</x:v>
      </x:c>
      <x:c r="J585" s="15" t="n">
        <x:v>37374.45395681713</x:v>
      </x:c>
      <x:c r="K585" t="n">
        <x:f>INT((DATE(2025,12,31)-J585)/365.25)</x:f>
        <x:v>23</x:v>
      </x:c>
      <x:c r="L585" t="str">
        <x:f>IF(K585&lt;25,"18-24",IF(K585&lt;35,"25-34",IF(K585&lt;45,"35-44",IF(K585&lt;55,"45-54","55+"))))</x:f>
        <x:v>18-24</x:v>
      </x:c>
      <x:c r="M585" s="15" t="n">
        <x:v>45032.23793390046</x:v>
      </x:c>
      <x:c r="N585" t="n">
        <x:f>(YEAR(DATE(2025,12,31))-YEAR(M585))*12+MONTH(DATE(2025,12,31))-MONTH(M585)</x:f>
        <x:v>32</x:v>
      </x:c>
      <x:c r="O585" t="str">
        <x:v>ACTIVE</x:v>
      </x:c>
      <x:c r="P585" t="str">
        <x:v>INDEPENDENT_CONTRACTOR</x:v>
      </x:c>
      <x:c r="Q585" t="str">
        <x:v>CAR</x:v>
      </x:c>
      <x:c r="R585" t="str">
        <x:v>FLEXIBLE</x:v>
      </x:c>
      <x:c r="S585" t="n">
        <x:v>23</x:v>
      </x:c>
      <x:c r="T585" t="str">
        <x:v>CLEARED</x:v>
      </x:c>
      <x:c r="U585" t="str">
        <x:v>VALID</x:v>
      </x:c>
      <x:c r="V585" s="16" t="n">
        <x:v>0.8948</x:v>
      </x:c>
      <x:c r="W585" t="str">
        <x:v>English</x:v>
      </x:c>
      <x:c r="X585"/>
      <x:c r="Y585" t="n">
        <x:v>1870</x:v>
      </x:c>
      <x:c r="Z585" s="17" t="n">
        <x:v>4.43</x:v>
      </x:c>
      <x:c r="AA585" s="16" t="n">
        <x:v>0.6504</x:v>
      </x:c>
      <x:c r="AB585" s="16" t="n">
        <x:v>0.9045</x:v>
      </x:c>
      <x:c r="AC585" s="16" t="n">
        <x:v>0.9127</x:v>
      </x:c>
      <x:c r="AD585" t="n">
        <x:v>0</x:v>
      </x:c>
      <x:c r="AE585" t="str">
        <x:f>IF(O585&lt;&gt;"ACTIVE","NOT_RATED",IF(AND(Z585&gt;=4.8,AB585&gt;=0.97,AC585&gt;=0.93,AD585=0),"ELITE",IF(AND(Z585&gt;=4.6,AB585&gt;=0.94,AC585&gt;=0.88),"HIGH_PERFORMER",IF(OR(Z585&lt;4.2,AB585&lt;0.85,AD585&gt;=2),"AT_RISK","STANDARD"))))</x:f>
        <x:v>STANDARD</x:v>
      </x:c>
      <x:c r="AF585" s="15" t="n">
        <x:v>46020</x:v>
      </x:c>
      <x:c r="AG585" t="str">
        <x:v>VERIFIED</x:v>
      </x:c>
      <x:c r="AH585" t="str">
        <x:v>PENDING</x:v>
      </x:c>
      <x:c r="AI585" t="str">
        <x:v>Skyler Rodriguez</x:v>
      </x:c>
      <x:c r="AJ585" t="str">
        <x:v>SPOUSE_PARTNER</x:v>
      </x:c>
      <x:c r="AK585" t="str">
        <x:v>+1 (305) 555-0104</x:v>
      </x:c>
    </x:row>
    <x:row r="586" ht="18" customHeight="1">
      <x:c r="A586" t="str">
        <x:v>DHR-00585</x:v>
      </x:c>
      <x:c r="B586" t="str">
        <x:v>Sam Taylor</x:v>
      </x:c>
      <x:c r="C586" t="str">
        <x:v>https://api.dicebear.com/9.x/adventurer/png?seed=DHR-00585-Sam%20Taylor&amp;size=256&amp;radius=50&amp;backgroundColor=b6e3f4,c0aede,d1d4f9,ffd5dc,ffdfbf</x:v>
      </x:c>
      <x:c r="D586" t="str">
        <x:v>sam.taylor.585@example.com</x:v>
      </x:c>
      <x:c r="E586" t="str">
        <x:v>+1 (305) 555-0184</x:v>
      </x:c>
      <x:c r="F586" t="str">
        <x:v>Miami, FL</x:v>
      </x:c>
      <x:c r="G586" t="str">
        <x:v>Miami</x:v>
      </x:c>
      <x:c r="H586" t="str">
        <x:v>FL</x:v>
      </x:c>
      <x:c r="I586" s="18" t="str">
        <x:v>33130</x:v>
      </x:c>
      <x:c r="J586" s="15" t="n">
        <x:v>33336.026817743055</x:v>
      </x:c>
      <x:c r="K586" t="n">
        <x:f>INT((DATE(2025,12,31)-J586)/365.25)</x:f>
        <x:v>34</x:v>
      </x:c>
      <x:c r="L586" t="str">
        <x:f>IF(K586&lt;25,"18-24",IF(K586&lt;35,"25-34",IF(K586&lt;45,"35-44",IF(K586&lt;55,"45-54","55+"))))</x:f>
        <x:v>25-34</x:v>
      </x:c>
      <x:c r="M586" s="15" t="n">
        <x:v>43742.278843506945</x:v>
      </x:c>
      <x:c r="N586" t="n">
        <x:f>(YEAR(DATE(2025,12,31))-YEAR(M586))*12+MONTH(DATE(2025,12,31))-MONTH(M586)</x:f>
        <x:v>74</x:v>
      </x:c>
      <x:c r="O586" t="str">
        <x:v>ACTIVE</x:v>
      </x:c>
      <x:c r="P586" t="str">
        <x:v>INDEPENDENT_CONTRACTOR</x:v>
      </x:c>
      <x:c r="Q586" t="str">
        <x:v>CAR</x:v>
      </x:c>
      <x:c r="R586" t="str">
        <x:v>FLEXIBLE</x:v>
      </x:c>
      <x:c r="S586" t="n">
        <x:v>23</x:v>
      </x:c>
      <x:c r="T586" t="str">
        <x:v>CLEARED</x:v>
      </x:c>
      <x:c r="U586" t="str">
        <x:v>VALID</x:v>
      </x:c>
      <x:c r="V586" s="16" t="n">
        <x:v>0.8659</x:v>
      </x:c>
      <x:c r="W586" t="str">
        <x:v>Portuguese</x:v>
      </x:c>
      <x:c r="X586"/>
      <x:c r="Y586" t="n">
        <x:v>6380</x:v>
      </x:c>
      <x:c r="Z586" s="17" t="n">
        <x:v>4.85</x:v>
      </x:c>
      <x:c r="AA586" s="16" t="n">
        <x:v>0.7114</x:v>
      </x:c>
      <x:c r="AB586" s="16" t="n">
        <x:v>0.9134</x:v>
      </x:c>
      <x:c r="AC586" s="16" t="n">
        <x:v>0.844</x:v>
      </x:c>
      <x:c r="AD586" t="n">
        <x:v>0</x:v>
      </x:c>
      <x:c r="AE586" t="str">
        <x:f>IF(O586&lt;&gt;"ACTIVE","NOT_RATED",IF(AND(Z586&gt;=4.8,AB586&gt;=0.97,AC586&gt;=0.93,AD586=0),"ELITE",IF(AND(Z586&gt;=4.6,AB586&gt;=0.94,AC586&gt;=0.88),"HIGH_PERFORMER",IF(OR(Z586&lt;4.2,AB586&lt;0.85,AD586&gt;=2),"AT_RISK","STANDARD"))))</x:f>
        <x:v>STANDARD</x:v>
      </x:c>
      <x:c r="AF586" s="15" t="n">
        <x:v>46021</x:v>
      </x:c>
      <x:c r="AG586" t="str">
        <x:v>VERIFIED</x:v>
      </x:c>
      <x:c r="AH586" t="str">
        <x:v>COMPLETE</x:v>
      </x:c>
      <x:c r="AI586" t="str">
        <x:v>Mia Wilson</x:v>
      </x:c>
      <x:c r="AJ586" t="str">
        <x:v>SPOUSE_PARTNER</x:v>
      </x:c>
      <x:c r="AK586" t="str">
        <x:v>+1 (305) 555-0111</x:v>
      </x:c>
    </x:row>
    <x:row r="587" ht="18" customHeight="1">
      <x:c r="A587" t="str">
        <x:v>DHR-00586</x:v>
      </x:c>
      <x:c r="B587" t="str">
        <x:v>Sam Thomas</x:v>
      </x:c>
      <x:c r="C587" t="str">
        <x:v>https://api.dicebear.com/9.x/adventurer/png?seed=DHR-00586-Sam%20Thomas&amp;size=256&amp;radius=50&amp;backgroundColor=b6e3f4,c0aede,d1d4f9,ffd5dc,ffdfbf</x:v>
      </x:c>
      <x:c r="D587" t="str">
        <x:v>sam.thomas.586@example.com</x:v>
      </x:c>
      <x:c r="E587" t="str">
        <x:v>+1 (704) 555-0185</x:v>
      </x:c>
      <x:c r="F587" t="str">
        <x:v>Charlotte, NC</x:v>
      </x:c>
      <x:c r="G587" t="str">
        <x:v>Charlotte</x:v>
      </x:c>
      <x:c r="H587" t="str">
        <x:v>NC</x:v>
      </x:c>
      <x:c r="I587" s="18" t="str">
        <x:v>28202</x:v>
      </x:c>
      <x:c r="J587" s="15" t="n">
        <x:v>24516.683866875</x:v>
      </x:c>
      <x:c r="K587" t="n">
        <x:f>INT((DATE(2025,12,31)-J587)/365.25)</x:f>
        <x:v>58</x:v>
      </x:c>
      <x:c r="L587" t="str">
        <x:f>IF(K587&lt;25,"18-24",IF(K587&lt;35,"25-34",IF(K587&lt;45,"35-44",IF(K587&lt;55,"45-54","55+"))))</x:f>
        <x:v>55+</x:v>
      </x:c>
      <x:c r="M587" s="15" t="n">
        <x:v>44759.34163069444</x:v>
      </x:c>
      <x:c r="N587" t="n">
        <x:f>(YEAR(DATE(2025,12,31))-YEAR(M587))*12+MONTH(DATE(2025,12,31))-MONTH(M587)</x:f>
        <x:v>41</x:v>
      </x:c>
      <x:c r="O587" t="str">
        <x:v>ACTIVE</x:v>
      </x:c>
      <x:c r="P587" t="str">
        <x:v>INDEPENDENT_CONTRACTOR</x:v>
      </x:c>
      <x:c r="Q587" t="str">
        <x:v>CAR</x:v>
      </x:c>
      <x:c r="R587" t="str">
        <x:v>WEEKENDS</x:v>
      </x:c>
      <x:c r="S587" t="n">
        <x:v>29</x:v>
      </x:c>
      <x:c r="T587" t="str">
        <x:v>CLEARED</x:v>
      </x:c>
      <x:c r="U587" t="str">
        <x:v>SUSPENDED</x:v>
      </x:c>
      <x:c r="V587" s="16" t="n">
        <x:v>0.8191</x:v>
      </x:c>
      <x:c r="W587" t="str">
        <x:v>English</x:v>
      </x:c>
      <x:c r="X587"/>
      <x:c r="Y587" t="n">
        <x:v>2911</x:v>
      </x:c>
      <x:c r="Z587" s="17" t="n">
        <x:v>4.58</x:v>
      </x:c>
      <x:c r="AA587" s="16" t="n">
        <x:v>0.6176</x:v>
      </x:c>
      <x:c r="AB587" s="16" t="n">
        <x:v>0.9587</x:v>
      </x:c>
      <x:c r="AC587" s="16" t="n">
        <x:v>0.9525</x:v>
      </x:c>
      <x:c r="AD587" t="n">
        <x:v>0</x:v>
      </x:c>
      <x:c r="AE587" t="str">
        <x:f>IF(O587&lt;&gt;"ACTIVE","NOT_RATED",IF(AND(Z587&gt;=4.8,AB587&gt;=0.97,AC587&gt;=0.93,AD587=0),"ELITE",IF(AND(Z587&gt;=4.6,AB587&gt;=0.94,AC587&gt;=0.88),"HIGH_PERFORMER",IF(OR(Z587&lt;4.2,AB587&lt;0.85,AD587&gt;=2),"AT_RISK","STANDARD"))))</x:f>
        <x:v>STANDARD</x:v>
      </x:c>
      <x:c r="AF587" s="15" t="n">
        <x:v>46020</x:v>
      </x:c>
      <x:c r="AG587" t="str">
        <x:v>VERIFIED</x:v>
      </x:c>
      <x:c r="AH587" t="str">
        <x:v>COMPLETE</x:v>
      </x:c>
      <x:c r="AI587" t="str">
        <x:v>Riley Rodriguez</x:v>
      </x:c>
      <x:c r="AJ587" t="str">
        <x:v>PARENT</x:v>
      </x:c>
      <x:c r="AK587" t="str">
        <x:v>+1 (704) 555-0118</x:v>
      </x:c>
    </x:row>
    <x:row r="588" ht="18" customHeight="1">
      <x:c r="A588" t="str">
        <x:v>DHR-00587</x:v>
      </x:c>
      <x:c r="B588" t="str">
        <x:v>Sam Thompson</x:v>
      </x:c>
      <x:c r="C588" t="str">
        <x:v>https://api.dicebear.com/9.x/adventurer/png?seed=DHR-00587-Sam%20Thompson&amp;size=256&amp;radius=50&amp;backgroundColor=b6e3f4,c0aede,d1d4f9,ffd5dc,ffdfbf</x:v>
      </x:c>
      <x:c r="D588" t="str">
        <x:v>sam.thompson.587@example.com</x:v>
      </x:c>
      <x:c r="E588" t="str">
        <x:v>+1 (713) 555-0186</x:v>
      </x:c>
      <x:c r="F588" t="str">
        <x:v>Houston, TX</x:v>
      </x:c>
      <x:c r="G588" t="str">
        <x:v>Houston</x:v>
      </x:c>
      <x:c r="H588" t="str">
        <x:v>TX</x:v>
      </x:c>
      <x:c r="I588" s="18" t="str">
        <x:v>77002</x:v>
      </x:c>
      <x:c r="J588" s="15" t="n">
        <x:v>28812.339566979168</x:v>
      </x:c>
      <x:c r="K588" t="n">
        <x:f>INT((DATE(2025,12,31)-J588)/365.25)</x:f>
        <x:v>47</x:v>
      </x:c>
      <x:c r="L588" t="str">
        <x:f>IF(K588&lt;25,"18-24",IF(K588&lt;35,"25-34",IF(K588&lt;45,"35-44",IF(K588&lt;55,"45-54","55+"))))</x:f>
        <x:v>45-54</x:v>
      </x:c>
      <x:c r="M588" s="15" t="n">
        <x:v>44021.08415541667</x:v>
      </x:c>
      <x:c r="N588" t="n">
        <x:f>(YEAR(DATE(2025,12,31))-YEAR(M588))*12+MONTH(DATE(2025,12,31))-MONTH(M588)</x:f>
        <x:v>65</x:v>
      </x:c>
      <x:c r="O588" t="str">
        <x:v>ACTIVE</x:v>
      </x:c>
      <x:c r="P588" t="str">
        <x:v>INDEPENDENT_CONTRACTOR</x:v>
      </x:c>
      <x:c r="Q588" t="str">
        <x:v>E_BIKE</x:v>
      </x:c>
      <x:c r="R588" t="str">
        <x:v>DINNER</x:v>
      </x:c>
      <x:c r="S588" t="n">
        <x:v>33</x:v>
      </x:c>
      <x:c r="T588" t="str">
        <x:v>CLEARED</x:v>
      </x:c>
      <x:c r="U588" t="str">
        <x:v>NOT_REQUIRED</x:v>
      </x:c>
      <x:c r="V588" s="16" t="n">
        <x:v>0.8825</x:v>
      </x:c>
      <x:c r="W588" t="str">
        <x:v>English</x:v>
      </x:c>
      <x:c r="X588"/>
      <x:c r="Y588" t="n">
        <x:v>8844</x:v>
      </x:c>
      <x:c r="Z588" s="17" t="n">
        <x:v>4.28</x:v>
      </x:c>
      <x:c r="AA588" s="16" t="n">
        <x:v>0.9426</x:v>
      </x:c>
      <x:c r="AB588" s="16" t="n">
        <x:v>0.9967</x:v>
      </x:c>
      <x:c r="AC588" s="16" t="n">
        <x:v>0.8567</x:v>
      </x:c>
      <x:c r="AD588" t="n">
        <x:v>0</x:v>
      </x:c>
      <x:c r="AE588" t="str">
        <x:f>IF(O588&lt;&gt;"ACTIVE","NOT_RATED",IF(AND(Z588&gt;=4.8,AB588&gt;=0.97,AC588&gt;=0.93,AD588=0),"ELITE",IF(AND(Z588&gt;=4.6,AB588&gt;=0.94,AC588&gt;=0.88),"HIGH_PERFORMER",IF(OR(Z588&lt;4.2,AB588&lt;0.85,AD588&gt;=2),"AT_RISK","STANDARD"))))</x:f>
        <x:v>STANDARD</x:v>
      </x:c>
      <x:c r="AF588" s="15" t="n">
        <x:v>46015</x:v>
      </x:c>
      <x:c r="AG588" t="str">
        <x:v>ON_HOLD</x:v>
      </x:c>
      <x:c r="AH588" t="str">
        <x:v>COMPLETE</x:v>
      </x:c>
      <x:c r="AI588" t="str">
        <x:v>Jesse Walker</x:v>
      </x:c>
      <x:c r="AJ588" t="str">
        <x:v>SPOUSE_PARTNER</x:v>
      </x:c>
      <x:c r="AK588" t="str">
        <x:v>+1 (713) 555-0125</x:v>
      </x:c>
    </x:row>
    <x:row r="589" ht="18" customHeight="1">
      <x:c r="A589" t="str">
        <x:v>DHR-00588</x:v>
      </x:c>
      <x:c r="B589" t="str">
        <x:v>Sam Walker</x:v>
      </x:c>
      <x:c r="C589" t="str">
        <x:v>https://api.dicebear.com/9.x/adventurer/png?seed=DHR-00588-Sam%20Walker&amp;size=256&amp;radius=50&amp;backgroundColor=b6e3f4,c0aede,d1d4f9,ffd5dc,ffdfbf</x:v>
      </x:c>
      <x:c r="D589" t="str">
        <x:v>sam.walker.588@example.com</x:v>
      </x:c>
      <x:c r="E589" t="str">
        <x:v>+1 (212) 555-0187</x:v>
      </x:c>
      <x:c r="F589" t="str">
        <x:v>New York, NY</x:v>
      </x:c>
      <x:c r="G589" t="str">
        <x:v>New York</x:v>
      </x:c>
      <x:c r="H589" t="str">
        <x:v>NY</x:v>
      </x:c>
      <x:c r="I589" s="18" t="str">
        <x:v>10001</x:v>
      </x:c>
      <x:c r="J589" s="15" t="n">
        <x:v>30640.552608182872</x:v>
      </x:c>
      <x:c r="K589" t="n">
        <x:f>INT((DATE(2025,12,31)-J589)/365.25)</x:f>
        <x:v>42</x:v>
      </x:c>
      <x:c r="L589" t="str">
        <x:f>IF(K589&lt;25,"18-24",IF(K589&lt;35,"25-34",IF(K589&lt;45,"35-44",IF(K589&lt;55,"45-54","55+"))))</x:f>
        <x:v>35-44</x:v>
      </x:c>
      <x:c r="M589" s="15" t="n">
        <x:v>45329.04186961806</x:v>
      </x:c>
      <x:c r="N589" t="n">
        <x:f>(YEAR(DATE(2025,12,31))-YEAR(M589))*12+MONTH(DATE(2025,12,31))-MONTH(M589)</x:f>
        <x:v>22</x:v>
      </x:c>
      <x:c r="O589" t="str">
        <x:v>ACTIVE</x:v>
      </x:c>
      <x:c r="P589" t="str">
        <x:v>INDEPENDENT_CONTRACTOR</x:v>
      </x:c>
      <x:c r="Q589" t="str">
        <x:v>CAR</x:v>
      </x:c>
      <x:c r="R589" t="str">
        <x:v>DINNER</x:v>
      </x:c>
      <x:c r="S589" t="n">
        <x:v>38</x:v>
      </x:c>
      <x:c r="T589" t="str">
        <x:v>CLEARED</x:v>
      </x:c>
      <x:c r="U589" t="str">
        <x:v>VALID</x:v>
      </x:c>
      <x:c r="V589" s="16" t="n">
        <x:v>0.9036</x:v>
      </x:c>
      <x:c r="W589" t="str">
        <x:v>Korean</x:v>
      </x:c>
      <x:c r="X589"/>
      <x:c r="Y589" t="n">
        <x:v>2415</x:v>
      </x:c>
      <x:c r="Z589" s="17" t="n">
        <x:v>4.37</x:v>
      </x:c>
      <x:c r="AA589" s="16" t="n">
        <x:v>0.7647</x:v>
      </x:c>
      <x:c r="AB589" s="16" t="n">
        <x:v>0.9787</x:v>
      </x:c>
      <x:c r="AC589" s="16" t="n">
        <x:v>0.8418</x:v>
      </x:c>
      <x:c r="AD589" t="n">
        <x:v>0</x:v>
      </x:c>
      <x:c r="AE589" t="str">
        <x:f>IF(O589&lt;&gt;"ACTIVE","NOT_RATED",IF(AND(Z589&gt;=4.8,AB589&gt;=0.97,AC589&gt;=0.93,AD589=0),"ELITE",IF(AND(Z589&gt;=4.6,AB589&gt;=0.94,AC589&gt;=0.88),"HIGH_PERFORMER",IF(OR(Z589&lt;4.2,AB589&lt;0.85,AD589&gt;=2),"AT_RISK","STANDARD"))))</x:f>
        <x:v>STANDARD</x:v>
      </x:c>
      <x:c r="AF589" s="15" t="n">
        <x:v>46013</x:v>
      </x:c>
      <x:c r="AG589" t="str">
        <x:v>VERIFIED</x:v>
      </x:c>
      <x:c r="AH589" t="str">
        <x:v>COMPLETE</x:v>
      </x:c>
      <x:c r="AI589" t="str">
        <x:v>Skyler Lewis</x:v>
      </x:c>
      <x:c r="AJ589" t="str">
        <x:v>SPOUSE_PARTNER</x:v>
      </x:c>
      <x:c r="AK589" t="str">
        <x:v>+1 (212) 555-0132</x:v>
      </x:c>
    </x:row>
    <x:row r="590" ht="18" customHeight="1">
      <x:c r="A590" t="str">
        <x:v>DHR-00589</x:v>
      </x:c>
      <x:c r="B590" t="str">
        <x:v>Sam White</x:v>
      </x:c>
      <x:c r="C590" t="str">
        <x:v>https://api.dicebear.com/9.x/adventurer/png?seed=DHR-00589-Sam%20White&amp;size=256&amp;radius=50&amp;backgroundColor=b6e3f4,c0aede,d1d4f9,ffd5dc,ffdfbf</x:v>
      </x:c>
      <x:c r="D590" t="str">
        <x:v>sam.white.589@example.com</x:v>
      </x:c>
      <x:c r="E590" t="str">
        <x:v>+1 (312) 555-0188</x:v>
      </x:c>
      <x:c r="F590" t="str">
        <x:v>Chicago, IL</x:v>
      </x:c>
      <x:c r="G590" t="str">
        <x:v>Chicago</x:v>
      </x:c>
      <x:c r="H590" t="str">
        <x:v>IL</x:v>
      </x:c>
      <x:c r="I590" s="18" t="str">
        <x:v>60601</x:v>
      </x:c>
      <x:c r="J590" s="15" t="n">
        <x:v>24532.977185324075</x:v>
      </x:c>
      <x:c r="K590" t="n">
        <x:f>INT((DATE(2025,12,31)-J590)/365.25)</x:f>
        <x:v>58</x:v>
      </x:c>
      <x:c r="L590" t="str">
        <x:f>IF(K590&lt;25,"18-24",IF(K590&lt;35,"25-34",IF(K590&lt;45,"35-44",IF(K590&lt;55,"45-54","55+"))))</x:f>
        <x:v>55+</x:v>
      </x:c>
      <x:c r="M590" s="15" t="n">
        <x:v>43611.66012744213</x:v>
      </x:c>
      <x:c r="N590" t="n">
        <x:f>(YEAR(DATE(2025,12,31))-YEAR(M590))*12+MONTH(DATE(2025,12,31))-MONTH(M590)</x:f>
        <x:v>79</x:v>
      </x:c>
      <x:c r="O590" t="str">
        <x:v>ACTIVE</x:v>
      </x:c>
      <x:c r="P590" t="str">
        <x:v>INDEPENDENT_CONTRACTOR</x:v>
      </x:c>
      <x:c r="Q590" t="str">
        <x:v>BICYCLE</x:v>
      </x:c>
      <x:c r="R590" t="str">
        <x:v>DINNER</x:v>
      </x:c>
      <x:c r="S590" t="n">
        <x:v>24</x:v>
      </x:c>
      <x:c r="T590" t="str">
        <x:v>CLEARED</x:v>
      </x:c>
      <x:c r="U590" t="str">
        <x:v>NOT_REQUIRED</x:v>
      </x:c>
      <x:c r="V590" s="16" t="n">
        <x:v>0.9831</x:v>
      </x:c>
      <x:c r="W590" t="str">
        <x:v>English</x:v>
      </x:c>
      <x:c r="X590"/>
      <x:c r="Y590" t="n">
        <x:v>4301</x:v>
      </x:c>
      <x:c r="Z590" s="17" t="n">
        <x:v>4.48</x:v>
      </x:c>
      <x:c r="AA590" s="16" t="n">
        <x:v>0.7619</x:v>
      </x:c>
      <x:c r="AB590" s="16" t="n">
        <x:v>0.975</x:v>
      </x:c>
      <x:c r="AC590" s="16" t="n">
        <x:v>0.8787</x:v>
      </x:c>
      <x:c r="AD590" t="n">
        <x:v>0</x:v>
      </x:c>
      <x:c r="AE590" t="str">
        <x:f>IF(O590&lt;&gt;"ACTIVE","NOT_RATED",IF(AND(Z590&gt;=4.8,AB590&gt;=0.97,AC590&gt;=0.93,AD590=0),"ELITE",IF(AND(Z590&gt;=4.6,AB590&gt;=0.94,AC590&gt;=0.88),"HIGH_PERFORMER",IF(OR(Z590&lt;4.2,AB590&lt;0.85,AD590&gt;=2),"AT_RISK","STANDARD"))))</x:f>
        <x:v>STANDARD</x:v>
      </x:c>
      <x:c r="AF590" s="15" t="n">
        <x:v>46011</x:v>
      </x:c>
      <x:c r="AG590" t="str">
        <x:v>VERIFIED</x:v>
      </x:c>
      <x:c r="AH590" t="str">
        <x:v>COMPLETE</x:v>
      </x:c>
      <x:c r="AI590" t="str">
        <x:v>Mateo Young</x:v>
      </x:c>
      <x:c r="AJ590" t="str">
        <x:v>SPOUSE_PARTNER</x:v>
      </x:c>
      <x:c r="AK590" t="str">
        <x:v>+1 (312) 555-0139</x:v>
      </x:c>
    </x:row>
    <x:row r="591" ht="18" customHeight="1">
      <x:c r="A591" t="str">
        <x:v>DHR-00590</x:v>
      </x:c>
      <x:c r="B591" t="str">
        <x:v>Sam Williams</x:v>
      </x:c>
      <x:c r="C591" t="str">
        <x:v>https://api.dicebear.com/9.x/adventurer/png?seed=DHR-00590-Sam%20Williams&amp;size=256&amp;radius=50&amp;backgroundColor=b6e3f4,c0aede,d1d4f9,ffd5dc,ffdfbf</x:v>
      </x:c>
      <x:c r="D591" t="str">
        <x:v>sam.williams.590@example.com</x:v>
      </x:c>
      <x:c r="E591" t="str">
        <x:v>+1 (512) 555-0189</x:v>
      </x:c>
      <x:c r="F591" t="str">
        <x:v>Austin, TX</x:v>
      </x:c>
      <x:c r="G591" t="str">
        <x:v>Austin</x:v>
      </x:c>
      <x:c r="H591" t="str">
        <x:v>TX</x:v>
      </x:c>
      <x:c r="I591" s="18" t="str">
        <x:v>78701</x:v>
      </x:c>
      <x:c r="J591" s="15" t="n">
        <x:v>30319.67463804398</x:v>
      </x:c>
      <x:c r="K591" t="n">
        <x:f>INT((DATE(2025,12,31)-J591)/365.25)</x:f>
        <x:v>42</x:v>
      </x:c>
      <x:c r="L591" t="str">
        <x:f>IF(K591&lt;25,"18-24",IF(K591&lt;35,"25-34",IF(K591&lt;45,"35-44",IF(K591&lt;55,"45-54","55+"))))</x:f>
        <x:v>35-44</x:v>
      </x:c>
      <x:c r="M591" s="15" t="n">
        <x:v>45226.1812719213</x:v>
      </x:c>
      <x:c r="N591" t="n">
        <x:f>(YEAR(DATE(2025,12,31))-YEAR(M591))*12+MONTH(DATE(2025,12,31))-MONTH(M591)</x:f>
        <x:v>26</x:v>
      </x:c>
      <x:c r="O591" t="str">
        <x:v>ACTIVE</x:v>
      </x:c>
      <x:c r="P591" t="str">
        <x:v>INDEPENDENT_CONTRACTOR</x:v>
      </x:c>
      <x:c r="Q591" t="str">
        <x:v>CAR</x:v>
      </x:c>
      <x:c r="R591" t="str">
        <x:v>DINNER</x:v>
      </x:c>
      <x:c r="S591" t="n">
        <x:v>28</x:v>
      </x:c>
      <x:c r="T591" t="str">
        <x:v>CLEARED</x:v>
      </x:c>
      <x:c r="U591" t="str">
        <x:v>VALID</x:v>
      </x:c>
      <x:c r="V591" s="16" t="n">
        <x:v>0.8349</x:v>
      </x:c>
      <x:c r="W591" t="str">
        <x:v>English</x:v>
      </x:c>
      <x:c r="X591"/>
      <x:c r="Y591" t="n">
        <x:v>2617</x:v>
      </x:c>
      <x:c r="Z591" s="17" t="n">
        <x:v>4.53</x:v>
      </x:c>
      <x:c r="AA591" s="16" t="n">
        <x:v>0.6571</x:v>
      </x:c>
      <x:c r="AB591" s="16" t="n">
        <x:v>0.9084</x:v>
      </x:c>
      <x:c r="AC591" s="16" t="n">
        <x:v>0.9102</x:v>
      </x:c>
      <x:c r="AD591" t="n">
        <x:v>0</x:v>
      </x:c>
      <x:c r="AE591" t="str">
        <x:f>IF(O591&lt;&gt;"ACTIVE","NOT_RATED",IF(AND(Z591&gt;=4.8,AB591&gt;=0.97,AC591&gt;=0.93,AD591=0),"ELITE",IF(AND(Z591&gt;=4.6,AB591&gt;=0.94,AC591&gt;=0.88),"HIGH_PERFORMER",IF(OR(Z591&lt;4.2,AB591&lt;0.85,AD591&gt;=2),"AT_RISK","STANDARD"))))</x:f>
        <x:v>STANDARD</x:v>
      </x:c>
      <x:c r="AF591" s="15" t="n">
        <x:v>46017</x:v>
      </x:c>
      <x:c r="AG591" t="str">
        <x:v>VERIFIED</x:v>
      </x:c>
      <x:c r="AH591" t="str">
        <x:v>COMPLETE</x:v>
      </x:c>
      <x:c r="AI591" t="str">
        <x:v>Hayden Harris</x:v>
      </x:c>
      <x:c r="AJ591" t="str">
        <x:v>OTHER</x:v>
      </x:c>
      <x:c r="AK591" t="str">
        <x:v>+1 (512) 555-0146</x:v>
      </x:c>
    </x:row>
    <x:row r="592" ht="18" customHeight="1">
      <x:c r="A592" t="str">
        <x:v>DHR-00591</x:v>
      </x:c>
      <x:c r="B592" t="str">
        <x:v>Sam Young</x:v>
      </x:c>
      <x:c r="C592" t="str">
        <x:v>https://api.dicebear.com/9.x/adventurer/png?seed=DHR-00591-Sam%20Young&amp;size=256&amp;radius=50&amp;backgroundColor=b6e3f4,c0aede,d1d4f9,ffd5dc,ffdfbf</x:v>
      </x:c>
      <x:c r="D592" t="str">
        <x:v>sam.young.591@example.com</x:v>
      </x:c>
      <x:c r="E592" t="str">
        <x:v>+1 (215) 555-0190</x:v>
      </x:c>
      <x:c r="F592" t="str">
        <x:v>Philadelphia, PA</x:v>
      </x:c>
      <x:c r="G592" t="str">
        <x:v>Philadelphia</x:v>
      </x:c>
      <x:c r="H592" t="str">
        <x:v>PA</x:v>
      </x:c>
      <x:c r="I592" s="18" t="str">
        <x:v>19103</x:v>
      </x:c>
      <x:c r="J592" s="15" t="n">
        <x:v>36033.2269172338</x:v>
      </x:c>
      <x:c r="K592" t="n">
        <x:f>INT((DATE(2025,12,31)-J592)/365.25)</x:f>
        <x:v>27</x:v>
      </x:c>
      <x:c r="L592" t="str">
        <x:f>IF(K592&lt;25,"18-24",IF(K592&lt;35,"25-34",IF(K592&lt;45,"35-44",IF(K592&lt;55,"45-54","55+"))))</x:f>
        <x:v>25-34</x:v>
      </x:c>
      <x:c r="M592" s="15" t="n">
        <x:v>45729.44926675926</x:v>
      </x:c>
      <x:c r="N592" t="n">
        <x:f>(YEAR(DATE(2025,12,31))-YEAR(M592))*12+MONTH(DATE(2025,12,31))-MONTH(M592)</x:f>
        <x:v>9</x:v>
      </x:c>
      <x:c r="O592" t="str">
        <x:v>ACTIVE</x:v>
      </x:c>
      <x:c r="P592" t="str">
        <x:v>INDEPENDENT_CONTRACTOR</x:v>
      </x:c>
      <x:c r="Q592" t="str">
        <x:v>E_BIKE</x:v>
      </x:c>
      <x:c r="R592" t="str">
        <x:v>FLEXIBLE</x:v>
      </x:c>
      <x:c r="S592" t="n">
        <x:v>36</x:v>
      </x:c>
      <x:c r="T592" t="str">
        <x:v>CLEARED</x:v>
      </x:c>
      <x:c r="U592" t="str">
        <x:v>NOT_REQUIRED</x:v>
      </x:c>
      <x:c r="V592" s="16" t="n">
        <x:v>0.8143</x:v>
      </x:c>
      <x:c r="W592" t="str">
        <x:v>English</x:v>
      </x:c>
      <x:c r="X592"/>
      <x:c r="Y592" t="n">
        <x:v>884</x:v>
      </x:c>
      <x:c r="Z592" s="17" t="n">
        <x:v>4.35</x:v>
      </x:c>
      <x:c r="AA592" s="16" t="n">
        <x:v>0.8951</x:v>
      </x:c>
      <x:c r="AB592" s="16" t="n">
        <x:v>0.9777</x:v>
      </x:c>
      <x:c r="AC592" s="16" t="n">
        <x:v>0.8784</x:v>
      </x:c>
      <x:c r="AD592" t="n">
        <x:v>0</x:v>
      </x:c>
      <x:c r="AE592" t="str">
        <x:f>IF(O592&lt;&gt;"ACTIVE","NOT_RATED",IF(AND(Z592&gt;=4.8,AB592&gt;=0.97,AC592&gt;=0.93,AD592=0),"ELITE",IF(AND(Z592&gt;=4.6,AB592&gt;=0.94,AC592&gt;=0.88),"HIGH_PERFORMER",IF(OR(Z592&lt;4.2,AB592&lt;0.85,AD592&gt;=2),"AT_RISK","STANDARD"))))</x:f>
        <x:v>STANDARD</x:v>
      </x:c>
      <x:c r="AF592" s="15" t="n">
        <x:v>46009</x:v>
      </x:c>
      <x:c r="AG592" t="str">
        <x:v>PENDING</x:v>
      </x:c>
      <x:c r="AH592" t="str">
        <x:v>COMPLETE</x:v>
      </x:c>
      <x:c r="AI592" t="str">
        <x:v>Noah Brown</x:v>
      </x:c>
      <x:c r="AJ592" t="str">
        <x:v>SPOUSE_PARTNER</x:v>
      </x:c>
      <x:c r="AK592" t="str">
        <x:v>+1 (215) 555-0153</x:v>
      </x:c>
    </x:row>
    <x:row r="593" ht="18" customHeight="1">
      <x:c r="A593" t="str">
        <x:v>DHR-00592</x:v>
      </x:c>
      <x:c r="B593" t="str">
        <x:v>Skyler Anderson</x:v>
      </x:c>
      <x:c r="C593" t="str">
        <x:v>https://api.dicebear.com/9.x/adventurer/png?seed=DHR-00592-Skyler%20Anderson&amp;size=256&amp;radius=50&amp;backgroundColor=b6e3f4,c0aede,d1d4f9,ffd5dc,ffdfbf</x:v>
      </x:c>
      <x:c r="D593" t="str">
        <x:v>skyler.anderson.592@example.com</x:v>
      </x:c>
      <x:c r="E593" t="str">
        <x:v>+1 (614) 555-0191</x:v>
      </x:c>
      <x:c r="F593" t="str">
        <x:v>Columbus, OH</x:v>
      </x:c>
      <x:c r="G593" t="str">
        <x:v>Columbus</x:v>
      </x:c>
      <x:c r="H593" t="str">
        <x:v>OH</x:v>
      </x:c>
      <x:c r="I593" s="18" t="str">
        <x:v>43215</x:v>
      </x:c>
      <x:c r="J593" s="15" t="n">
        <x:v>24249.903124016204</x:v>
      </x:c>
      <x:c r="K593" t="n">
        <x:f>INT((DATE(2025,12,31)-J593)/365.25)</x:f>
        <x:v>59</x:v>
      </x:c>
      <x:c r="L593" t="str">
        <x:f>IF(K593&lt;25,"18-24",IF(K593&lt;35,"25-34",IF(K593&lt;45,"35-44",IF(K593&lt;55,"45-54","55+"))))</x:f>
        <x:v>55+</x:v>
      </x:c>
      <x:c r="M593" s="15" t="n">
        <x:v>44954.41758606482</x:v>
      </x:c>
      <x:c r="N593" t="n">
        <x:f>(YEAR(DATE(2025,12,31))-YEAR(M593))*12+MONTH(DATE(2025,12,31))-MONTH(M593)</x:f>
        <x:v>35</x:v>
      </x:c>
      <x:c r="O593" t="str">
        <x:v>ACTIVE</x:v>
      </x:c>
      <x:c r="P593" t="str">
        <x:v>INDEPENDENT_CONTRACTOR</x:v>
      </x:c>
      <x:c r="Q593" t="str">
        <x:v>CAR</x:v>
      </x:c>
      <x:c r="R593" t="str">
        <x:v>FLEXIBLE</x:v>
      </x:c>
      <x:c r="S593" t="n">
        <x:v>29</x:v>
      </x:c>
      <x:c r="T593" t="str">
        <x:v>CLEARED</x:v>
      </x:c>
      <x:c r="U593" t="str">
        <x:v>VALID</x:v>
      </x:c>
      <x:c r="V593" s="16" t="n">
        <x:v>0.8466</x:v>
      </x:c>
      <x:c r="W593" t="str">
        <x:v>Spanish</x:v>
      </x:c>
      <x:c r="X593" t="str">
        <x:v>English</x:v>
      </x:c>
      <x:c r="Y593" t="n">
        <x:v>2302</x:v>
      </x:c>
      <x:c r="Z593" s="17" t="n">
        <x:v>4.51</x:v>
      </x:c>
      <x:c r="AA593" s="16" t="n">
        <x:v>0.6127</x:v>
      </x:c>
      <x:c r="AB593" s="16" t="n">
        <x:v>0.9651</x:v>
      </x:c>
      <x:c r="AC593" s="16" t="n">
        <x:v>0.848</x:v>
      </x:c>
      <x:c r="AD593" t="n">
        <x:v>0</x:v>
      </x:c>
      <x:c r="AE593" t="str">
        <x:f>IF(O593&lt;&gt;"ACTIVE","NOT_RATED",IF(AND(Z593&gt;=4.8,AB593&gt;=0.97,AC593&gt;=0.93,AD593=0),"ELITE",IF(AND(Z593&gt;=4.6,AB593&gt;=0.94,AC593&gt;=0.88),"HIGH_PERFORMER",IF(OR(Z593&lt;4.2,AB593&lt;0.85,AD593&gt;=2),"AT_RISK","STANDARD"))))</x:f>
        <x:v>STANDARD</x:v>
      </x:c>
      <x:c r="AF593" s="15" t="n">
        <x:v>46016</x:v>
      </x:c>
      <x:c r="AG593" t="str">
        <x:v>VERIFIED</x:v>
      </x:c>
      <x:c r="AH593" t="str">
        <x:v>COMPLETE</x:v>
      </x:c>
      <x:c r="AI593" t="str">
        <x:v>Casey White</x:v>
      </x:c>
      <x:c r="AJ593" t="str">
        <x:v>FRIEND</x:v>
      </x:c>
      <x:c r="AK593" t="str">
        <x:v>+1 (614) 555-0160</x:v>
      </x:c>
    </x:row>
    <x:row r="594" ht="18" customHeight="1">
      <x:c r="A594" t="str">
        <x:v>DHR-00593</x:v>
      </x:c>
      <x:c r="B594" t="str">
        <x:v>Skyler Brown</x:v>
      </x:c>
      <x:c r="C594" t="str">
        <x:v>https://api.dicebear.com/9.x/adventurer/png?seed=DHR-00593-Skyler%20Brown&amp;size=256&amp;radius=50&amp;backgroundColor=b6e3f4,c0aede,d1d4f9,ffd5dc,ffdfbf</x:v>
      </x:c>
      <x:c r="D594" t="str">
        <x:v>skyler.brown.593@example.com</x:v>
      </x:c>
      <x:c r="E594" t="str">
        <x:v>+1 (619) 555-0192</x:v>
      </x:c>
      <x:c r="F594" t="str">
        <x:v>San Diego, CA</x:v>
      </x:c>
      <x:c r="G594" t="str">
        <x:v>San Diego</x:v>
      </x:c>
      <x:c r="H594" t="str">
        <x:v>CA</x:v>
      </x:c>
      <x:c r="I594" s="18" t="str">
        <x:v>92101</x:v>
      </x:c>
      <x:c r="J594" s="15" t="n">
        <x:v>36432.58886802083</x:v>
      </x:c>
      <x:c r="K594" t="n">
        <x:f>INT((DATE(2025,12,31)-J594)/365.25)</x:f>
        <x:v>26</x:v>
      </x:c>
      <x:c r="L594" t="str">
        <x:f>IF(K594&lt;25,"18-24",IF(K594&lt;35,"25-34",IF(K594&lt;45,"35-44",IF(K594&lt;55,"45-54","55+"))))</x:f>
        <x:v>25-34</x:v>
      </x:c>
      <x:c r="M594" s="15" t="n">
        <x:v>45404.16596533565</x:v>
      </x:c>
      <x:c r="N594" t="n">
        <x:f>(YEAR(DATE(2025,12,31))-YEAR(M594))*12+MONTH(DATE(2025,12,31))-MONTH(M594)</x:f>
        <x:v>20</x:v>
      </x:c>
      <x:c r="O594" t="str">
        <x:v>ACTIVE</x:v>
      </x:c>
      <x:c r="P594" t="str">
        <x:v>INDEPENDENT_CONTRACTOR</x:v>
      </x:c>
      <x:c r="Q594" t="str">
        <x:v>CAR</x:v>
      </x:c>
      <x:c r="R594" t="str">
        <x:v>LUNCH</x:v>
      </x:c>
      <x:c r="S594" t="n">
        <x:v>15</x:v>
      </x:c>
      <x:c r="T594" t="str">
        <x:v>CLEARED</x:v>
      </x:c>
      <x:c r="U594" t="str">
        <x:v>VALID</x:v>
      </x:c>
      <x:c r="V594" s="16" t="n">
        <x:v>0.8863</x:v>
      </x:c>
      <x:c r="W594" t="str">
        <x:v>English</x:v>
      </x:c>
      <x:c r="X594" t="str">
        <x:v>Spanish</x:v>
      </x:c>
      <x:c r="Y594" t="n">
        <x:v>913</x:v>
      </x:c>
      <x:c r="Z594" s="17" t="n">
        <x:v>4.62</x:v>
      </x:c>
      <x:c r="AA594" s="16" t="n">
        <x:v>0.7569</x:v>
      </x:c>
      <x:c r="AB594" s="16" t="n">
        <x:v>0.9748</x:v>
      </x:c>
      <x:c r="AC594" s="16" t="n">
        <x:v>0.9503</x:v>
      </x:c>
      <x:c r="AD594" t="n">
        <x:v>0</x:v>
      </x:c>
      <x:c r="AE594" t="str">
        <x:f>IF(O594&lt;&gt;"ACTIVE","NOT_RATED",IF(AND(Z594&gt;=4.8,AB594&gt;=0.97,AC594&gt;=0.93,AD594=0),"ELITE",IF(AND(Z594&gt;=4.6,AB594&gt;=0.94,AC594&gt;=0.88),"HIGH_PERFORMER",IF(OR(Z594&lt;4.2,AB594&lt;0.85,AD594&gt;=2),"AT_RISK","STANDARD"))))</x:f>
        <x:v>HIGH_PERFORMER</x:v>
      </x:c>
      <x:c r="AF594" s="15" t="n">
        <x:v>46012</x:v>
      </x:c>
      <x:c r="AG594" t="str">
        <x:v>VERIFIED</x:v>
      </x:c>
      <x:c r="AH594" t="str">
        <x:v>COMPLETE</x:v>
      </x:c>
      <x:c r="AI594" t="str">
        <x:v>Chris Lee</x:v>
      </x:c>
      <x:c r="AJ594" t="str">
        <x:v>SPOUSE_PARTNER</x:v>
      </x:c>
      <x:c r="AK594" t="str">
        <x:v>+1 (619) 555-0167</x:v>
      </x:c>
    </x:row>
    <x:row r="595" ht="18" customHeight="1">
      <x:c r="A595" t="str">
        <x:v>DHR-00594</x:v>
      </x:c>
      <x:c r="B595" t="str">
        <x:v>Skyler Clark</x:v>
      </x:c>
      <x:c r="C595" t="str">
        <x:v>https://api.dicebear.com/9.x/adventurer/png?seed=DHR-00594-Skyler%20Clark&amp;size=256&amp;radius=50&amp;backgroundColor=b6e3f4,c0aede,d1d4f9,ffd5dc,ffdfbf</x:v>
      </x:c>
      <x:c r="D595" t="str">
        <x:v>skyler.clark.594@example.com</x:v>
      </x:c>
      <x:c r="E595" t="str">
        <x:v>+1 (213) 555-0193</x:v>
      </x:c>
      <x:c r="F595" t="str">
        <x:v>Los Angeles, CA</x:v>
      </x:c>
      <x:c r="G595" t="str">
        <x:v>Los Angeles</x:v>
      </x:c>
      <x:c r="H595" t="str">
        <x:v>CA</x:v>
      </x:c>
      <x:c r="I595" s="18" t="str">
        <x:v>90012</x:v>
      </x:c>
      <x:c r="J595" s="15" t="n">
        <x:v>31822.438204293983</x:v>
      </x:c>
      <x:c r="K595" t="n">
        <x:f>INT((DATE(2025,12,31)-J595)/365.25)</x:f>
        <x:v>38</x:v>
      </x:c>
      <x:c r="L595" t="str">
        <x:f>IF(K595&lt;25,"18-24",IF(K595&lt;35,"25-34",IF(K595&lt;45,"35-44",IF(K595&lt;55,"45-54","55+"))))</x:f>
        <x:v>35-44</x:v>
      </x:c>
      <x:c r="M595" s="15" t="n">
        <x:v>43981.18068633102</x:v>
      </x:c>
      <x:c r="N595" t="n">
        <x:f>(YEAR(DATE(2025,12,31))-YEAR(M595))*12+MONTH(DATE(2025,12,31))-MONTH(M595)</x:f>
        <x:v>67</x:v>
      </x:c>
      <x:c r="O595" t="str">
        <x:v>PAUSED</x:v>
      </x:c>
      <x:c r="P595" t="str">
        <x:v>INDEPENDENT_CONTRACTOR</x:v>
      </x:c>
      <x:c r="Q595" t="str">
        <x:v>CAR</x:v>
      </x:c>
      <x:c r="R595" t="str">
        <x:v>WEEKENDS</x:v>
      </x:c>
      <x:c r="S595" t="n">
        <x:v>29</x:v>
      </x:c>
      <x:c r="T595" t="str">
        <x:v>CLEARED</x:v>
      </x:c>
      <x:c r="U595" t="str">
        <x:v>VALID</x:v>
      </x:c>
      <x:c r="V595" s="16" t="n">
        <x:v>0.7909</x:v>
      </x:c>
      <x:c r="W595" t="str">
        <x:v>Spanish</x:v>
      </x:c>
      <x:c r="X595" t="str">
        <x:v>English</x:v>
      </x:c>
      <x:c r="Y595" t="n">
        <x:v>4895</x:v>
      </x:c>
      <x:c r="Z595" s="17" t="n">
        <x:v>4.44</x:v>
      </x:c>
      <x:c r="AA595" s="16" t="n">
        <x:v>0.8764</x:v>
      </x:c>
      <x:c r="AB595" s="16" t="n">
        <x:v>0.9683</x:v>
      </x:c>
      <x:c r="AC595" s="16" t="n">
        <x:v>0.9604</x:v>
      </x:c>
      <x:c r="AD595" t="n">
        <x:v>0</x:v>
      </x:c>
      <x:c r="AE595" t="str">
        <x:f>IF(O595&lt;&gt;"ACTIVE","NOT_RATED",IF(AND(Z595&gt;=4.8,AB595&gt;=0.97,AC595&gt;=0.93,AD595=0),"ELITE",IF(AND(Z595&gt;=4.6,AB595&gt;=0.94,AC595&gt;=0.88),"HIGH_PERFORMER",IF(OR(Z595&lt;4.2,AB595&lt;0.85,AD595&gt;=2),"AT_RISK","STANDARD"))))</x:f>
        <x:v>NOT_RATED</x:v>
      </x:c>
      <x:c r="AF595" s="15" t="n">
        <x:v>45975</x:v>
      </x:c>
      <x:c r="AG595" t="str">
        <x:v>VERIFIED</x:v>
      </x:c>
      <x:c r="AH595" t="str">
        <x:v>COMPLETE</x:v>
      </x:c>
      <x:c r="AI595" t="str">
        <x:v>Taylor Martinez</x:v>
      </x:c>
      <x:c r="AJ595" t="str">
        <x:v>PARENT</x:v>
      </x:c>
      <x:c r="AK595" t="str">
        <x:v>+1 (213) 555-0174</x:v>
      </x:c>
    </x:row>
    <x:row r="596" ht="18" customHeight="1">
      <x:c r="A596" t="str">
        <x:v>DHR-00595</x:v>
      </x:c>
      <x:c r="B596" t="str">
        <x:v>Skyler Garcia</x:v>
      </x:c>
      <x:c r="C596" t="str">
        <x:v>https://api.dicebear.com/9.x/adventurer/png?seed=DHR-00595-Skyler%20Garcia&amp;size=256&amp;radius=50&amp;backgroundColor=b6e3f4,c0aede,d1d4f9,ffd5dc,ffdfbf</x:v>
      </x:c>
      <x:c r="D596" t="str">
        <x:v>skyler.garcia.595@example.com</x:v>
      </x:c>
      <x:c r="E596" t="str">
        <x:v>+1 (213) 555-0194</x:v>
      </x:c>
      <x:c r="F596" t="str">
        <x:v>Los Angeles, CA</x:v>
      </x:c>
      <x:c r="G596" t="str">
        <x:v>Los Angeles</x:v>
      </x:c>
      <x:c r="H596" t="str">
        <x:v>CA</x:v>
      </x:c>
      <x:c r="I596" s="18" t="str">
        <x:v>90012</x:v>
      </x:c>
      <x:c r="J596" s="15" t="n">
        <x:v>36932.82713049769</x:v>
      </x:c>
      <x:c r="K596" t="n">
        <x:f>INT((DATE(2025,12,31)-J596)/365.25)</x:f>
        <x:v>24</x:v>
      </x:c>
      <x:c r="L596" t="str">
        <x:f>IF(K596&lt;25,"18-24",IF(K596&lt;35,"25-34",IF(K596&lt;45,"35-44",IF(K596&lt;55,"45-54","55+"))))</x:f>
        <x:v>18-24</x:v>
      </x:c>
      <x:c r="M596" s="15" t="n">
        <x:v>44963.26492179398</x:v>
      </x:c>
      <x:c r="N596" t="n">
        <x:f>(YEAR(DATE(2025,12,31))-YEAR(M596))*12+MONTH(DATE(2025,12,31))-MONTH(M596)</x:f>
        <x:v>34</x:v>
      </x:c>
      <x:c r="O596" t="str">
        <x:v>PAUSED</x:v>
      </x:c>
      <x:c r="P596" t="str">
        <x:v>INDEPENDENT_CONTRACTOR</x:v>
      </x:c>
      <x:c r="Q596" t="str">
        <x:v>SCOOTER</x:v>
      </x:c>
      <x:c r="R596" t="str">
        <x:v>FLEXIBLE</x:v>
      </x:c>
      <x:c r="S596" t="n">
        <x:v>13</x:v>
      </x:c>
      <x:c r="T596" t="str">
        <x:v>CLEARED</x:v>
      </x:c>
      <x:c r="U596" t="str">
        <x:v>VALID</x:v>
      </x:c>
      <x:c r="V596" s="16" t="n">
        <x:v>0.8257</x:v>
      </x:c>
      <x:c r="W596" t="str">
        <x:v>English</x:v>
      </x:c>
      <x:c r="X596" t="str">
        <x:v>Portuguese</x:v>
      </x:c>
      <x:c r="Y596" t="n">
        <x:v>1659</x:v>
      </x:c>
      <x:c r="Z596" s="17" t="n">
        <x:v>4.55</x:v>
      </x:c>
      <x:c r="AA596" s="16" t="n">
        <x:v>0.6728</x:v>
      </x:c>
      <x:c r="AB596" s="16" t="n">
        <x:v>0.9746</x:v>
      </x:c>
      <x:c r="AC596" s="16" t="n">
        <x:v>0.9463</x:v>
      </x:c>
      <x:c r="AD596" t="n">
        <x:v>0</x:v>
      </x:c>
      <x:c r="AE596" t="str">
        <x:f>IF(O596&lt;&gt;"ACTIVE","NOT_RATED",IF(AND(Z596&gt;=4.8,AB596&gt;=0.97,AC596&gt;=0.93,AD596=0),"ELITE",IF(AND(Z596&gt;=4.6,AB596&gt;=0.94,AC596&gt;=0.88),"HIGH_PERFORMER",IF(OR(Z596&lt;4.2,AB596&lt;0.85,AD596&gt;=2),"AT_RISK","STANDARD"))))</x:f>
        <x:v>NOT_RATED</x:v>
      </x:c>
      <x:c r="AF596" s="15" t="n">
        <x:v>45914</x:v>
      </x:c>
      <x:c r="AG596" t="str">
        <x:v>VERIFIED</x:v>
      </x:c>
      <x:c r="AH596" t="str">
        <x:v>COMPLETE</x:v>
      </x:c>
      <x:c r="AI596" t="str">
        <x:v>Devin Clark</x:v>
      </x:c>
      <x:c r="AJ596" t="str">
        <x:v>SPOUSE_PARTNER</x:v>
      </x:c>
      <x:c r="AK596" t="str">
        <x:v>+1 (213) 555-0181</x:v>
      </x:c>
    </x:row>
    <x:row r="597" ht="18" customHeight="1">
      <x:c r="A597" t="str">
        <x:v>DHR-00596</x:v>
      </x:c>
      <x:c r="B597" t="str">
        <x:v>Skyler Harris</x:v>
      </x:c>
      <x:c r="C597" t="str">
        <x:v>https://api.dicebear.com/9.x/adventurer/png?seed=DHR-00596-Skyler%20Harris&amp;size=256&amp;radius=50&amp;backgroundColor=b6e3f4,c0aede,d1d4f9,ffd5dc,ffdfbf</x:v>
      </x:c>
      <x:c r="D597" t="str">
        <x:v>skyler.harris.596@example.com</x:v>
      </x:c>
      <x:c r="E597" t="str">
        <x:v>+1 (713) 555-0195</x:v>
      </x:c>
      <x:c r="F597" t="str">
        <x:v>Houston, TX</x:v>
      </x:c>
      <x:c r="G597" t="str">
        <x:v>Houston</x:v>
      </x:c>
      <x:c r="H597" t="str">
        <x:v>TX</x:v>
      </x:c>
      <x:c r="I597" s="18" t="str">
        <x:v>77002</x:v>
      </x:c>
      <x:c r="J597" s="15" t="n">
        <x:v>37091.025483460646</x:v>
      </x:c>
      <x:c r="K597" t="n">
        <x:f>INT((DATE(2025,12,31)-J597)/365.25)</x:f>
        <x:v>24</x:v>
      </x:c>
      <x:c r="L597" t="str">
        <x:f>IF(K597&lt;25,"18-24",IF(K597&lt;35,"25-34",IF(K597&lt;45,"35-44",IF(K597&lt;55,"45-54","55+"))))</x:f>
        <x:v>18-24</x:v>
      </x:c>
      <x:c r="M597" s="15" t="n">
        <x:v>44445.81085574074</x:v>
      </x:c>
      <x:c r="N597" t="n">
        <x:f>(YEAR(DATE(2025,12,31))-YEAR(M597))*12+MONTH(DATE(2025,12,31))-MONTH(M597)</x:f>
        <x:v>51</x:v>
      </x:c>
      <x:c r="O597" t="str">
        <x:v>PAUSED</x:v>
      </x:c>
      <x:c r="P597" t="str">
        <x:v>INDEPENDENT_CONTRACTOR</x:v>
      </x:c>
      <x:c r="Q597" t="str">
        <x:v>CAR</x:v>
      </x:c>
      <x:c r="R597" t="str">
        <x:v>WEEKENDS</x:v>
      </x:c>
      <x:c r="S597" t="n">
        <x:v>16</x:v>
      </x:c>
      <x:c r="T597" t="str">
        <x:v>CLEARED</x:v>
      </x:c>
      <x:c r="U597" t="str">
        <x:v>VALID</x:v>
      </x:c>
      <x:c r="V597" s="16" t="n">
        <x:v>0.9632</x:v>
      </x:c>
      <x:c r="W597" t="str">
        <x:v>English</x:v>
      </x:c>
      <x:c r="X597"/>
      <x:c r="Y597" t="n">
        <x:v>2384</x:v>
      </x:c>
      <x:c r="Z597" s="17" t="n">
        <x:v>4.64</x:v>
      </x:c>
      <x:c r="AA597" s="16" t="n">
        <x:v>0.9052</x:v>
      </x:c>
      <x:c r="AB597" s="16" t="n">
        <x:v>0.9639</x:v>
      </x:c>
      <x:c r="AC597" s="16" t="n">
        <x:v>0.9837</x:v>
      </x:c>
      <x:c r="AD597" t="n">
        <x:v>3</x:v>
      </x:c>
      <x:c r="AE597" t="str">
        <x:f>IF(O597&lt;&gt;"ACTIVE","NOT_RATED",IF(AND(Z597&gt;=4.8,AB597&gt;=0.97,AC597&gt;=0.93,AD597=0),"ELITE",IF(AND(Z597&gt;=4.6,AB597&gt;=0.94,AC597&gt;=0.88),"HIGH_PERFORMER",IF(OR(Z597&lt;4.2,AB597&lt;0.85,AD597&gt;=2),"AT_RISK","STANDARD"))))</x:f>
        <x:v>NOT_RATED</x:v>
      </x:c>
      <x:c r="AF597" s="15" t="n">
        <x:v>45962</x:v>
      </x:c>
      <x:c r="AG597" t="str">
        <x:v>VERIFIED</x:v>
      </x:c>
      <x:c r="AH597" t="str">
        <x:v>COMPLETE</x:v>
      </x:c>
      <x:c r="AI597" t="str">
        <x:v>Mia Thomas</x:v>
      </x:c>
      <x:c r="AJ597" t="str">
        <x:v>SPOUSE_PARTNER</x:v>
      </x:c>
      <x:c r="AK597" t="str">
        <x:v>+1 (713) 555-0188</x:v>
      </x:c>
    </x:row>
    <x:row r="598" ht="18" customHeight="1">
      <x:c r="A598" t="str">
        <x:v>DHR-00597</x:v>
      </x:c>
      <x:c r="B598" t="str">
        <x:v>Skyler Jackson</x:v>
      </x:c>
      <x:c r="C598" t="str">
        <x:v>https://api.dicebear.com/9.x/adventurer/png?seed=DHR-00597-Skyler%20Jackson&amp;size=256&amp;radius=50&amp;backgroundColor=b6e3f4,c0aede,d1d4f9,ffd5dc,ffdfbf</x:v>
      </x:c>
      <x:c r="D598" t="str">
        <x:v>skyler.jackson.597@example.com</x:v>
      </x:c>
      <x:c r="E598" t="str">
        <x:v>+1 (213) 555-0196</x:v>
      </x:c>
      <x:c r="F598" t="str">
        <x:v>Los Angeles, CA</x:v>
      </x:c>
      <x:c r="G598" t="str">
        <x:v>Los Angeles</x:v>
      </x:c>
      <x:c r="H598" t="str">
        <x:v>CA</x:v>
      </x:c>
      <x:c r="I598" s="18" t="str">
        <x:v>90012</x:v>
      </x:c>
      <x:c r="J598" s="15" t="n">
        <x:v>26111.300252337962</x:v>
      </x:c>
      <x:c r="K598" t="n">
        <x:f>INT((DATE(2025,12,31)-J598)/365.25)</x:f>
        <x:v>54</x:v>
      </x:c>
      <x:c r="L598" t="str">
        <x:f>IF(K598&lt;25,"18-24",IF(K598&lt;35,"25-34",IF(K598&lt;45,"35-44",IF(K598&lt;55,"45-54","55+"))))</x:f>
        <x:v>45-54</x:v>
      </x:c>
      <x:c r="M598" s="15" t="n">
        <x:v>44069.373150451385</x:v>
      </x:c>
      <x:c r="N598" t="n">
        <x:f>(YEAR(DATE(2025,12,31))-YEAR(M598))*12+MONTH(DATE(2025,12,31))-MONTH(M598)</x:f>
        <x:v>64</x:v>
      </x:c>
      <x:c r="O598" t="str">
        <x:v>ACTIVE</x:v>
      </x:c>
      <x:c r="P598" t="str">
        <x:v>INDEPENDENT_CONTRACTOR</x:v>
      </x:c>
      <x:c r="Q598" t="str">
        <x:v>CAR</x:v>
      </x:c>
      <x:c r="R598" t="str">
        <x:v>DINNER</x:v>
      </x:c>
      <x:c r="S598" t="n">
        <x:v>26</x:v>
      </x:c>
      <x:c r="T598" t="str">
        <x:v>PENDING</x:v>
      </x:c>
      <x:c r="U598" t="str">
        <x:v>VALID</x:v>
      </x:c>
      <x:c r="V598" s="16" t="n">
        <x:v>0.8299</x:v>
      </x:c>
      <x:c r="W598" t="str">
        <x:v>English</x:v>
      </x:c>
      <x:c r="X598"/>
      <x:c r="Y598" t="n">
        <x:v>3838</x:v>
      </x:c>
      <x:c r="Z598" s="17" t="n">
        <x:v>4.75</x:v>
      </x:c>
      <x:c r="AA598" s="16" t="n">
        <x:v>0.8327</x:v>
      </x:c>
      <x:c r="AB598" s="16" t="n">
        <x:v>0.9075</x:v>
      </x:c>
      <x:c r="AC598" s="16" t="n">
        <x:v>0.9218</x:v>
      </x:c>
      <x:c r="AD598" t="n">
        <x:v>0</x:v>
      </x:c>
      <x:c r="AE598" t="str">
        <x:f>IF(O598&lt;&gt;"ACTIVE","NOT_RATED",IF(AND(Z598&gt;=4.8,AB598&gt;=0.97,AC598&gt;=0.93,AD598=0),"ELITE",IF(AND(Z598&gt;=4.6,AB598&gt;=0.94,AC598&gt;=0.88),"HIGH_PERFORMER",IF(OR(Z598&lt;4.2,AB598&lt;0.85,AD598&gt;=2),"AT_RISK","STANDARD"))))</x:f>
        <x:v>STANDARD</x:v>
      </x:c>
      <x:c r="AF598" s="15" t="n">
        <x:v>46021</x:v>
      </x:c>
      <x:c r="AG598" t="str">
        <x:v>VERIFIED</x:v>
      </x:c>
      <x:c r="AH598" t="str">
        <x:v>COMPLETE</x:v>
      </x:c>
      <x:c r="AI598" t="str">
        <x:v>Noah Garcia</x:v>
      </x:c>
      <x:c r="AJ598" t="str">
        <x:v>SPOUSE_PARTNER</x:v>
      </x:c>
      <x:c r="AK598" t="str">
        <x:v>+1 (213) 555-0195</x:v>
      </x:c>
    </x:row>
    <x:row r="599" ht="18" customHeight="1">
      <x:c r="A599" t="str">
        <x:v>DHR-00598</x:v>
      </x:c>
      <x:c r="B599" t="str">
        <x:v>Skyler Johnson</x:v>
      </x:c>
      <x:c r="C599" t="str">
        <x:v>https://api.dicebear.com/9.x/adventurer/png?seed=DHR-00598-Skyler%20Johnson&amp;size=256&amp;radius=50&amp;backgroundColor=b6e3f4,c0aede,d1d4f9,ffd5dc,ffdfbf</x:v>
      </x:c>
      <x:c r="D599" t="str">
        <x:v>skyler.johnson.598@example.com</x:v>
      </x:c>
      <x:c r="E599" t="str">
        <x:v>+1 (614) 555-0197</x:v>
      </x:c>
      <x:c r="F599" t="str">
        <x:v>Columbus, OH</x:v>
      </x:c>
      <x:c r="G599" t="str">
        <x:v>Columbus</x:v>
      </x:c>
      <x:c r="H599" t="str">
        <x:v>OH</x:v>
      </x:c>
      <x:c r="I599" s="18" t="str">
        <x:v>43215</x:v>
      </x:c>
      <x:c r="J599" s="15" t="n">
        <x:v>37867.70574790509</x:v>
      </x:c>
      <x:c r="K599" t="n">
        <x:f>INT((DATE(2025,12,31)-J599)/365.25)</x:f>
        <x:v>22</x:v>
      </x:c>
      <x:c r="L599" t="str">
        <x:f>IF(K599&lt;25,"18-24",IF(K599&lt;35,"25-34",IF(K599&lt;45,"35-44",IF(K599&lt;55,"45-54","55+"))))</x:f>
        <x:v>18-24</x:v>
      </x:c>
      <x:c r="M599" s="15" t="n">
        <x:v>45802.767803587965</x:v>
      </x:c>
      <x:c r="N599" t="n">
        <x:f>(YEAR(DATE(2025,12,31))-YEAR(M599))*12+MONTH(DATE(2025,12,31))-MONTH(M599)</x:f>
        <x:v>7</x:v>
      </x:c>
      <x:c r="O599" t="str">
        <x:v>ACTIVE</x:v>
      </x:c>
      <x:c r="P599" t="str">
        <x:v>INDEPENDENT_CONTRACTOR</x:v>
      </x:c>
      <x:c r="Q599" t="str">
        <x:v>CAR</x:v>
      </x:c>
      <x:c r="R599" t="str">
        <x:v>FLEXIBLE</x:v>
      </x:c>
      <x:c r="S599" t="n">
        <x:v>43</x:v>
      </x:c>
      <x:c r="T599" t="str">
        <x:v>CLEARED</x:v>
      </x:c>
      <x:c r="U599" t="str">
        <x:v>VALID</x:v>
      </x:c>
      <x:c r="V599" s="16" t="n">
        <x:v>0.8317</x:v>
      </x:c>
      <x:c r="W599" t="str">
        <x:v>Spanish</x:v>
      </x:c>
      <x:c r="X599"/>
      <x:c r="Y599" t="n">
        <x:v>899</x:v>
      </x:c>
      <x:c r="Z599" s="17" t="n">
        <x:v>4.76</x:v>
      </x:c>
      <x:c r="AA599" s="16" t="n">
        <x:v>0.7351</x:v>
      </x:c>
      <x:c r="AB599" s="16" t="n">
        <x:v>0.9263</x:v>
      </x:c>
      <x:c r="AC599" s="16" t="n">
        <x:v>0.9005</x:v>
      </x:c>
      <x:c r="AD599" t="n">
        <x:v>0</x:v>
      </x:c>
      <x:c r="AE599" t="str">
        <x:f>IF(O599&lt;&gt;"ACTIVE","NOT_RATED",IF(AND(Z599&gt;=4.8,AB599&gt;=0.97,AC599&gt;=0.93,AD599=0),"ELITE",IF(AND(Z599&gt;=4.6,AB599&gt;=0.94,AC599&gt;=0.88),"HIGH_PERFORMER",IF(OR(Z599&lt;4.2,AB599&lt;0.85,AD599&gt;=2),"AT_RISK","STANDARD"))))</x:f>
        <x:v>STANDARD</x:v>
      </x:c>
      <x:c r="AF599" s="15" t="n">
        <x:v>46014</x:v>
      </x:c>
      <x:c r="AG599" t="str">
        <x:v>VERIFIED</x:v>
      </x:c>
      <x:c r="AH599" t="str">
        <x:v>COMPLETE</x:v>
      </x:c>
      <x:c r="AI599" t="str">
        <x:v>Ethan Moore</x:v>
      </x:c>
      <x:c r="AJ599" t="str">
        <x:v>PARENT</x:v>
      </x:c>
      <x:c r="AK599" t="str">
        <x:v>+1 (614) 555-0102</x:v>
      </x:c>
    </x:row>
    <x:row r="600" ht="18" customHeight="1">
      <x:c r="A600" t="str">
        <x:v>DHR-00599</x:v>
      </x:c>
      <x:c r="B600" t="str">
        <x:v>Skyler Jones</x:v>
      </x:c>
      <x:c r="C600" t="str">
        <x:v>https://api.dicebear.com/9.x/adventurer/png?seed=DHR-00599-Skyler%20Jones&amp;size=256&amp;radius=50&amp;backgroundColor=b6e3f4,c0aede,d1d4f9,ffd5dc,ffdfbf</x:v>
      </x:c>
      <x:c r="D600" t="str">
        <x:v>skyler.jones.599@example.com</x:v>
      </x:c>
      <x:c r="E600" t="str">
        <x:v>+1 (206) 555-0198</x:v>
      </x:c>
      <x:c r="F600" t="str">
        <x:v>Seattle, WA</x:v>
      </x:c>
      <x:c r="G600" t="str">
        <x:v>Seattle</x:v>
      </x:c>
      <x:c r="H600" t="str">
        <x:v>WA</x:v>
      </x:c>
      <x:c r="I600" s="18" t="str">
        <x:v>98101</x:v>
      </x:c>
      <x:c r="J600" s="15" t="n">
        <x:v>27986.367106979167</x:v>
      </x:c>
      <x:c r="K600" t="n">
        <x:f>INT((DATE(2025,12,31)-J600)/365.25)</x:f>
        <x:v>49</x:v>
      </x:c>
      <x:c r="L600" t="str">
        <x:f>IF(K600&lt;25,"18-24",IF(K600&lt;35,"25-34",IF(K600&lt;45,"35-44",IF(K600&lt;55,"45-54","55+"))))</x:f>
        <x:v>45-54</x:v>
      </x:c>
      <x:c r="M600" s="15" t="n">
        <x:v>45614.370995219906</x:v>
      </x:c>
      <x:c r="N600" t="n">
        <x:f>(YEAR(DATE(2025,12,31))-YEAR(M600))*12+MONTH(DATE(2025,12,31))-MONTH(M600)</x:f>
        <x:v>13</x:v>
      </x:c>
      <x:c r="O600" t="str">
        <x:v>ACTIVE</x:v>
      </x:c>
      <x:c r="P600" t="str">
        <x:v>INDEPENDENT_CONTRACTOR</x:v>
      </x:c>
      <x:c r="Q600" t="str">
        <x:v>BICYCLE</x:v>
      </x:c>
      <x:c r="R600" t="str">
        <x:v>WEEKENDS</x:v>
      </x:c>
      <x:c r="S600" t="n">
        <x:v>41</x:v>
      </x:c>
      <x:c r="T600" t="str">
        <x:v>CLEARED</x:v>
      </x:c>
      <x:c r="U600" t="str">
        <x:v>NOT_REQUIRED</x:v>
      </x:c>
      <x:c r="V600" s="16" t="n">
        <x:v>0.8983</x:v>
      </x:c>
      <x:c r="W600" t="str">
        <x:v>Spanish</x:v>
      </x:c>
      <x:c r="X600" t="str">
        <x:v>English</x:v>
      </x:c>
      <x:c r="Y600" t="n">
        <x:v>1599</x:v>
      </x:c>
      <x:c r="Z600" s="17" t="n">
        <x:v>4.37</x:v>
      </x:c>
      <x:c r="AA600" s="16" t="n">
        <x:v>0.8215</x:v>
      </x:c>
      <x:c r="AB600" s="16" t="n">
        <x:v>0.943</x:v>
      </x:c>
      <x:c r="AC600" s="16" t="n">
        <x:v>0.9505</x:v>
      </x:c>
      <x:c r="AD600" t="n">
        <x:v>0</x:v>
      </x:c>
      <x:c r="AE600" t="str">
        <x:f>IF(O600&lt;&gt;"ACTIVE","NOT_RATED",IF(AND(Z600&gt;=4.8,AB600&gt;=0.97,AC600&gt;=0.93,AD600=0),"ELITE",IF(AND(Z600&gt;=4.6,AB600&gt;=0.94,AC600&gt;=0.88),"HIGH_PERFORMER",IF(OR(Z600&lt;4.2,AB600&lt;0.85,AD600&gt;=2),"AT_RISK","STANDARD"))))</x:f>
        <x:v>STANDARD</x:v>
      </x:c>
      <x:c r="AF600" s="15" t="n">
        <x:v>46014</x:v>
      </x:c>
      <x:c r="AG600" t="str">
        <x:v>VERIFIED</x:v>
      </x:c>
      <x:c r="AH600" t="str">
        <x:v>COMPLETE</x:v>
      </x:c>
      <x:c r="AI600" t="str">
        <x:v>Olivia Martin</x:v>
      </x:c>
      <x:c r="AJ600" t="str">
        <x:v>SPOUSE_PARTNER</x:v>
      </x:c>
      <x:c r="AK600" t="str">
        <x:v>+1 (206) 555-0109</x:v>
      </x:c>
    </x:row>
    <x:row r="601" ht="18" customHeight="1">
      <x:c r="A601" t="str">
        <x:v>DHR-00600</x:v>
      </x:c>
      <x:c r="B601" t="str">
        <x:v>Skyler Lee</x:v>
      </x:c>
      <x:c r="C601" t="str">
        <x:v>https://api.dicebear.com/9.x/adventurer/png?seed=DHR-00600-Skyler%20Lee&amp;size=256&amp;radius=50&amp;backgroundColor=b6e3f4,c0aede,d1d4f9,ffd5dc,ffdfbf</x:v>
      </x:c>
      <x:c r="D601" t="str">
        <x:v>skyler.lee.600@example.com</x:v>
      </x:c>
      <x:c r="E601" t="str">
        <x:v>+1 (713) 555-0199</x:v>
      </x:c>
      <x:c r="F601" t="str">
        <x:v>Houston, TX</x:v>
      </x:c>
      <x:c r="G601" t="str">
        <x:v>Houston</x:v>
      </x:c>
      <x:c r="H601" t="str">
        <x:v>TX</x:v>
      </x:c>
      <x:c r="I601" s="18" t="str">
        <x:v>77002</x:v>
      </x:c>
      <x:c r="J601" s="15" t="n">
        <x:v>27672.011022326387</x:v>
      </x:c>
      <x:c r="K601" t="n">
        <x:f>INT((DATE(2025,12,31)-J601)/365.25)</x:f>
        <x:v>50</x:v>
      </x:c>
      <x:c r="L601" t="str">
        <x:f>IF(K601&lt;25,"18-24",IF(K601&lt;35,"25-34",IF(K601&lt;45,"35-44",IF(K601&lt;55,"45-54","55+"))))</x:f>
        <x:v>45-54</x:v>
      </x:c>
      <x:c r="M601" s="15" t="n">
        <x:v>44550.93065372685</x:v>
      </x:c>
      <x:c r="N601" t="n">
        <x:f>(YEAR(DATE(2025,12,31))-YEAR(M601))*12+MONTH(DATE(2025,12,31))-MONTH(M601)</x:f>
        <x:v>48</x:v>
      </x:c>
      <x:c r="O601" t="str">
        <x:v>ACTIVE</x:v>
      </x:c>
      <x:c r="P601" t="str">
        <x:v>INDEPENDENT_CONTRACTOR</x:v>
      </x:c>
      <x:c r="Q601" t="str">
        <x:v>BICYCLE</x:v>
      </x:c>
      <x:c r="R601" t="str">
        <x:v>DINNER</x:v>
      </x:c>
      <x:c r="S601" t="n">
        <x:v>38</x:v>
      </x:c>
      <x:c r="T601" t="str">
        <x:v>CLEARED</x:v>
      </x:c>
      <x:c r="U601" t="str">
        <x:v>NOT_REQUIRED</x:v>
      </x:c>
      <x:c r="V601" s="16" t="n">
        <x:v>0.9155</x:v>
      </x:c>
      <x:c r="W601" t="str">
        <x:v>English</x:v>
      </x:c>
      <x:c r="X601"/>
      <x:c r="Y601" t="n">
        <x:v>6007</x:v>
      </x:c>
      <x:c r="Z601" s="17" t="n">
        <x:v>4.33</x:v>
      </x:c>
      <x:c r="AA601" s="16" t="n">
        <x:v>0.7501</x:v>
      </x:c>
      <x:c r="AB601" s="16" t="n">
        <x:v>0.9461</x:v>
      </x:c>
      <x:c r="AC601" s="16" t="n">
        <x:v>0.9391</x:v>
      </x:c>
      <x:c r="AD601" t="n">
        <x:v>0</x:v>
      </x:c>
      <x:c r="AE601" t="str">
        <x:f>IF(O601&lt;&gt;"ACTIVE","NOT_RATED",IF(AND(Z601&gt;=4.8,AB601&gt;=0.97,AC601&gt;=0.93,AD601=0),"ELITE",IF(AND(Z601&gt;=4.6,AB601&gt;=0.94,AC601&gt;=0.88),"HIGH_PERFORMER",IF(OR(Z601&lt;4.2,AB601&lt;0.85,AD601&gt;=2),"AT_RISK","STANDARD"))))</x:f>
        <x:v>STANDARD</x:v>
      </x:c>
      <x:c r="AF601" s="15" t="n">
        <x:v>46015</x:v>
      </x:c>
      <x:c r="AG601" t="str">
        <x:v>VERIFIED</x:v>
      </x:c>
      <x:c r="AH601" t="str">
        <x:v>COMPLETE</x:v>
      </x:c>
      <x:c r="AI601" t="str">
        <x:v>Jesse Jones</x:v>
      </x:c>
      <x:c r="AJ601" t="str">
        <x:v>SPOUSE_PARTNER</x:v>
      </x:c>
      <x:c r="AK601" t="str">
        <x:v>+1 (713) 555-0116</x:v>
      </x:c>
    </x:row>
    <x:row r="602" ht="18" customHeight="1">
      <x:c r="A602" t="str">
        <x:v>DHR-00601</x:v>
      </x:c>
      <x:c r="B602" t="str">
        <x:v>Skyler Lewis</x:v>
      </x:c>
      <x:c r="C602" t="str">
        <x:v>https://api.dicebear.com/9.x/adventurer/png?seed=DHR-00601-Skyler%20Lewis&amp;size=256&amp;radius=50&amp;backgroundColor=b6e3f4,c0aede,d1d4f9,ffd5dc,ffdfbf</x:v>
      </x:c>
      <x:c r="D602" t="str">
        <x:v>skyler.lewis.601@example.com</x:v>
      </x:c>
      <x:c r="E602" t="str">
        <x:v>+1 (602) 555-0100</x:v>
      </x:c>
      <x:c r="F602" t="str">
        <x:v>Phoenix, AZ</x:v>
      </x:c>
      <x:c r="G602" t="str">
        <x:v>Phoenix</x:v>
      </x:c>
      <x:c r="H602" t="str">
        <x:v>AZ</x:v>
      </x:c>
      <x:c r="I602" s="18" t="str">
        <x:v>85004</x:v>
      </x:c>
      <x:c r="J602" s="15" t="n">
        <x:v>26954.82865990741</x:v>
      </x:c>
      <x:c r="K602" t="n">
        <x:f>INT((DATE(2025,12,31)-J602)/365.25)</x:f>
        <x:v>52</x:v>
      </x:c>
      <x:c r="L602" t="str">
        <x:f>IF(K602&lt;25,"18-24",IF(K602&lt;35,"25-34",IF(K602&lt;45,"35-44",IF(K602&lt;55,"45-54","55+"))))</x:f>
        <x:v>45-54</x:v>
      </x:c>
      <x:c r="M602" s="15" t="n">
        <x:v>44095.30977346065</x:v>
      </x:c>
      <x:c r="N602" t="n">
        <x:f>(YEAR(DATE(2025,12,31))-YEAR(M602))*12+MONTH(DATE(2025,12,31))-MONTH(M602)</x:f>
        <x:v>63</x:v>
      </x:c>
      <x:c r="O602" t="str">
        <x:v>OFFBOARDED</x:v>
      </x:c>
      <x:c r="P602" t="str">
        <x:v>INDEPENDENT_CONTRACTOR</x:v>
      </x:c>
      <x:c r="Q602" t="str">
        <x:v>CAR</x:v>
      </x:c>
      <x:c r="R602" t="str">
        <x:v>DINNER</x:v>
      </x:c>
      <x:c r="S602" t="n">
        <x:v>14</x:v>
      </x:c>
      <x:c r="T602" t="str">
        <x:v>CLEARED</x:v>
      </x:c>
      <x:c r="U602" t="str">
        <x:v>VALID</x:v>
      </x:c>
      <x:c r="V602" s="16" t="n">
        <x:v>0.7364</x:v>
      </x:c>
      <x:c r="W602" t="str">
        <x:v>English</x:v>
      </x:c>
      <x:c r="X602"/>
      <x:c r="Y602" t="n">
        <x:v>3695</x:v>
      </x:c>
      <x:c r="Z602" s="17" t="n">
        <x:v>4.83</x:v>
      </x:c>
      <x:c r="AA602" s="16" t="n">
        <x:v>0.857</x:v>
      </x:c>
      <x:c r="AB602" s="16" t="n">
        <x:v>0.998</x:v>
      </x:c>
      <x:c r="AC602" s="16" t="n">
        <x:v>0.8284</x:v>
      </x:c>
      <x:c r="AD602" t="n">
        <x:v>0</x:v>
      </x:c>
      <x:c r="AE602" t="str">
        <x:f>IF(O602&lt;&gt;"ACTIVE","NOT_RATED",IF(AND(Z602&gt;=4.8,AB602&gt;=0.97,AC602&gt;=0.93,AD602=0),"ELITE",IF(AND(Z602&gt;=4.6,AB602&gt;=0.94,AC602&gt;=0.88),"HIGH_PERFORMER",IF(OR(Z602&lt;4.2,AB602&lt;0.85,AD602&gt;=2),"AT_RISK","STANDARD"))))</x:f>
        <x:v>NOT_RATED</x:v>
      </x:c>
      <x:c r="AF602" s="15" t="n">
        <x:v>45611</x:v>
      </x:c>
      <x:c r="AG602" t="str">
        <x:v>VERIFIED</x:v>
      </x:c>
      <x:c r="AH602" t="str">
        <x:v>COMPLETE</x:v>
      </x:c>
      <x:c r="AI602" t="str">
        <x:v>Hayden Perez</x:v>
      </x:c>
      <x:c r="AJ602" t="str">
        <x:v>FRIEND</x:v>
      </x:c>
      <x:c r="AK602" t="str">
        <x:v>+1 (602) 555-0123</x:v>
      </x:c>
    </x:row>
    <x:row r="603" ht="18" customHeight="1">
      <x:c r="A603" t="str">
        <x:v>DHR-00602</x:v>
      </x:c>
      <x:c r="B603" t="str">
        <x:v>Skyler Martin</x:v>
      </x:c>
      <x:c r="C603" t="str">
        <x:v>https://api.dicebear.com/9.x/adventurer/png?seed=DHR-00602-Skyler%20Martin&amp;size=256&amp;radius=50&amp;backgroundColor=b6e3f4,c0aede,d1d4f9,ffd5dc,ffdfbf</x:v>
      </x:c>
      <x:c r="D603" t="str">
        <x:v>skyler.martin.602@example.com</x:v>
      </x:c>
      <x:c r="E603" t="str">
        <x:v>+1 (602) 555-0101</x:v>
      </x:c>
      <x:c r="F603" t="str">
        <x:v>Phoenix, AZ</x:v>
      </x:c>
      <x:c r="G603" t="str">
        <x:v>Phoenix</x:v>
      </x:c>
      <x:c r="H603" t="str">
        <x:v>AZ</x:v>
      </x:c>
      <x:c r="I603" s="18" t="str">
        <x:v>85004</x:v>
      </x:c>
      <x:c r="J603" s="15" t="n">
        <x:v>32744.408065208332</x:v>
      </x:c>
      <x:c r="K603" t="n">
        <x:f>INT((DATE(2025,12,31)-J603)/365.25)</x:f>
        <x:v>36</x:v>
      </x:c>
      <x:c r="L603" t="str">
        <x:f>IF(K603&lt;25,"18-24",IF(K603&lt;35,"25-34",IF(K603&lt;45,"35-44",IF(K603&lt;55,"45-54","55+"))))</x:f>
        <x:v>35-44</x:v>
      </x:c>
      <x:c r="M603" s="15" t="n">
        <x:v>44049.02171123843</x:v>
      </x:c>
      <x:c r="N603" t="n">
        <x:f>(YEAR(DATE(2025,12,31))-YEAR(M603))*12+MONTH(DATE(2025,12,31))-MONTH(M603)</x:f>
        <x:v>64</x:v>
      </x:c>
      <x:c r="O603" t="str">
        <x:v>ACTIVE</x:v>
      </x:c>
      <x:c r="P603" t="str">
        <x:v>INDEPENDENT_CONTRACTOR</x:v>
      </x:c>
      <x:c r="Q603" t="str">
        <x:v>CAR</x:v>
      </x:c>
      <x:c r="R603" t="str">
        <x:v>DINNER</x:v>
      </x:c>
      <x:c r="S603" t="n">
        <x:v>45</x:v>
      </x:c>
      <x:c r="T603" t="str">
        <x:v>CLEARED</x:v>
      </x:c>
      <x:c r="U603" t="str">
        <x:v>VALID</x:v>
      </x:c>
      <x:c r="V603" s="16" t="n">
        <x:v>0.9958</x:v>
      </x:c>
      <x:c r="W603" t="str">
        <x:v>English</x:v>
      </x:c>
      <x:c r="X603" t="str">
        <x:v>Spanish</x:v>
      </x:c>
      <x:c r="Y603" t="n">
        <x:v>10817</x:v>
      </x:c>
      <x:c r="Z603" s="17" t="n">
        <x:v>4.97</x:v>
      </x:c>
      <x:c r="AA603" s="16" t="n">
        <x:v>0.9451</x:v>
      </x:c>
      <x:c r="AB603" s="16" t="n">
        <x:v>0.9268</x:v>
      </x:c>
      <x:c r="AC603" s="16" t="n">
        <x:v>0.9824</x:v>
      </x:c>
      <x:c r="AD603" t="n">
        <x:v>0</x:v>
      </x:c>
      <x:c r="AE603" t="str">
        <x:f>IF(O603&lt;&gt;"ACTIVE","NOT_RATED",IF(AND(Z603&gt;=4.8,AB603&gt;=0.97,AC603&gt;=0.93,AD603=0),"ELITE",IF(AND(Z603&gt;=4.6,AB603&gt;=0.94,AC603&gt;=0.88),"HIGH_PERFORMER",IF(OR(Z603&lt;4.2,AB603&lt;0.85,AD603&gt;=2),"AT_RISK","STANDARD"))))</x:f>
        <x:v>STANDARD</x:v>
      </x:c>
      <x:c r="AF603" s="15" t="n">
        <x:v>46014</x:v>
      </x:c>
      <x:c r="AG603" t="str">
        <x:v>VERIFIED</x:v>
      </x:c>
      <x:c r="AH603" t="str">
        <x:v>COMPLETE</x:v>
      </x:c>
      <x:c r="AI603" t="str">
        <x:v>Morgan Martin</x:v>
      </x:c>
      <x:c r="AJ603" t="str">
        <x:v>SIBLING</x:v>
      </x:c>
      <x:c r="AK603" t="str">
        <x:v>+1 (602) 555-0130</x:v>
      </x:c>
    </x:row>
    <x:row r="604" ht="18" customHeight="1">
      <x:c r="A604" t="str">
        <x:v>DHR-00603</x:v>
      </x:c>
      <x:c r="B604" t="str">
        <x:v>Skyler Martinez</x:v>
      </x:c>
      <x:c r="C604" t="str">
        <x:v>https://api.dicebear.com/9.x/adventurer/png?seed=DHR-00603-Skyler%20Martinez&amp;size=256&amp;radius=50&amp;backgroundColor=b6e3f4,c0aede,d1d4f9,ffd5dc,ffdfbf</x:v>
      </x:c>
      <x:c r="D604" t="str">
        <x:v>skyler.martinez.603@example.com</x:v>
      </x:c>
      <x:c r="E604" t="str">
        <x:v>+1 (503) 555-0102</x:v>
      </x:c>
      <x:c r="F604" t="str">
        <x:v>Portland, OR</x:v>
      </x:c>
      <x:c r="G604" t="str">
        <x:v>Portland</x:v>
      </x:c>
      <x:c r="H604" t="str">
        <x:v>OR</x:v>
      </x:c>
      <x:c r="I604" s="18" t="str">
        <x:v>97205</x:v>
      </x:c>
      <x:c r="J604" s="15" t="n">
        <x:v>27913.630580578705</x:v>
      </x:c>
      <x:c r="K604" t="n">
        <x:f>INT((DATE(2025,12,31)-J604)/365.25)</x:f>
        <x:v>49</x:v>
      </x:c>
      <x:c r="L604" t="str">
        <x:f>IF(K604&lt;25,"18-24",IF(K604&lt;35,"25-34",IF(K604&lt;45,"35-44",IF(K604&lt;55,"45-54","55+"))))</x:f>
        <x:v>45-54</x:v>
      </x:c>
      <x:c r="M604" s="15" t="n">
        <x:v>44625.488244479166</x:v>
      </x:c>
      <x:c r="N604" t="n">
        <x:f>(YEAR(DATE(2025,12,31))-YEAR(M604))*12+MONTH(DATE(2025,12,31))-MONTH(M604)</x:f>
        <x:v>45</x:v>
      </x:c>
      <x:c r="O604" t="str">
        <x:v>ACTIVE</x:v>
      </x:c>
      <x:c r="P604" t="str">
        <x:v>INDEPENDENT_CONTRACTOR</x:v>
      </x:c>
      <x:c r="Q604" t="str">
        <x:v>CAR</x:v>
      </x:c>
      <x:c r="R604" t="str">
        <x:v>FLEXIBLE</x:v>
      </x:c>
      <x:c r="S604" t="n">
        <x:v>14</x:v>
      </x:c>
      <x:c r="T604" t="str">
        <x:v>CLEARED</x:v>
      </x:c>
      <x:c r="U604" t="str">
        <x:v>VALID</x:v>
      </x:c>
      <x:c r="V604" s="16" t="n">
        <x:v>0.8924</x:v>
      </x:c>
      <x:c r="W604" t="str">
        <x:v>English</x:v>
      </x:c>
      <x:c r="X604"/>
      <x:c r="Y604" t="n">
        <x:v>1620</x:v>
      </x:c>
      <x:c r="Z604" s="17" t="n">
        <x:v>4.6</x:v>
      </x:c>
      <x:c r="AA604" s="16" t="n">
        <x:v>0.6762</x:v>
      </x:c>
      <x:c r="AB604" s="16" t="n">
        <x:v>0.8946</x:v>
      </x:c>
      <x:c r="AC604" s="16" t="n">
        <x:v>0.8217</x:v>
      </x:c>
      <x:c r="AD604" t="n">
        <x:v>0</x:v>
      </x:c>
      <x:c r="AE604" t="str">
        <x:f>IF(O604&lt;&gt;"ACTIVE","NOT_RATED",IF(AND(Z604&gt;=4.8,AB604&gt;=0.97,AC604&gt;=0.93,AD604=0),"ELITE",IF(AND(Z604&gt;=4.6,AB604&gt;=0.94,AC604&gt;=0.88),"HIGH_PERFORMER",IF(OR(Z604&lt;4.2,AB604&lt;0.85,AD604&gt;=2),"AT_RISK","STANDARD"))))</x:f>
        <x:v>STANDARD</x:v>
      </x:c>
      <x:c r="AF604" s="15" t="n">
        <x:v>46019</x:v>
      </x:c>
      <x:c r="AG604" t="str">
        <x:v>VERIFIED</x:v>
      </x:c>
      <x:c r="AH604" t="str">
        <x:v>COMPLETE</x:v>
      </x:c>
      <x:c r="AI604" t="str">
        <x:v>Sofia Anderson</x:v>
      </x:c>
      <x:c r="AJ604" t="str">
        <x:v>PARENT</x:v>
      </x:c>
      <x:c r="AK604" t="str">
        <x:v>+1 (503) 555-0137</x:v>
      </x:c>
    </x:row>
    <x:row r="605" ht="18" customHeight="1">
      <x:c r="A605" t="str">
        <x:v>DHR-00604</x:v>
      </x:c>
      <x:c r="B605" t="str">
        <x:v>Skyler Miller</x:v>
      </x:c>
      <x:c r="C605" t="str">
        <x:v>https://api.dicebear.com/9.x/adventurer/png?seed=DHR-00604-Skyler%20Miller&amp;size=256&amp;radius=50&amp;backgroundColor=b6e3f4,c0aede,d1d4f9,ffd5dc,ffdfbf</x:v>
      </x:c>
      <x:c r="D605" t="str">
        <x:v>skyler.miller.604@example.com</x:v>
      </x:c>
      <x:c r="E605" t="str">
        <x:v>+1 (213) 555-0103</x:v>
      </x:c>
      <x:c r="F605" t="str">
        <x:v>Los Angeles, CA</x:v>
      </x:c>
      <x:c r="G605" t="str">
        <x:v>Los Angeles</x:v>
      </x:c>
      <x:c r="H605" t="str">
        <x:v>CA</x:v>
      </x:c>
      <x:c r="I605" s="18" t="str">
        <x:v>90012</x:v>
      </x:c>
      <x:c r="J605" s="15" t="n">
        <x:v>32484.895816145832</x:v>
      </x:c>
      <x:c r="K605" t="n">
        <x:f>INT((DATE(2025,12,31)-J605)/365.25)</x:f>
        <x:v>37</x:v>
      </x:c>
      <x:c r="L605" t="str">
        <x:f>IF(K605&lt;25,"18-24",IF(K605&lt;35,"25-34",IF(K605&lt;45,"35-44",IF(K605&lt;55,"45-54","55+"))))</x:f>
        <x:v>35-44</x:v>
      </x:c>
      <x:c r="M605" s="15" t="n">
        <x:v>45682.33193179398</x:v>
      </x:c>
      <x:c r="N605" t="n">
        <x:f>(YEAR(DATE(2025,12,31))-YEAR(M605))*12+MONTH(DATE(2025,12,31))-MONTH(M605)</x:f>
        <x:v>11</x:v>
      </x:c>
      <x:c r="O605" t="str">
        <x:v>OFFBOARDED</x:v>
      </x:c>
      <x:c r="P605" t="str">
        <x:v>INDEPENDENT_CONTRACTOR</x:v>
      </x:c>
      <x:c r="Q605" t="str">
        <x:v>CAR</x:v>
      </x:c>
      <x:c r="R605" t="str">
        <x:v>DINNER</x:v>
      </x:c>
      <x:c r="S605" t="n">
        <x:v>25</x:v>
      </x:c>
      <x:c r="T605" t="str">
        <x:v>CLEARED</x:v>
      </x:c>
      <x:c r="U605" t="str">
        <x:v>VALID</x:v>
      </x:c>
      <x:c r="V605" s="16" t="n">
        <x:v>0.8204</x:v>
      </x:c>
      <x:c r="W605" t="str">
        <x:v>English</x:v>
      </x:c>
      <x:c r="X605" t="str">
        <x:v>Mandarin</x:v>
      </x:c>
      <x:c r="Y605" t="n">
        <x:v>716</x:v>
      </x:c>
      <x:c r="Z605" s="17" t="n">
        <x:v>4.38</x:v>
      </x:c>
      <x:c r="AA605" s="16" t="n">
        <x:v>0.7314</x:v>
      </x:c>
      <x:c r="AB605" s="16" t="n">
        <x:v>0.8745</x:v>
      </x:c>
      <x:c r="AC605" s="16" t="n">
        <x:v>0.9228</x:v>
      </x:c>
      <x:c r="AD605" t="n">
        <x:v>0</x:v>
      </x:c>
      <x:c r="AE605" t="str">
        <x:f>IF(O605&lt;&gt;"ACTIVE","NOT_RATED",IF(AND(Z605&gt;=4.8,AB605&gt;=0.97,AC605&gt;=0.93,AD605=0),"ELITE",IF(AND(Z605&gt;=4.6,AB605&gt;=0.94,AC605&gt;=0.88),"HIGH_PERFORMER",IF(OR(Z605&lt;4.2,AB605&lt;0.85,AD605&gt;=2),"AT_RISK","STANDARD"))))</x:f>
        <x:v>NOT_RATED</x:v>
      </x:c>
      <x:c r="AF605" s="15" t="n">
        <x:v>45826</x:v>
      </x:c>
      <x:c r="AG605" t="str">
        <x:v>VERIFIED</x:v>
      </x:c>
      <x:c r="AH605" t="str">
        <x:v>COMPLETE</x:v>
      </x:c>
      <x:c r="AI605" t="str">
        <x:v>Riley Rodriguez</x:v>
      </x:c>
      <x:c r="AJ605" t="str">
        <x:v>SPOUSE_PARTNER</x:v>
      </x:c>
      <x:c r="AK605" t="str">
        <x:v>+1 (213) 555-0144</x:v>
      </x:c>
    </x:row>
    <x:row r="606" ht="18" customHeight="1">
      <x:c r="A606" t="str">
        <x:v>DHR-00605</x:v>
      </x:c>
      <x:c r="B606" t="str">
        <x:v>Skyler Moore</x:v>
      </x:c>
      <x:c r="C606" t="str">
        <x:v>https://api.dicebear.com/9.x/adventurer/png?seed=DHR-00605-Skyler%20Moore&amp;size=256&amp;radius=50&amp;backgroundColor=b6e3f4,c0aede,d1d4f9,ffd5dc,ffdfbf</x:v>
      </x:c>
      <x:c r="D606" t="str">
        <x:v>skyler.moore.605@example.com</x:v>
      </x:c>
      <x:c r="E606" t="str">
        <x:v>+1 (213) 555-0104</x:v>
      </x:c>
      <x:c r="F606" t="str">
        <x:v>Los Angeles, CA</x:v>
      </x:c>
      <x:c r="G606" t="str">
        <x:v>Los Angeles</x:v>
      </x:c>
      <x:c r="H606" t="str">
        <x:v>CA</x:v>
      </x:c>
      <x:c r="I606" s="18" t="str">
        <x:v>90012</x:v>
      </x:c>
      <x:c r="J606" s="15" t="n">
        <x:v>29242.389437511574</x:v>
      </x:c>
      <x:c r="K606" t="n">
        <x:f>INT((DATE(2025,12,31)-J606)/365.25)</x:f>
        <x:v>45</x:v>
      </x:c>
      <x:c r="L606" t="str">
        <x:f>IF(K606&lt;25,"18-24",IF(K606&lt;35,"25-34",IF(K606&lt;45,"35-44",IF(K606&lt;55,"45-54","55+"))))</x:f>
        <x:v>45-54</x:v>
      </x:c>
      <x:c r="M606" s="15" t="n">
        <x:v>45394.901889664354</x:v>
      </x:c>
      <x:c r="N606" t="n">
        <x:f>(YEAR(DATE(2025,12,31))-YEAR(M606))*12+MONTH(DATE(2025,12,31))-MONTH(M606)</x:f>
        <x:v>20</x:v>
      </x:c>
      <x:c r="O606" t="str">
        <x:v>ACTIVE</x:v>
      </x:c>
      <x:c r="P606" t="str">
        <x:v>INDEPENDENT_CONTRACTOR</x:v>
      </x:c>
      <x:c r="Q606" t="str">
        <x:v>CAR</x:v>
      </x:c>
      <x:c r="R606" t="str">
        <x:v>LUNCH</x:v>
      </x:c>
      <x:c r="S606" t="n">
        <x:v>26</x:v>
      </x:c>
      <x:c r="T606" t="str">
        <x:v>PENDING</x:v>
      </x:c>
      <x:c r="U606" t="str">
        <x:v>VALID</x:v>
      </x:c>
      <x:c r="V606" s="16" t="n">
        <x:v>0.8048</x:v>
      </x:c>
      <x:c r="W606" t="str">
        <x:v>English</x:v>
      </x:c>
      <x:c r="X606"/>
      <x:c r="Y606" t="n">
        <x:v>1764</x:v>
      </x:c>
      <x:c r="Z606" s="17" t="n">
        <x:v>4.58</x:v>
      </x:c>
      <x:c r="AA606" s="16" t="n">
        <x:v>0.7142</x:v>
      </x:c>
      <x:c r="AB606" s="16" t="n">
        <x:v>0.9848</x:v>
      </x:c>
      <x:c r="AC606" s="16" t="n">
        <x:v>0.9357</x:v>
      </x:c>
      <x:c r="AD606" t="n">
        <x:v>0</x:v>
      </x:c>
      <x:c r="AE606" t="str">
        <x:f>IF(O606&lt;&gt;"ACTIVE","NOT_RATED",IF(AND(Z606&gt;=4.8,AB606&gt;=0.97,AC606&gt;=0.93,AD606=0),"ELITE",IF(AND(Z606&gt;=4.6,AB606&gt;=0.94,AC606&gt;=0.88),"HIGH_PERFORMER",IF(OR(Z606&lt;4.2,AB606&lt;0.85,AD606&gt;=2),"AT_RISK","STANDARD"))))</x:f>
        <x:v>STANDARD</x:v>
      </x:c>
      <x:c r="AF606" s="15" t="n">
        <x:v>46017</x:v>
      </x:c>
      <x:c r="AG606" t="str">
        <x:v>VERIFIED</x:v>
      </x:c>
      <x:c r="AH606" t="str">
        <x:v>PENDING</x:v>
      </x:c>
      <x:c r="AI606" t="str">
        <x:v>Robin Thompson</x:v>
      </x:c>
      <x:c r="AJ606" t="str">
        <x:v>SPOUSE_PARTNER</x:v>
      </x:c>
      <x:c r="AK606" t="str">
        <x:v>+1 (213) 555-0151</x:v>
      </x:c>
    </x:row>
    <x:row r="607" ht="18" customHeight="1">
      <x:c r="A607" t="str">
        <x:v>DHR-00606</x:v>
      </x:c>
      <x:c r="B607" t="str">
        <x:v>Skyler Perez</x:v>
      </x:c>
      <x:c r="C607" t="str">
        <x:v>https://api.dicebear.com/9.x/adventurer/png?seed=DHR-00606-Skyler%20Perez&amp;size=256&amp;radius=50&amp;backgroundColor=b6e3f4,c0aede,d1d4f9,ffd5dc,ffdfbf</x:v>
      </x:c>
      <x:c r="D607" t="str">
        <x:v>skyler.perez.606@example.com</x:v>
      </x:c>
      <x:c r="E607" t="str">
        <x:v>+1 (212) 555-0105</x:v>
      </x:c>
      <x:c r="F607" t="str">
        <x:v>New York, NY</x:v>
      </x:c>
      <x:c r="G607" t="str">
        <x:v>New York</x:v>
      </x:c>
      <x:c r="H607" t="str">
        <x:v>NY</x:v>
      </x:c>
      <x:c r="I607" s="18" t="str">
        <x:v>10001</x:v>
      </x:c>
      <x:c r="J607" s="15" t="n">
        <x:v>34472.106275046295</x:v>
      </x:c>
      <x:c r="K607" t="n">
        <x:f>INT((DATE(2025,12,31)-J607)/365.25)</x:f>
        <x:v>31</x:v>
      </x:c>
      <x:c r="L607" t="str">
        <x:f>IF(K607&lt;25,"18-24",IF(K607&lt;35,"25-34",IF(K607&lt;45,"35-44",IF(K607&lt;55,"45-54","55+"))))</x:f>
        <x:v>25-34</x:v>
      </x:c>
      <x:c r="M607" s="15" t="n">
        <x:v>45559.80672716435</x:v>
      </x:c>
      <x:c r="N607" t="n">
        <x:f>(YEAR(DATE(2025,12,31))-YEAR(M607))*12+MONTH(DATE(2025,12,31))-MONTH(M607)</x:f>
        <x:v>15</x:v>
      </x:c>
      <x:c r="O607" t="str">
        <x:v>ACTIVE</x:v>
      </x:c>
      <x:c r="P607" t="str">
        <x:v>INDEPENDENT_CONTRACTOR</x:v>
      </x:c>
      <x:c r="Q607" t="str">
        <x:v>SCOOTER</x:v>
      </x:c>
      <x:c r="R607" t="str">
        <x:v>DINNER</x:v>
      </x:c>
      <x:c r="S607" t="n">
        <x:v>46</x:v>
      </x:c>
      <x:c r="T607" t="str">
        <x:v>CLEARED</x:v>
      </x:c>
      <x:c r="U607" t="str">
        <x:v>VALID</x:v>
      </x:c>
      <x:c r="V607" s="16" t="n">
        <x:v>0.8086</x:v>
      </x:c>
      <x:c r="W607" t="str">
        <x:v>English</x:v>
      </x:c>
      <x:c r="X607"/>
      <x:c r="Y607" t="n">
        <x:v>1728</x:v>
      </x:c>
      <x:c r="Z607" s="17" t="n">
        <x:v>4.2</x:v>
      </x:c>
      <x:c r="AA607" s="16" t="n">
        <x:v>0.6243</x:v>
      </x:c>
      <x:c r="AB607" s="16" t="n">
        <x:v>0.9088</x:v>
      </x:c>
      <x:c r="AC607" s="16" t="n">
        <x:v>0.8628</x:v>
      </x:c>
      <x:c r="AD607" t="n">
        <x:v>1</x:v>
      </x:c>
      <x:c r="AE607" t="str">
        <x:f>IF(O607&lt;&gt;"ACTIVE","NOT_RATED",IF(AND(Z607&gt;=4.8,AB607&gt;=0.97,AC607&gt;=0.93,AD607=0),"ELITE",IF(AND(Z607&gt;=4.6,AB607&gt;=0.94,AC607&gt;=0.88),"HIGH_PERFORMER",IF(OR(Z607&lt;4.2,AB607&lt;0.85,AD607&gt;=2),"AT_RISK","STANDARD"))))</x:f>
        <x:v>STANDARD</x:v>
      </x:c>
      <x:c r="AF607" s="15" t="n">
        <x:v>46016</x:v>
      </x:c>
      <x:c r="AG607" t="str">
        <x:v>VERIFIED</x:v>
      </x:c>
      <x:c r="AH607" t="str">
        <x:v>COMPLETE</x:v>
      </x:c>
      <x:c r="AI607" t="str">
        <x:v>Emma Harris</x:v>
      </x:c>
      <x:c r="AJ607" t="str">
        <x:v>SPOUSE_PARTNER</x:v>
      </x:c>
      <x:c r="AK607" t="str">
        <x:v>+1 (212) 555-0158</x:v>
      </x:c>
    </x:row>
    <x:row r="608" ht="18" customHeight="1">
      <x:c r="A608" t="str">
        <x:v>DHR-00607</x:v>
      </x:c>
      <x:c r="B608" t="str">
        <x:v>Skyler Rodriguez</x:v>
      </x:c>
      <x:c r="C608" t="str">
        <x:v>https://api.dicebear.com/9.x/adventurer/png?seed=DHR-00607-Skyler%20Rodriguez&amp;size=256&amp;radius=50&amp;backgroundColor=b6e3f4,c0aede,d1d4f9,ffd5dc,ffdfbf</x:v>
      </x:c>
      <x:c r="D608" t="str">
        <x:v>skyler.rodriguez.607@example.com</x:v>
      </x:c>
      <x:c r="E608" t="str">
        <x:v>+1 (415) 555-0106</x:v>
      </x:c>
      <x:c r="F608" t="str">
        <x:v>San Francisco, CA</x:v>
      </x:c>
      <x:c r="G608" t="str">
        <x:v>San Francisco</x:v>
      </x:c>
      <x:c r="H608" t="str">
        <x:v>CA</x:v>
      </x:c>
      <x:c r="I608" s="18" t="str">
        <x:v>94103</x:v>
      </x:c>
      <x:c r="J608" s="15" t="n">
        <x:v>24015.470015833333</x:v>
      </x:c>
      <x:c r="K608" t="n">
        <x:f>INT((DATE(2025,12,31)-J608)/365.25)</x:f>
        <x:v>60</x:v>
      </x:c>
      <x:c r="L608" t="str">
        <x:f>IF(K608&lt;25,"18-24",IF(K608&lt;35,"25-34",IF(K608&lt;45,"35-44",IF(K608&lt;55,"45-54","55+"))))</x:f>
        <x:v>55+</x:v>
      </x:c>
      <x:c r="M608" s="15" t="n">
        <x:v>44963.827961759256</x:v>
      </x:c>
      <x:c r="N608" t="n">
        <x:f>(YEAR(DATE(2025,12,31))-YEAR(M608))*12+MONTH(DATE(2025,12,31))-MONTH(M608)</x:f>
        <x:v>34</x:v>
      </x:c>
      <x:c r="O608" t="str">
        <x:v>OFFBOARDED</x:v>
      </x:c>
      <x:c r="P608" t="str">
        <x:v>INDEPENDENT_CONTRACTOR</x:v>
      </x:c>
      <x:c r="Q608" t="str">
        <x:v>E_BIKE</x:v>
      </x:c>
      <x:c r="R608" t="str">
        <x:v>DINNER</x:v>
      </x:c>
      <x:c r="S608" t="n">
        <x:v>13</x:v>
      </x:c>
      <x:c r="T608" t="str">
        <x:v>CLEARED</x:v>
      </x:c>
      <x:c r="U608" t="str">
        <x:v>NOT_REQUIRED</x:v>
      </x:c>
      <x:c r="V608" s="16" t="n">
        <x:v>0.8284</x:v>
      </x:c>
      <x:c r="W608" t="str">
        <x:v>Portuguese</x:v>
      </x:c>
      <x:c r="X608" t="str">
        <x:v>English</x:v>
      </x:c>
      <x:c r="Y608" t="n">
        <x:v>1021</x:v>
      </x:c>
      <x:c r="Z608" s="17" t="n">
        <x:v>4.23</x:v>
      </x:c>
      <x:c r="AA608" s="16" t="n">
        <x:v>0.7416</x:v>
      </x:c>
      <x:c r="AB608" s="16" t="n">
        <x:v>0.9643</x:v>
      </x:c>
      <x:c r="AC608" s="16" t="n">
        <x:v>0.8297</x:v>
      </x:c>
      <x:c r="AD608" t="n">
        <x:v>0</x:v>
      </x:c>
      <x:c r="AE608" t="str">
        <x:f>IF(O608&lt;&gt;"ACTIVE","NOT_RATED",IF(AND(Z608&gt;=4.8,AB608&gt;=0.97,AC608&gt;=0.93,AD608=0),"ELITE",IF(AND(Z608&gt;=4.6,AB608&gt;=0.94,AC608&gt;=0.88),"HIGH_PERFORMER",IF(OR(Z608&lt;4.2,AB608&lt;0.85,AD608&gt;=2),"AT_RISK","STANDARD"))))</x:f>
        <x:v>NOT_RATED</x:v>
      </x:c>
      <x:c r="AF608" s="15" t="n">
        <x:v>45522</x:v>
      </x:c>
      <x:c r="AG608" t="str">
        <x:v>VERIFIED</x:v>
      </x:c>
      <x:c r="AH608" t="str">
        <x:v>COMPLETE</x:v>
      </x:c>
      <x:c r="AI608" t="str">
        <x:v>Avery Wilson</x:v>
      </x:c>
      <x:c r="AJ608" t="str">
        <x:v>PARENT</x:v>
      </x:c>
      <x:c r="AK608" t="str">
        <x:v>+1 (415) 555-0165</x:v>
      </x:c>
    </x:row>
    <x:row r="609" ht="18" customHeight="1">
      <x:c r="A609" t="str">
        <x:v>DHR-00608</x:v>
      </x:c>
      <x:c r="B609" t="str">
        <x:v>Skyler Taylor</x:v>
      </x:c>
      <x:c r="C609" t="str">
        <x:v>https://api.dicebear.com/9.x/adventurer/png?seed=DHR-00608-Skyler%20Taylor&amp;size=256&amp;radius=50&amp;backgroundColor=b6e3f4,c0aede,d1d4f9,ffd5dc,ffdfbf</x:v>
      </x:c>
      <x:c r="D609" t="str">
        <x:v>skyler.taylor.608@example.com</x:v>
      </x:c>
      <x:c r="E609" t="str">
        <x:v>+1 (303) 555-0107</x:v>
      </x:c>
      <x:c r="F609" t="str">
        <x:v>Denver, CO</x:v>
      </x:c>
      <x:c r="G609" t="str">
        <x:v>Denver</x:v>
      </x:c>
      <x:c r="H609" t="str">
        <x:v>CO</x:v>
      </x:c>
      <x:c r="I609" s="18" t="str">
        <x:v>80202</x:v>
      </x:c>
      <x:c r="J609" s="15" t="n">
        <x:v>28941.191515729166</x:v>
      </x:c>
      <x:c r="K609" t="n">
        <x:f>INT((DATE(2025,12,31)-J609)/365.25)</x:f>
        <x:v>46</x:v>
      </x:c>
      <x:c r="L609" t="str">
        <x:f>IF(K609&lt;25,"18-24",IF(K609&lt;35,"25-34",IF(K609&lt;45,"35-44",IF(K609&lt;55,"45-54","55+"))))</x:f>
        <x:v>45-54</x:v>
      </x:c>
      <x:c r="M609" s="15" t="n">
        <x:v>44049.33392708333</x:v>
      </x:c>
      <x:c r="N609" t="n">
        <x:f>(YEAR(DATE(2025,12,31))-YEAR(M609))*12+MONTH(DATE(2025,12,31))-MONTH(M609)</x:f>
        <x:v>64</x:v>
      </x:c>
      <x:c r="O609" t="str">
        <x:v>ACTIVE</x:v>
      </x:c>
      <x:c r="P609" t="str">
        <x:v>INDEPENDENT_CONTRACTOR</x:v>
      </x:c>
      <x:c r="Q609" t="str">
        <x:v>E_BIKE</x:v>
      </x:c>
      <x:c r="R609" t="str">
        <x:v>LUNCH</x:v>
      </x:c>
      <x:c r="S609" t="n">
        <x:v>43</x:v>
      </x:c>
      <x:c r="T609" t="str">
        <x:v>CLEARED</x:v>
      </x:c>
      <x:c r="U609" t="str">
        <x:v>NOT_REQUIRED</x:v>
      </x:c>
      <x:c r="V609" s="16" t="n">
        <x:v>0.9671</x:v>
      </x:c>
      <x:c r="W609" t="str">
        <x:v>English</x:v>
      </x:c>
      <x:c r="X609"/>
      <x:c r="Y609" t="n">
        <x:v>7128</x:v>
      </x:c>
      <x:c r="Z609" s="17" t="n">
        <x:v>4.7</x:v>
      </x:c>
      <x:c r="AA609" s="16" t="n">
        <x:v>0.698</x:v>
      </x:c>
      <x:c r="AB609" s="16" t="n">
        <x:v>0.9599</x:v>
      </x:c>
      <x:c r="AC609" s="16" t="n">
        <x:v>0.887</x:v>
      </x:c>
      <x:c r="AD609" t="n">
        <x:v>0</x:v>
      </x:c>
      <x:c r="AE609" t="str">
        <x:f>IF(O609&lt;&gt;"ACTIVE","NOT_RATED",IF(AND(Z609&gt;=4.8,AB609&gt;=0.97,AC609&gt;=0.93,AD609=0),"ELITE",IF(AND(Z609&gt;=4.6,AB609&gt;=0.94,AC609&gt;=0.88),"HIGH_PERFORMER",IF(OR(Z609&lt;4.2,AB609&lt;0.85,AD609&gt;=2),"AT_RISK","STANDARD"))))</x:f>
        <x:v>HIGH_PERFORMER</x:v>
      </x:c>
      <x:c r="AF609" s="15" t="n">
        <x:v>46008</x:v>
      </x:c>
      <x:c r="AG609" t="str">
        <x:v>VERIFIED</x:v>
      </x:c>
      <x:c r="AH609" t="str">
        <x:v>COMPLETE</x:v>
      </x:c>
      <x:c r="AI609" t="str">
        <x:v>Liam Jones</x:v>
      </x:c>
      <x:c r="AJ609" t="str">
        <x:v>FRIEND</x:v>
      </x:c>
      <x:c r="AK609" t="str">
        <x:v>+1 (303) 555-0172</x:v>
      </x:c>
    </x:row>
    <x:row r="610" ht="18" customHeight="1">
      <x:c r="A610" t="str">
        <x:v>DHR-00609</x:v>
      </x:c>
      <x:c r="B610" t="str">
        <x:v>Skyler Thomas</x:v>
      </x:c>
      <x:c r="C610" t="str">
        <x:v>https://api.dicebear.com/9.x/adventurer/png?seed=DHR-00609-Skyler%20Thomas&amp;size=256&amp;radius=50&amp;backgroundColor=b6e3f4,c0aede,d1d4f9,ffd5dc,ffdfbf</x:v>
      </x:c>
      <x:c r="D610" t="str">
        <x:v>skyler.thomas.609@example.com</x:v>
      </x:c>
      <x:c r="E610" t="str">
        <x:v>+1 (512) 555-0108</x:v>
      </x:c>
      <x:c r="F610" t="str">
        <x:v>Austin, TX</x:v>
      </x:c>
      <x:c r="G610" t="str">
        <x:v>Austin</x:v>
      </x:c>
      <x:c r="H610" t="str">
        <x:v>TX</x:v>
      </x:c>
      <x:c r="I610" s="18" t="str">
        <x:v>78701</x:v>
      </x:c>
      <x:c r="J610" s="15" t="n">
        <x:v>24164.229368125</x:v>
      </x:c>
      <x:c r="K610" t="n">
        <x:f>INT((DATE(2025,12,31)-J610)/365.25)</x:f>
        <x:v>59</x:v>
      </x:c>
      <x:c r="L610" t="str">
        <x:f>IF(K610&lt;25,"18-24",IF(K610&lt;35,"25-34",IF(K610&lt;45,"35-44",IF(K610&lt;55,"45-54","55+"))))</x:f>
        <x:v>55+</x:v>
      </x:c>
      <x:c r="M610" s="15" t="n">
        <x:v>44143.25613484954</x:v>
      </x:c>
      <x:c r="N610" t="n">
        <x:f>(YEAR(DATE(2025,12,31))-YEAR(M610))*12+MONTH(DATE(2025,12,31))-MONTH(M610)</x:f>
        <x:v>61</x:v>
      </x:c>
      <x:c r="O610" t="str">
        <x:v>ACTIVE</x:v>
      </x:c>
      <x:c r="P610" t="str">
        <x:v>INDEPENDENT_CONTRACTOR</x:v>
      </x:c>
      <x:c r="Q610" t="str">
        <x:v>CAR</x:v>
      </x:c>
      <x:c r="R610" t="str">
        <x:v>FLEXIBLE</x:v>
      </x:c>
      <x:c r="S610" t="n">
        <x:v>32</x:v>
      </x:c>
      <x:c r="T610" t="str">
        <x:v>CLEARED</x:v>
      </x:c>
      <x:c r="U610" t="str">
        <x:v>VALID</x:v>
      </x:c>
      <x:c r="V610" s="16" t="n">
        <x:v>0.9445</x:v>
      </x:c>
      <x:c r="W610" t="str">
        <x:v>French</x:v>
      </x:c>
      <x:c r="X610"/>
      <x:c r="Y610" t="n">
        <x:v>6503</x:v>
      </x:c>
      <x:c r="Z610" s="17" t="n">
        <x:v>4.81</x:v>
      </x:c>
      <x:c r="AA610" s="16" t="n">
        <x:v>0.6292</x:v>
      </x:c>
      <x:c r="AB610" s="16" t="n">
        <x:v>0.9244</x:v>
      </x:c>
      <x:c r="AC610" s="16" t="n">
        <x:v>0.9876</x:v>
      </x:c>
      <x:c r="AD610" t="n">
        <x:v>1</x:v>
      </x:c>
      <x:c r="AE610" t="str">
        <x:f>IF(O610&lt;&gt;"ACTIVE","NOT_RATED",IF(AND(Z610&gt;=4.8,AB610&gt;=0.97,AC610&gt;=0.93,AD610=0),"ELITE",IF(AND(Z610&gt;=4.6,AB610&gt;=0.94,AC610&gt;=0.88),"HIGH_PERFORMER",IF(OR(Z610&lt;4.2,AB610&lt;0.85,AD610&gt;=2),"AT_RISK","STANDARD"))))</x:f>
        <x:v>STANDARD</x:v>
      </x:c>
      <x:c r="AF610" s="15" t="n">
        <x:v>46008</x:v>
      </x:c>
      <x:c r="AG610" t="str">
        <x:v>VERIFIED</x:v>
      </x:c>
      <x:c r="AH610" t="str">
        <x:v>COMPLETE</x:v>
      </x:c>
      <x:c r="AI610" t="str">
        <x:v>Jesse Taylor</x:v>
      </x:c>
      <x:c r="AJ610" t="str">
        <x:v>SIBLING</x:v>
      </x:c>
      <x:c r="AK610" t="str">
        <x:v>+1 (512) 555-0179</x:v>
      </x:c>
    </x:row>
    <x:row r="611" ht="18" customHeight="1">
      <x:c r="A611" t="str">
        <x:v>DHR-00610</x:v>
      </x:c>
      <x:c r="B611" t="str">
        <x:v>Skyler Thompson</x:v>
      </x:c>
      <x:c r="C611" t="str">
        <x:v>https://api.dicebear.com/9.x/adventurer/png?seed=DHR-00610-Skyler%20Thompson&amp;size=256&amp;radius=50&amp;backgroundColor=b6e3f4,c0aede,d1d4f9,ffd5dc,ffdfbf</x:v>
      </x:c>
      <x:c r="D611" t="str">
        <x:v>skyler.thompson.610@example.com</x:v>
      </x:c>
      <x:c r="E611" t="str">
        <x:v>+1 (210) 555-0109</x:v>
      </x:c>
      <x:c r="F611" t="str">
        <x:v>San Antonio, TX</x:v>
      </x:c>
      <x:c r="G611" t="str">
        <x:v>San Antonio</x:v>
      </x:c>
      <x:c r="H611" t="str">
        <x:v>TX</x:v>
      </x:c>
      <x:c r="I611" s="18" t="str">
        <x:v>78205</x:v>
      </x:c>
      <x:c r="J611" s="15" t="n">
        <x:v>25281.949970069443</x:v>
      </x:c>
      <x:c r="K611" t="n">
        <x:f>INT((DATE(2025,12,31)-J611)/365.25)</x:f>
        <x:v>56</x:v>
      </x:c>
      <x:c r="L611" t="str">
        <x:f>IF(K611&lt;25,"18-24",IF(K611&lt;35,"25-34",IF(K611&lt;45,"35-44",IF(K611&lt;55,"45-54","55+"))))</x:f>
        <x:v>55+</x:v>
      </x:c>
      <x:c r="M611" s="15" t="n">
        <x:v>44443.43674451389</x:v>
      </x:c>
      <x:c r="N611" t="n">
        <x:f>(YEAR(DATE(2025,12,31))-YEAR(M611))*12+MONTH(DATE(2025,12,31))-MONTH(M611)</x:f>
        <x:v>51</x:v>
      </x:c>
      <x:c r="O611" t="str">
        <x:v>ACTIVE</x:v>
      </x:c>
      <x:c r="P611" t="str">
        <x:v>INDEPENDENT_CONTRACTOR</x:v>
      </x:c>
      <x:c r="Q611" t="str">
        <x:v>CAR</x:v>
      </x:c>
      <x:c r="R611" t="str">
        <x:v>DINNER</x:v>
      </x:c>
      <x:c r="S611" t="n">
        <x:v>16</x:v>
      </x:c>
      <x:c r="T611" t="str">
        <x:v>CLEARED</x:v>
      </x:c>
      <x:c r="U611" t="str">
        <x:v>VALID</x:v>
      </x:c>
      <x:c r="V611" s="16" t="n">
        <x:v>0.9687</x:v>
      </x:c>
      <x:c r="W611" t="str">
        <x:v>English</x:v>
      </x:c>
      <x:c r="X611" t="str">
        <x:v>Spanish</x:v>
      </x:c>
      <x:c r="Y611" t="n">
        <x:v>3046</x:v>
      </x:c>
      <x:c r="Z611" s="17" t="n">
        <x:v>4.75</x:v>
      </x:c>
      <x:c r="AA611" s="16" t="n">
        <x:v>0.7217</x:v>
      </x:c>
      <x:c r="AB611" s="16" t="n">
        <x:v>0.9649</x:v>
      </x:c>
      <x:c r="AC611" s="16" t="n">
        <x:v>0.8732</x:v>
      </x:c>
      <x:c r="AD611" t="n">
        <x:v>0</x:v>
      </x:c>
      <x:c r="AE611" t="str">
        <x:f>IF(O611&lt;&gt;"ACTIVE","NOT_RATED",IF(AND(Z611&gt;=4.8,AB611&gt;=0.97,AC611&gt;=0.93,AD611=0),"ELITE",IF(AND(Z611&gt;=4.6,AB611&gt;=0.94,AC611&gt;=0.88),"HIGH_PERFORMER",IF(OR(Z611&lt;4.2,AB611&lt;0.85,AD611&gt;=2),"AT_RISK","STANDARD"))))</x:f>
        <x:v>STANDARD</x:v>
      </x:c>
      <x:c r="AF611" s="15" t="n">
        <x:v>46020</x:v>
      </x:c>
      <x:c r="AG611" t="str">
        <x:v>VERIFIED</x:v>
      </x:c>
      <x:c r="AH611" t="str">
        <x:v>COMPLETE</x:v>
      </x:c>
      <x:c r="AI611" t="str">
        <x:v>Casey Wilson</x:v>
      </x:c>
      <x:c r="AJ611" t="str">
        <x:v>SPOUSE_PARTNER</x:v>
      </x:c>
      <x:c r="AK611" t="str">
        <x:v>+1 (210) 555-0186</x:v>
      </x:c>
    </x:row>
    <x:row r="612" ht="18" customHeight="1">
      <x:c r="A612" t="str">
        <x:v>DHR-00611</x:v>
      </x:c>
      <x:c r="B612" t="str">
        <x:v>Skyler Walker</x:v>
      </x:c>
      <x:c r="C612" t="str">
        <x:v>https://api.dicebear.com/9.x/adventurer/png?seed=DHR-00611-Skyler%20Walker&amp;size=256&amp;radius=50&amp;backgroundColor=b6e3f4,c0aede,d1d4f9,ffd5dc,ffdfbf</x:v>
      </x:c>
      <x:c r="D612" t="str">
        <x:v>skyler.walker.611@example.com</x:v>
      </x:c>
      <x:c r="E612" t="str">
        <x:v>+1 (713) 555-0110</x:v>
      </x:c>
      <x:c r="F612" t="str">
        <x:v>Houston, TX</x:v>
      </x:c>
      <x:c r="G612" t="str">
        <x:v>Houston</x:v>
      </x:c>
      <x:c r="H612" t="str">
        <x:v>TX</x:v>
      </x:c>
      <x:c r="I612" s="18" t="str">
        <x:v>77002</x:v>
      </x:c>
      <x:c r="J612" s="15" t="n">
        <x:v>32536.29825815972</x:v>
      </x:c>
      <x:c r="K612" t="n">
        <x:f>INT((DATE(2025,12,31)-J612)/365.25)</x:f>
        <x:v>36</x:v>
      </x:c>
      <x:c r="L612" t="str">
        <x:f>IF(K612&lt;25,"18-24",IF(K612&lt;35,"25-34",IF(K612&lt;45,"35-44",IF(K612&lt;55,"45-54","55+"))))</x:f>
        <x:v>35-44</x:v>
      </x:c>
      <x:c r="M612" s="15" t="n">
        <x:v>44941.00532591435</x:v>
      </x:c>
      <x:c r="N612" t="n">
        <x:f>(YEAR(DATE(2025,12,31))-YEAR(M612))*12+MONTH(DATE(2025,12,31))-MONTH(M612)</x:f>
        <x:v>35</x:v>
      </x:c>
      <x:c r="O612" t="str">
        <x:v>ACTIVE</x:v>
      </x:c>
      <x:c r="P612" t="str">
        <x:v>INDEPENDENT_CONTRACTOR</x:v>
      </x:c>
      <x:c r="Q612" t="str">
        <x:v>BICYCLE</x:v>
      </x:c>
      <x:c r="R612" t="str">
        <x:v>FLEXIBLE</x:v>
      </x:c>
      <x:c r="S612" t="n">
        <x:v>33</x:v>
      </x:c>
      <x:c r="T612" t="str">
        <x:v>CLEARED</x:v>
      </x:c>
      <x:c r="U612" t="str">
        <x:v>NOT_REQUIRED</x:v>
      </x:c>
      <x:c r="V612" s="16" t="n">
        <x:v>0.9752</x:v>
      </x:c>
      <x:c r="W612" t="str">
        <x:v>English</x:v>
      </x:c>
      <x:c r="X612"/>
      <x:c r="Y612" t="n">
        <x:v>3196</x:v>
      </x:c>
      <x:c r="Z612" s="17" t="n">
        <x:v>4.58</x:v>
      </x:c>
      <x:c r="AA612" s="16" t="n">
        <x:v>0.9191</x:v>
      </x:c>
      <x:c r="AB612" s="16" t="n">
        <x:v>0.9943</x:v>
      </x:c>
      <x:c r="AC612" s="16" t="n">
        <x:v>0.8661</x:v>
      </x:c>
      <x:c r="AD612" t="n">
        <x:v>0</x:v>
      </x:c>
      <x:c r="AE612" t="str">
        <x:f>IF(O612&lt;&gt;"ACTIVE","NOT_RATED",IF(AND(Z612&gt;=4.8,AB612&gt;=0.97,AC612&gt;=0.93,AD612=0),"ELITE",IF(AND(Z612&gt;=4.6,AB612&gt;=0.94,AC612&gt;=0.88),"HIGH_PERFORMER",IF(OR(Z612&lt;4.2,AB612&lt;0.85,AD612&gt;=2),"AT_RISK","STANDARD"))))</x:f>
        <x:v>STANDARD</x:v>
      </x:c>
      <x:c r="AF612" s="15" t="n">
        <x:v>46008</x:v>
      </x:c>
      <x:c r="AG612" t="str">
        <x:v>VERIFIED</x:v>
      </x:c>
      <x:c r="AH612" t="str">
        <x:v>COMPLETE</x:v>
      </x:c>
      <x:c r="AI612" t="str">
        <x:v>Mia Miller</x:v>
      </x:c>
      <x:c r="AJ612" t="str">
        <x:v>PARENT</x:v>
      </x:c>
      <x:c r="AK612" t="str">
        <x:v>+1 (713) 555-0193</x:v>
      </x:c>
    </x:row>
    <x:row r="613" ht="18" customHeight="1">
      <x:c r="A613" t="str">
        <x:v>DHR-00612</x:v>
      </x:c>
      <x:c r="B613" t="str">
        <x:v>Skyler White</x:v>
      </x:c>
      <x:c r="C613" t="str">
        <x:v>https://api.dicebear.com/9.x/adventurer/png?seed=DHR-00612-Skyler%20White&amp;size=256&amp;radius=50&amp;backgroundColor=b6e3f4,c0aede,d1d4f9,ffd5dc,ffdfbf</x:v>
      </x:c>
      <x:c r="D613" t="str">
        <x:v>skyler.white.612@example.com</x:v>
      </x:c>
      <x:c r="E613" t="str">
        <x:v>+1 (206) 555-0111</x:v>
      </x:c>
      <x:c r="F613" t="str">
        <x:v>Seattle, WA</x:v>
      </x:c>
      <x:c r="G613" t="str">
        <x:v>Seattle</x:v>
      </x:c>
      <x:c r="H613" t="str">
        <x:v>WA</x:v>
      </x:c>
      <x:c r="I613" s="18" t="str">
        <x:v>98101</x:v>
      </x:c>
      <x:c r="J613" s="15" t="n">
        <x:v>33193.65785452546</x:v>
      </x:c>
      <x:c r="K613" t="n">
        <x:f>INT((DATE(2025,12,31)-J613)/365.25)</x:f>
        <x:v>35</x:v>
      </x:c>
      <x:c r="L613" t="str">
        <x:f>IF(K613&lt;25,"18-24",IF(K613&lt;35,"25-34",IF(K613&lt;45,"35-44",IF(K613&lt;55,"45-54","55+"))))</x:f>
        <x:v>35-44</x:v>
      </x:c>
      <x:c r="M613" s="15" t="n">
        <x:v>44133.33482459491</x:v>
      </x:c>
      <x:c r="N613" t="n">
        <x:f>(YEAR(DATE(2025,12,31))-YEAR(M613))*12+MONTH(DATE(2025,12,31))-MONTH(M613)</x:f>
        <x:v>62</x:v>
      </x:c>
      <x:c r="O613" t="str">
        <x:v>ACTIVE</x:v>
      </x:c>
      <x:c r="P613" t="str">
        <x:v>INDEPENDENT_CONTRACTOR</x:v>
      </x:c>
      <x:c r="Q613" t="str">
        <x:v>CAR</x:v>
      </x:c>
      <x:c r="R613" t="str">
        <x:v>DINNER</x:v>
      </x:c>
      <x:c r="S613" t="n">
        <x:v>16</x:v>
      </x:c>
      <x:c r="T613" t="str">
        <x:v>CLEARED</x:v>
      </x:c>
      <x:c r="U613" t="str">
        <x:v>VALID</x:v>
      </x:c>
      <x:c r="V613" s="16" t="n">
        <x:v>0.7898</x:v>
      </x:c>
      <x:c r="W613" t="str">
        <x:v>English</x:v>
      </x:c>
      <x:c r="X613"/>
      <x:c r="Y613" t="n">
        <x:v>3756</x:v>
      </x:c>
      <x:c r="Z613" s="17" t="n">
        <x:v>4.31</x:v>
      </x:c>
      <x:c r="AA613" s="16" t="n">
        <x:v>0.6904</x:v>
      </x:c>
      <x:c r="AB613" s="16" t="n">
        <x:v>0.9793</x:v>
      </x:c>
      <x:c r="AC613" s="16" t="n">
        <x:v>0.8862</x:v>
      </x:c>
      <x:c r="AD613" t="n">
        <x:v>1</x:v>
      </x:c>
      <x:c r="AE613" t="str">
        <x:f>IF(O613&lt;&gt;"ACTIVE","NOT_RATED",IF(AND(Z613&gt;=4.8,AB613&gt;=0.97,AC613&gt;=0.93,AD613=0),"ELITE",IF(AND(Z613&gt;=4.6,AB613&gt;=0.94,AC613&gt;=0.88),"HIGH_PERFORMER",IF(OR(Z613&lt;4.2,AB613&lt;0.85,AD613&gt;=2),"AT_RISK","STANDARD"))))</x:f>
        <x:v>STANDARD</x:v>
      </x:c>
      <x:c r="AF613" s="15" t="n">
        <x:v>46013</x:v>
      </x:c>
      <x:c r="AG613" t="str">
        <x:v>VERIFIED</x:v>
      </x:c>
      <x:c r="AH613" t="str">
        <x:v>COMPLETE</x:v>
      </x:c>
      <x:c r="AI613" t="str">
        <x:v>Alex Martin</x:v>
      </x:c>
      <x:c r="AJ613" t="str">
        <x:v>SIBLING</x:v>
      </x:c>
      <x:c r="AK613" t="str">
        <x:v>+1 (206) 555-0100</x:v>
      </x:c>
    </x:row>
    <x:row r="614" ht="18" customHeight="1">
      <x:c r="A614" t="str">
        <x:v>DHR-00613</x:v>
      </x:c>
      <x:c r="B614" t="str">
        <x:v>Skyler Williams</x:v>
      </x:c>
      <x:c r="C614" t="str">
        <x:v>https://api.dicebear.com/9.x/adventurer/png?seed=DHR-00613-Skyler%20Williams&amp;size=256&amp;radius=50&amp;backgroundColor=b6e3f4,c0aede,d1d4f9,ffd5dc,ffdfbf</x:v>
      </x:c>
      <x:c r="D614" t="str">
        <x:v>skyler.williams.613@example.com</x:v>
      </x:c>
      <x:c r="E614" t="str">
        <x:v>+1 (713) 555-0112</x:v>
      </x:c>
      <x:c r="F614" t="str">
        <x:v>Houston, TX</x:v>
      </x:c>
      <x:c r="G614" t="str">
        <x:v>Houston</x:v>
      </x:c>
      <x:c r="H614" t="str">
        <x:v>TX</x:v>
      </x:c>
      <x:c r="I614" s="18" t="str">
        <x:v>77002</x:v>
      </x:c>
      <x:c r="J614" s="15" t="n">
        <x:v>32641.345781527776</x:v>
      </x:c>
      <x:c r="K614" t="n">
        <x:f>INT((DATE(2025,12,31)-J614)/365.25)</x:f>
        <x:v>36</x:v>
      </x:c>
      <x:c r="L614" t="str">
        <x:f>IF(K614&lt;25,"18-24",IF(K614&lt;35,"25-34",IF(K614&lt;45,"35-44",IF(K614&lt;55,"45-54","55+"))))</x:f>
        <x:v>35-44</x:v>
      </x:c>
      <x:c r="M614" s="15" t="n">
        <x:v>43470.59883721065</x:v>
      </x:c>
      <x:c r="N614" t="n">
        <x:f>(YEAR(DATE(2025,12,31))-YEAR(M614))*12+MONTH(DATE(2025,12,31))-MONTH(M614)</x:f>
        <x:v>83</x:v>
      </x:c>
      <x:c r="O614" t="str">
        <x:v>ACTIVE</x:v>
      </x:c>
      <x:c r="P614" t="str">
        <x:v>INDEPENDENT_CONTRACTOR</x:v>
      </x:c>
      <x:c r="Q614" t="str">
        <x:v>CAR</x:v>
      </x:c>
      <x:c r="R614" t="str">
        <x:v>LUNCH</x:v>
      </x:c>
      <x:c r="S614" t="n">
        <x:v>36</x:v>
      </x:c>
      <x:c r="T614" t="str">
        <x:v>CLEARED</x:v>
      </x:c>
      <x:c r="U614" t="str">
        <x:v>VALID</x:v>
      </x:c>
      <x:c r="V614" s="16" t="n">
        <x:v>0.9724</x:v>
      </x:c>
      <x:c r="W614" t="str">
        <x:v>English</x:v>
      </x:c>
      <x:c r="X614"/>
      <x:c r="Y614" t="n">
        <x:v>10904</x:v>
      </x:c>
      <x:c r="Z614" s="17" t="n">
        <x:v>4.92</x:v>
      </x:c>
      <x:c r="AA614" s="16" t="n">
        <x:v>0.8504</x:v>
      </x:c>
      <x:c r="AB614" s="16" t="n">
        <x:v>0.9479</x:v>
      </x:c>
      <x:c r="AC614" s="16" t="n">
        <x:v>0.8802</x:v>
      </x:c>
      <x:c r="AD614" t="n">
        <x:v>0</x:v>
      </x:c>
      <x:c r="AE614" t="str">
        <x:f>IF(O614&lt;&gt;"ACTIVE","NOT_RATED",IF(AND(Z614&gt;=4.8,AB614&gt;=0.97,AC614&gt;=0.93,AD614=0),"ELITE",IF(AND(Z614&gt;=4.6,AB614&gt;=0.94,AC614&gt;=0.88),"HIGH_PERFORMER",IF(OR(Z614&lt;4.2,AB614&lt;0.85,AD614&gt;=2),"AT_RISK","STANDARD"))))</x:f>
        <x:v>HIGH_PERFORMER</x:v>
      </x:c>
      <x:c r="AF614" s="15" t="n">
        <x:v>46008</x:v>
      </x:c>
      <x:c r="AG614" t="str">
        <x:v>VERIFIED</x:v>
      </x:c>
      <x:c r="AH614" t="str">
        <x:v>COMPLETE</x:v>
      </x:c>
      <x:c r="AI614" t="str">
        <x:v>Ava Johnson</x:v>
      </x:c>
      <x:c r="AJ614" t="str">
        <x:v>SIBLING</x:v>
      </x:c>
      <x:c r="AK614" t="str">
        <x:v>+1 (713) 555-0107</x:v>
      </x:c>
    </x:row>
    <x:row r="615" ht="18" customHeight="1">
      <x:c r="A615" t="str">
        <x:v>DHR-00614</x:v>
      </x:c>
      <x:c r="B615" t="str">
        <x:v>Skyler Wilson</x:v>
      </x:c>
      <x:c r="C615" t="str">
        <x:v>https://api.dicebear.com/9.x/adventurer/png?seed=DHR-00614-Skyler%20Wilson&amp;size=256&amp;radius=50&amp;backgroundColor=b6e3f4,c0aede,d1d4f9,ffd5dc,ffdfbf</x:v>
      </x:c>
      <x:c r="D615" t="str">
        <x:v>skyler.wilson.614@example.com</x:v>
      </x:c>
      <x:c r="E615" t="str">
        <x:v>+1 (215) 555-0113</x:v>
      </x:c>
      <x:c r="F615" t="str">
        <x:v>Philadelphia, PA</x:v>
      </x:c>
      <x:c r="G615" t="str">
        <x:v>Philadelphia</x:v>
      </x:c>
      <x:c r="H615" t="str">
        <x:v>PA</x:v>
      </x:c>
      <x:c r="I615" s="18" t="str">
        <x:v>19103</x:v>
      </x:c>
      <x:c r="J615" s="15" t="n">
        <x:v>37214.73868952546</x:v>
      </x:c>
      <x:c r="K615" t="n">
        <x:f>INT((DATE(2025,12,31)-J615)/365.25)</x:f>
        <x:v>24</x:v>
      </x:c>
      <x:c r="L615" t="str">
        <x:f>IF(K615&lt;25,"18-24",IF(K615&lt;35,"25-34",IF(K615&lt;45,"35-44",IF(K615&lt;55,"45-54","55+"))))</x:f>
        <x:v>18-24</x:v>
      </x:c>
      <x:c r="M615" s="15" t="n">
        <x:v>45070.00627524305</x:v>
      </x:c>
      <x:c r="N615" t="n">
        <x:f>(YEAR(DATE(2025,12,31))-YEAR(M615))*12+MONTH(DATE(2025,12,31))-MONTH(M615)</x:f>
        <x:v>31</x:v>
      </x:c>
      <x:c r="O615" t="str">
        <x:v>ACTIVE</x:v>
      </x:c>
      <x:c r="P615" t="str">
        <x:v>INDEPENDENT_CONTRACTOR</x:v>
      </x:c>
      <x:c r="Q615" t="str">
        <x:v>CAR</x:v>
      </x:c>
      <x:c r="R615" t="str">
        <x:v>DINNER</x:v>
      </x:c>
      <x:c r="S615" t="n">
        <x:v>12</x:v>
      </x:c>
      <x:c r="T615" t="str">
        <x:v>CLEARED</x:v>
      </x:c>
      <x:c r="U615" t="str">
        <x:v>VALID</x:v>
      </x:c>
      <x:c r="V615" s="16" t="n">
        <x:v>0.9675</x:v>
      </x:c>
      <x:c r="W615" t="str">
        <x:v>Spanish</x:v>
      </x:c>
      <x:c r="X615"/>
      <x:c r="Y615" t="n">
        <x:v>1056</x:v>
      </x:c>
      <x:c r="Z615" s="17" t="n">
        <x:v>4.43</x:v>
      </x:c>
      <x:c r="AA615" s="16" t="n">
        <x:v>0.8621</x:v>
      </x:c>
      <x:c r="AB615" s="16" t="n">
        <x:v>0.9074</x:v>
      </x:c>
      <x:c r="AC615" s="16" t="n">
        <x:v>0.8522</x:v>
      </x:c>
      <x:c r="AD615" t="n">
        <x:v>0</x:v>
      </x:c>
      <x:c r="AE615" t="str">
        <x:f>IF(O615&lt;&gt;"ACTIVE","NOT_RATED",IF(AND(Z615&gt;=4.8,AB615&gt;=0.97,AC615&gt;=0.93,AD615=0),"ELITE",IF(AND(Z615&gt;=4.6,AB615&gt;=0.94,AC615&gt;=0.88),"HIGH_PERFORMER",IF(OR(Z615&lt;4.2,AB615&lt;0.85,AD615&gt;=2),"AT_RISK","STANDARD"))))</x:f>
        <x:v>STANDARD</x:v>
      </x:c>
      <x:c r="AF615" s="15" t="n">
        <x:v>46012</x:v>
      </x:c>
      <x:c r="AG615" t="str">
        <x:v>VERIFIED</x:v>
      </x:c>
      <x:c r="AH615" t="str">
        <x:v>COMPLETE</x:v>
      </x:c>
      <x:c r="AI615" t="str">
        <x:v>Robin Jackson</x:v>
      </x:c>
      <x:c r="AJ615" t="str">
        <x:v>SPOUSE_PARTNER</x:v>
      </x:c>
      <x:c r="AK615" t="str">
        <x:v>+1 (215) 555-0114</x:v>
      </x:c>
    </x:row>
    <x:row r="616" ht="18" customHeight="1">
      <x:c r="A616" t="str">
        <x:v>DHR-00615</x:v>
      </x:c>
      <x:c r="B616" t="str">
        <x:v>Skyler Young</x:v>
      </x:c>
      <x:c r="C616" t="str">
        <x:v>https://api.dicebear.com/9.x/adventurer/png?seed=DHR-00615-Skyler%20Young&amp;size=256&amp;radius=50&amp;backgroundColor=b6e3f4,c0aede,d1d4f9,ffd5dc,ffdfbf</x:v>
      </x:c>
      <x:c r="D616" t="str">
        <x:v>skyler.young.615@example.com</x:v>
      </x:c>
      <x:c r="E616" t="str">
        <x:v>+1 (213) 555-0114</x:v>
      </x:c>
      <x:c r="F616" t="str">
        <x:v>Los Angeles, CA</x:v>
      </x:c>
      <x:c r="G616" t="str">
        <x:v>Los Angeles</x:v>
      </x:c>
      <x:c r="H616" t="str">
        <x:v>CA</x:v>
      </x:c>
      <x:c r="I616" s="18" t="str">
        <x:v>90012</x:v>
      </x:c>
      <x:c r="J616" s="15" t="n">
        <x:v>38560.53355515046</x:v>
      </x:c>
      <x:c r="K616" t="n">
        <x:f>INT((DATE(2025,12,31)-J616)/365.25)</x:f>
        <x:v>20</x:v>
      </x:c>
      <x:c r="L616" t="str">
        <x:f>IF(K616&lt;25,"18-24",IF(K616&lt;35,"25-34",IF(K616&lt;45,"35-44",IF(K616&lt;55,"45-54","55+"))))</x:f>
        <x:v>18-24</x:v>
      </x:c>
      <x:c r="M616" s="15" t="n">
        <x:v>45554.579230613424</x:v>
      </x:c>
      <x:c r="N616" t="n">
        <x:f>(YEAR(DATE(2025,12,31))-YEAR(M616))*12+MONTH(DATE(2025,12,31))-MONTH(M616)</x:f>
        <x:v>15</x:v>
      </x:c>
      <x:c r="O616" t="str">
        <x:v>PAUSED</x:v>
      </x:c>
      <x:c r="P616" t="str">
        <x:v>INDEPENDENT_CONTRACTOR</x:v>
      </x:c>
      <x:c r="Q616" t="str">
        <x:v>BICYCLE</x:v>
      </x:c>
      <x:c r="R616" t="str">
        <x:v>DINNER</x:v>
      </x:c>
      <x:c r="S616" t="n">
        <x:v>14</x:v>
      </x:c>
      <x:c r="T616" t="str">
        <x:v>PENDING</x:v>
      </x:c>
      <x:c r="U616" t="str">
        <x:v>NOT_REQUIRED</x:v>
      </x:c>
      <x:c r="V616" s="16" t="n">
        <x:v>0.8753</x:v>
      </x:c>
      <x:c r="W616" t="str">
        <x:v>English</x:v>
      </x:c>
      <x:c r="X616"/>
      <x:c r="Y616" t="n">
        <x:v>699</x:v>
      </x:c>
      <x:c r="Z616" s="17" t="n">
        <x:v>4.26</x:v>
      </x:c>
      <x:c r="AA616" s="16" t="n">
        <x:v>0.9288</x:v>
      </x:c>
      <x:c r="AB616" s="16" t="n">
        <x:v>0.9294</x:v>
      </x:c>
      <x:c r="AC616" s="16" t="n">
        <x:v>0.8061</x:v>
      </x:c>
      <x:c r="AD616" t="n">
        <x:v>0</x:v>
      </x:c>
      <x:c r="AE616" t="str">
        <x:f>IF(O616&lt;&gt;"ACTIVE","NOT_RATED",IF(AND(Z616&gt;=4.8,AB616&gt;=0.97,AC616&gt;=0.93,AD616=0),"ELITE",IF(AND(Z616&gt;=4.6,AB616&gt;=0.94,AC616&gt;=0.88),"HIGH_PERFORMER",IF(OR(Z616&lt;4.2,AB616&lt;0.85,AD616&gt;=2),"AT_RISK","STANDARD"))))</x:f>
        <x:v>NOT_RATED</x:v>
      </x:c>
      <x:c r="AF616" s="15" t="n">
        <x:v>45923</x:v>
      </x:c>
      <x:c r="AG616" t="str">
        <x:v>VERIFIED</x:v>
      </x:c>
      <x:c r="AH616" t="str">
        <x:v>COMPLETE</x:v>
      </x:c>
      <x:c r="AI616" t="str">
        <x:v>Reese Clark</x:v>
      </x:c>
      <x:c r="AJ616" t="str">
        <x:v>SPOUSE_PARTNER</x:v>
      </x:c>
      <x:c r="AK616" t="str">
        <x:v>+1 (213) 555-0121</x:v>
      </x:c>
    </x:row>
    <x:row r="617" ht="18" customHeight="1">
      <x:c r="A617" t="str">
        <x:v>DHR-00616</x:v>
      </x:c>
      <x:c r="B617" t="str">
        <x:v>Sofia Anderson</x:v>
      </x:c>
      <x:c r="C617" t="str">
        <x:v>https://api.dicebear.com/9.x/adventurer/png?seed=DHR-00616-Sofia%20Anderson&amp;size=256&amp;radius=50&amp;backgroundColor=b6e3f4,c0aede,d1d4f9,ffd5dc,ffdfbf</x:v>
      </x:c>
      <x:c r="D617" t="str">
        <x:v>sofia.anderson.616@example.com</x:v>
      </x:c>
      <x:c r="E617" t="str">
        <x:v>+1 (210) 555-0115</x:v>
      </x:c>
      <x:c r="F617" t="str">
        <x:v>San Antonio, TX</x:v>
      </x:c>
      <x:c r="G617" t="str">
        <x:v>San Antonio</x:v>
      </x:c>
      <x:c r="H617" t="str">
        <x:v>TX</x:v>
      </x:c>
      <x:c r="I617" s="18" t="str">
        <x:v>78205</x:v>
      </x:c>
      <x:c r="J617" s="15" t="n">
        <x:v>33278.982920092596</x:v>
      </x:c>
      <x:c r="K617" t="n">
        <x:f>INT((DATE(2025,12,31)-J617)/365.25)</x:f>
        <x:v>34</x:v>
      </x:c>
      <x:c r="L617" t="str">
        <x:f>IF(K617&lt;25,"18-24",IF(K617&lt;35,"25-34",IF(K617&lt;45,"35-44",IF(K617&lt;55,"45-54","55+"))))</x:f>
        <x:v>25-34</x:v>
      </x:c>
      <x:c r="M617" s="15" t="n">
        <x:v>44795.66699174768</x:v>
      </x:c>
      <x:c r="N617" t="n">
        <x:f>(YEAR(DATE(2025,12,31))-YEAR(M617))*12+MONTH(DATE(2025,12,31))-MONTH(M617)</x:f>
        <x:v>40</x:v>
      </x:c>
      <x:c r="O617" t="str">
        <x:v>ACTIVE</x:v>
      </x:c>
      <x:c r="P617" t="str">
        <x:v>INDEPENDENT_CONTRACTOR</x:v>
      </x:c>
      <x:c r="Q617" t="str">
        <x:v>SCOOTER</x:v>
      </x:c>
      <x:c r="R617" t="str">
        <x:v>FLEXIBLE</x:v>
      </x:c>
      <x:c r="S617" t="n">
        <x:v>39</x:v>
      </x:c>
      <x:c r="T617" t="str">
        <x:v>CLEARED</x:v>
      </x:c>
      <x:c r="U617" t="str">
        <x:v>VALID</x:v>
      </x:c>
      <x:c r="V617" s="16" t="n">
        <x:v>0.9157</x:v>
      </x:c>
      <x:c r="W617" t="str">
        <x:v>English</x:v>
      </x:c>
      <x:c r="X617" t="str">
        <x:v>Vietnamese</x:v>
      </x:c>
      <x:c r="Y617" t="n">
        <x:v>2880</x:v>
      </x:c>
      <x:c r="Z617" s="17" t="n">
        <x:v>4.58</x:v>
      </x:c>
      <x:c r="AA617" s="16" t="n">
        <x:v>0.639</x:v>
      </x:c>
      <x:c r="AB617" s="16" t="n">
        <x:v>0.9345</x:v>
      </x:c>
      <x:c r="AC617" s="16" t="n">
        <x:v>0.8929</x:v>
      </x:c>
      <x:c r="AD617" t="n">
        <x:v>0</x:v>
      </x:c>
      <x:c r="AE617" t="str">
        <x:f>IF(O617&lt;&gt;"ACTIVE","NOT_RATED",IF(AND(Z617&gt;=4.8,AB617&gt;=0.97,AC617&gt;=0.93,AD617=0),"ELITE",IF(AND(Z617&gt;=4.6,AB617&gt;=0.94,AC617&gt;=0.88),"HIGH_PERFORMER",IF(OR(Z617&lt;4.2,AB617&lt;0.85,AD617&gt;=2),"AT_RISK","STANDARD"))))</x:f>
        <x:v>STANDARD</x:v>
      </x:c>
      <x:c r="AF617" s="15" t="n">
        <x:v>46018</x:v>
      </x:c>
      <x:c r="AG617" t="str">
        <x:v>VERIFIED</x:v>
      </x:c>
      <x:c r="AH617" t="str">
        <x:v>COMPLETE</x:v>
      </x:c>
      <x:c r="AI617" t="str">
        <x:v>Morgan Garcia</x:v>
      </x:c>
      <x:c r="AJ617" t="str">
        <x:v>SIBLING</x:v>
      </x:c>
      <x:c r="AK617" t="str">
        <x:v>+1 (210) 555-0128</x:v>
      </x:c>
    </x:row>
    <x:row r="618" ht="18" customHeight="1">
      <x:c r="A618" t="str">
        <x:v>DHR-00617</x:v>
      </x:c>
      <x:c r="B618" t="str">
        <x:v>Sofia Brown</x:v>
      </x:c>
      <x:c r="C618" t="str">
        <x:v>https://api.dicebear.com/9.x/adventurer/png?seed=DHR-00617-Sofia%20Brown&amp;size=256&amp;radius=50&amp;backgroundColor=b6e3f4,c0aede,d1d4f9,ffd5dc,ffdfbf</x:v>
      </x:c>
      <x:c r="D618" t="str">
        <x:v>sofia.brown.617@example.com</x:v>
      </x:c>
      <x:c r="E618" t="str">
        <x:v>+1 (312) 555-0116</x:v>
      </x:c>
      <x:c r="F618" t="str">
        <x:v>Chicago, IL</x:v>
      </x:c>
      <x:c r="G618" t="str">
        <x:v>Chicago</x:v>
      </x:c>
      <x:c r="H618" t="str">
        <x:v>IL</x:v>
      </x:c>
      <x:c r="I618" s="18" t="str">
        <x:v>60601</x:v>
      </x:c>
      <x:c r="J618" s="15" t="n">
        <x:v>36493.06828394676</x:v>
      </x:c>
      <x:c r="K618" t="n">
        <x:f>INT((DATE(2025,12,31)-J618)/365.25)</x:f>
        <x:v>26</x:v>
      </x:c>
      <x:c r="L618" t="str">
        <x:f>IF(K618&lt;25,"18-24",IF(K618&lt;35,"25-34",IF(K618&lt;45,"35-44",IF(K618&lt;55,"45-54","55+"))))</x:f>
        <x:v>25-34</x:v>
      </x:c>
      <x:c r="M618" s="15" t="n">
        <x:v>43790.611357650465</x:v>
      </x:c>
      <x:c r="N618" t="n">
        <x:f>(YEAR(DATE(2025,12,31))-YEAR(M618))*12+MONTH(DATE(2025,12,31))-MONTH(M618)</x:f>
        <x:v>73</x:v>
      </x:c>
      <x:c r="O618" t="str">
        <x:v>ACTIVE</x:v>
      </x:c>
      <x:c r="P618" t="str">
        <x:v>INDEPENDENT_CONTRACTOR</x:v>
      </x:c>
      <x:c r="Q618" t="str">
        <x:v>CAR</x:v>
      </x:c>
      <x:c r="R618" t="str">
        <x:v>LUNCH</x:v>
      </x:c>
      <x:c r="S618" t="n">
        <x:v>29</x:v>
      </x:c>
      <x:c r="T618" t="str">
        <x:v>CLEARED</x:v>
      </x:c>
      <x:c r="U618" t="str">
        <x:v>VALID</x:v>
      </x:c>
      <x:c r="V618" s="16" t="n">
        <x:v>0.9968</x:v>
      </x:c>
      <x:c r="W618" t="str">
        <x:v>English</x:v>
      </x:c>
      <x:c r="X618"/>
      <x:c r="Y618" t="n">
        <x:v>6637</x:v>
      </x:c>
      <x:c r="Z618" s="17" t="n">
        <x:v>4.43</x:v>
      </x:c>
      <x:c r="AA618" s="16" t="n">
        <x:v>0.99</x:v>
      </x:c>
      <x:c r="AB618" s="16" t="n">
        <x:v>0.9272</x:v>
      </x:c>
      <x:c r="AC618" s="16" t="n">
        <x:v>0.9339</x:v>
      </x:c>
      <x:c r="AD618" t="n">
        <x:v>0</x:v>
      </x:c>
      <x:c r="AE618" t="str">
        <x:f>IF(O618&lt;&gt;"ACTIVE","NOT_RATED",IF(AND(Z618&gt;=4.8,AB618&gt;=0.97,AC618&gt;=0.93,AD618=0),"ELITE",IF(AND(Z618&gt;=4.6,AB618&gt;=0.94,AC618&gt;=0.88),"HIGH_PERFORMER",IF(OR(Z618&lt;4.2,AB618&lt;0.85,AD618&gt;=2),"AT_RISK","STANDARD"))))</x:f>
        <x:v>STANDARD</x:v>
      </x:c>
      <x:c r="AF618" s="15" t="n">
        <x:v>46021</x:v>
      </x:c>
      <x:c r="AG618" t="str">
        <x:v>VERIFIED</x:v>
      </x:c>
      <x:c r="AH618" t="str">
        <x:v>COMPLETE</x:v>
      </x:c>
      <x:c r="AI618" t="str">
        <x:v>Ethan Miller</x:v>
      </x:c>
      <x:c r="AJ618" t="str">
        <x:v>PARENT</x:v>
      </x:c>
      <x:c r="AK618" t="str">
        <x:v>+1 (312) 555-0135</x:v>
      </x:c>
    </x:row>
    <x:row r="619" ht="18" customHeight="1">
      <x:c r="A619" t="str">
        <x:v>DHR-00618</x:v>
      </x:c>
      <x:c r="B619" t="str">
        <x:v>Sofia Clark</x:v>
      </x:c>
      <x:c r="C619" t="str">
        <x:v>https://api.dicebear.com/9.x/adventurer/png?seed=DHR-00618-Sofia%20Clark&amp;size=256&amp;radius=50&amp;backgroundColor=b6e3f4,c0aede,d1d4f9,ffd5dc,ffdfbf</x:v>
      </x:c>
      <x:c r="D619" t="str">
        <x:v>sofia.clark.618@example.com</x:v>
      </x:c>
      <x:c r="E619" t="str">
        <x:v>+1 (704) 555-0117</x:v>
      </x:c>
      <x:c r="F619" t="str">
        <x:v>Charlotte, NC</x:v>
      </x:c>
      <x:c r="G619" t="str">
        <x:v>Charlotte</x:v>
      </x:c>
      <x:c r="H619" t="str">
        <x:v>NC</x:v>
      </x:c>
      <x:c r="I619" s="18" t="str">
        <x:v>28202</x:v>
      </x:c>
      <x:c r="J619" s="15" t="n">
        <x:v>26573.297843020835</x:v>
      </x:c>
      <x:c r="K619" t="n">
        <x:f>INT((DATE(2025,12,31)-J619)/365.25)</x:f>
        <x:v>53</x:v>
      </x:c>
      <x:c r="L619" t="str">
        <x:f>IF(K619&lt;25,"18-24",IF(K619&lt;35,"25-34",IF(K619&lt;45,"35-44",IF(K619&lt;55,"45-54","55+"))))</x:f>
        <x:v>45-54</x:v>
      </x:c>
      <x:c r="M619" s="15" t="n">
        <x:v>43911.26189335648</x:v>
      </x:c>
      <x:c r="N619" t="n">
        <x:f>(YEAR(DATE(2025,12,31))-YEAR(M619))*12+MONTH(DATE(2025,12,31))-MONTH(M619)</x:f>
        <x:v>69</x:v>
      </x:c>
      <x:c r="O619" t="str">
        <x:v>ACTIVE</x:v>
      </x:c>
      <x:c r="P619" t="str">
        <x:v>INDEPENDENT_CONTRACTOR</x:v>
      </x:c>
      <x:c r="Q619" t="str">
        <x:v>CAR</x:v>
      </x:c>
      <x:c r="R619" t="str">
        <x:v>FLEXIBLE</x:v>
      </x:c>
      <x:c r="S619" t="n">
        <x:v>32</x:v>
      </x:c>
      <x:c r="T619" t="str">
        <x:v>CLEARED</x:v>
      </x:c>
      <x:c r="U619" t="str">
        <x:v>VALID</x:v>
      </x:c>
      <x:c r="V619" s="16" t="n">
        <x:v>0.8648</x:v>
      </x:c>
      <x:c r="W619" t="str">
        <x:v>English</x:v>
      </x:c>
      <x:c r="X619"/>
      <x:c r="Y619" t="n">
        <x:v>6362</x:v>
      </x:c>
      <x:c r="Z619" s="17" t="n">
        <x:v>4.6</x:v>
      </x:c>
      <x:c r="AA619" s="16" t="n">
        <x:v>0.7144</x:v>
      </x:c>
      <x:c r="AB619" s="16" t="n">
        <x:v>0.8948</x:v>
      </x:c>
      <x:c r="AC619" s="16" t="n">
        <x:v>0.938</x:v>
      </x:c>
      <x:c r="AD619" t="n">
        <x:v>0</x:v>
      </x:c>
      <x:c r="AE619" t="str">
        <x:f>IF(O619&lt;&gt;"ACTIVE","NOT_RATED",IF(AND(Z619&gt;=4.8,AB619&gt;=0.97,AC619&gt;=0.93,AD619=0),"ELITE",IF(AND(Z619&gt;=4.6,AB619&gt;=0.94,AC619&gt;=0.88),"HIGH_PERFORMER",IF(OR(Z619&lt;4.2,AB619&lt;0.85,AD619&gt;=2),"AT_RISK","STANDARD"))))</x:f>
        <x:v>STANDARD</x:v>
      </x:c>
      <x:c r="AF619" s="15" t="n">
        <x:v>46010</x:v>
      </x:c>
      <x:c r="AG619" t="str">
        <x:v>VERIFIED</x:v>
      </x:c>
      <x:c r="AH619" t="str">
        <x:v>COMPLETE</x:v>
      </x:c>
      <x:c r="AI619" t="str">
        <x:v>Reese Taylor</x:v>
      </x:c>
      <x:c r="AJ619" t="str">
        <x:v>SPOUSE_PARTNER</x:v>
      </x:c>
      <x:c r="AK619" t="str">
        <x:v>+1 (704) 555-0142</x:v>
      </x:c>
    </x:row>
    <x:row r="620" ht="18" customHeight="1">
      <x:c r="A620" t="str">
        <x:v>DHR-00619</x:v>
      </x:c>
      <x:c r="B620" t="str">
        <x:v>Sofia Davis</x:v>
      </x:c>
      <x:c r="C620" t="str">
        <x:v>https://api.dicebear.com/9.x/adventurer/png?seed=DHR-00619-Sofia%20Davis&amp;size=256&amp;radius=50&amp;backgroundColor=b6e3f4,c0aede,d1d4f9,ffd5dc,ffdfbf</x:v>
      </x:c>
      <x:c r="D620" t="str">
        <x:v>sofia.davis.619@example.com</x:v>
      </x:c>
      <x:c r="E620" t="str">
        <x:v>+1 (602) 555-0118</x:v>
      </x:c>
      <x:c r="F620" t="str">
        <x:v>Phoenix, AZ</x:v>
      </x:c>
      <x:c r="G620" t="str">
        <x:v>Phoenix</x:v>
      </x:c>
      <x:c r="H620" t="str">
        <x:v>AZ</x:v>
      </x:c>
      <x:c r="I620" s="18" t="str">
        <x:v>85004</x:v>
      </x:c>
      <x:c r="J620" s="15" t="n">
        <x:v>34624.40281896991</x:v>
      </x:c>
      <x:c r="K620" t="n">
        <x:f>INT((DATE(2025,12,31)-J620)/365.25)</x:f>
        <x:v>31</x:v>
      </x:c>
      <x:c r="L620" t="str">
        <x:f>IF(K620&lt;25,"18-24",IF(K620&lt;35,"25-34",IF(K620&lt;45,"35-44",IF(K620&lt;55,"45-54","55+"))))</x:f>
        <x:v>25-34</x:v>
      </x:c>
      <x:c r="M620" s="15" t="n">
        <x:v>45110.13558232639</x:v>
      </x:c>
      <x:c r="N620" t="n">
        <x:f>(YEAR(DATE(2025,12,31))-YEAR(M620))*12+MONTH(DATE(2025,12,31))-MONTH(M620)</x:f>
        <x:v>29</x:v>
      </x:c>
      <x:c r="O620" t="str">
        <x:v>ACTIVE</x:v>
      </x:c>
      <x:c r="P620" t="str">
        <x:v>INDEPENDENT_CONTRACTOR</x:v>
      </x:c>
      <x:c r="Q620" t="str">
        <x:v>CAR</x:v>
      </x:c>
      <x:c r="R620" t="str">
        <x:v>DINNER</x:v>
      </x:c>
      <x:c r="S620" t="n">
        <x:v>41</x:v>
      </x:c>
      <x:c r="T620" t="str">
        <x:v>CLEARED</x:v>
      </x:c>
      <x:c r="U620" t="str">
        <x:v>VALID</x:v>
      </x:c>
      <x:c r="V620" s="16" t="n">
        <x:v>0.8074</x:v>
      </x:c>
      <x:c r="W620" t="str">
        <x:v>English</x:v>
      </x:c>
      <x:c r="X620"/>
      <x:c r="Y620" t="n">
        <x:v>2795</x:v>
      </x:c>
      <x:c r="Z620" s="17" t="n">
        <x:v>4.84</x:v>
      </x:c>
      <x:c r="AA620" s="16" t="n">
        <x:v>0.8458</x:v>
      </x:c>
      <x:c r="AB620" s="16" t="n">
        <x:v>0.9239</x:v>
      </x:c>
      <x:c r="AC620" s="16" t="n">
        <x:v>0.8694</x:v>
      </x:c>
      <x:c r="AD620" t="n">
        <x:v>0</x:v>
      </x:c>
      <x:c r="AE620" t="str">
        <x:f>IF(O620&lt;&gt;"ACTIVE","NOT_RATED",IF(AND(Z620&gt;=4.8,AB620&gt;=0.97,AC620&gt;=0.93,AD620=0),"ELITE",IF(AND(Z620&gt;=4.6,AB620&gt;=0.94,AC620&gt;=0.88),"HIGH_PERFORMER",IF(OR(Z620&lt;4.2,AB620&lt;0.85,AD620&gt;=2),"AT_RISK","STANDARD"))))</x:f>
        <x:v>STANDARD</x:v>
      </x:c>
      <x:c r="AF620" s="15" t="n">
        <x:v>46011</x:v>
      </x:c>
      <x:c r="AG620" t="str">
        <x:v>VERIFIED</x:v>
      </x:c>
      <x:c r="AH620" t="str">
        <x:v>COMPLETE</x:v>
      </x:c>
      <x:c r="AI620" t="str">
        <x:v>Parker Perez</x:v>
      </x:c>
      <x:c r="AJ620" t="str">
        <x:v>SPOUSE_PARTNER</x:v>
      </x:c>
      <x:c r="AK620" t="str">
        <x:v>+1 (602) 555-0149</x:v>
      </x:c>
    </x:row>
    <x:row r="621" ht="18" customHeight="1">
      <x:c r="A621" t="str">
        <x:v>DHR-00620</x:v>
      </x:c>
      <x:c r="B621" t="str">
        <x:v>Sofia Garcia</x:v>
      </x:c>
      <x:c r="C621" t="str">
        <x:v>https://api.dicebear.com/9.x/adventurer/png?seed=DHR-00620-Sofia%20Garcia&amp;size=256&amp;radius=50&amp;backgroundColor=b6e3f4,c0aede,d1d4f9,ffd5dc,ffdfbf</x:v>
      </x:c>
      <x:c r="D621" t="str">
        <x:v>sofia.garcia.620@example.com</x:v>
      </x:c>
      <x:c r="E621" t="str">
        <x:v>+1 (612) 555-0119</x:v>
      </x:c>
      <x:c r="F621" t="str">
        <x:v>Minneapolis, MN</x:v>
      </x:c>
      <x:c r="G621" t="str">
        <x:v>Minneapolis</x:v>
      </x:c>
      <x:c r="H621" t="str">
        <x:v>MN</x:v>
      </x:c>
      <x:c r="I621" s="18" t="str">
        <x:v>55401</x:v>
      </x:c>
      <x:c r="J621" s="15" t="n">
        <x:v>34242.32989414352</x:v>
      </x:c>
      <x:c r="K621" t="n">
        <x:f>INT((DATE(2025,12,31)-J621)/365.25)</x:f>
        <x:v>32</x:v>
      </x:c>
      <x:c r="L621" t="str">
        <x:f>IF(K621&lt;25,"18-24",IF(K621&lt;35,"25-34",IF(K621&lt;45,"35-44",IF(K621&lt;55,"45-54","55+"))))</x:f>
        <x:v>25-34</x:v>
      </x:c>
      <x:c r="M621" s="15" t="n">
        <x:v>43861.17307754629</x:v>
      </x:c>
      <x:c r="N621" t="n">
        <x:f>(YEAR(DATE(2025,12,31))-YEAR(M621))*12+MONTH(DATE(2025,12,31))-MONTH(M621)</x:f>
        <x:v>71</x:v>
      </x:c>
      <x:c r="O621" t="str">
        <x:v>ACTIVE</x:v>
      </x:c>
      <x:c r="P621" t="str">
        <x:v>INDEPENDENT_CONTRACTOR</x:v>
      </x:c>
      <x:c r="Q621" t="str">
        <x:v>CAR</x:v>
      </x:c>
      <x:c r="R621" t="str">
        <x:v>LUNCH</x:v>
      </x:c>
      <x:c r="S621" t="n">
        <x:v>27</x:v>
      </x:c>
      <x:c r="T621" t="str">
        <x:v>PENDING</x:v>
      </x:c>
      <x:c r="U621" t="str">
        <x:v>VALID</x:v>
      </x:c>
      <x:c r="V621" s="16" t="n">
        <x:v>0.7946</x:v>
      </x:c>
      <x:c r="W621" t="str">
        <x:v>English</x:v>
      </x:c>
      <x:c r="X621"/>
      <x:c r="Y621" t="n">
        <x:v>6700</x:v>
      </x:c>
      <x:c r="Z621" s="17" t="n">
        <x:v>4.82</x:v>
      </x:c>
      <x:c r="AA621" s="16" t="n">
        <x:v>0.7131</x:v>
      </x:c>
      <x:c r="AB621" s="16" t="n">
        <x:v>0.9477</x:v>
      </x:c>
      <x:c r="AC621" s="16" t="n">
        <x:v>0.8543</x:v>
      </x:c>
      <x:c r="AD621" t="n">
        <x:v>0</x:v>
      </x:c>
      <x:c r="AE621" t="str">
        <x:f>IF(O621&lt;&gt;"ACTIVE","NOT_RATED",IF(AND(Z621&gt;=4.8,AB621&gt;=0.97,AC621&gt;=0.93,AD621=0),"ELITE",IF(AND(Z621&gt;=4.6,AB621&gt;=0.94,AC621&gt;=0.88),"HIGH_PERFORMER",IF(OR(Z621&lt;4.2,AB621&lt;0.85,AD621&gt;=2),"AT_RISK","STANDARD"))))</x:f>
        <x:v>STANDARD</x:v>
      </x:c>
      <x:c r="AF621" s="15" t="n">
        <x:v>46013</x:v>
      </x:c>
      <x:c r="AG621" t="str">
        <x:v>VERIFIED</x:v>
      </x:c>
      <x:c r="AH621" t="str">
        <x:v>COMPLETE</x:v>
      </x:c>
      <x:c r="AI621" t="str">
        <x:v>Devin White</x:v>
      </x:c>
      <x:c r="AJ621" t="str">
        <x:v>FRIEND</x:v>
      </x:c>
      <x:c r="AK621" t="str">
        <x:v>+1 (612) 555-0156</x:v>
      </x:c>
    </x:row>
    <x:row r="622" ht="18" customHeight="1">
      <x:c r="A622" t="str">
        <x:v>DHR-00621</x:v>
      </x:c>
      <x:c r="B622" t="str">
        <x:v>Sofia Harris</x:v>
      </x:c>
      <x:c r="C622" t="str">
        <x:v>https://api.dicebear.com/9.x/adventurer/png?seed=DHR-00621-Sofia%20Harris&amp;size=256&amp;radius=50&amp;backgroundColor=b6e3f4,c0aede,d1d4f9,ffd5dc,ffdfbf</x:v>
      </x:c>
      <x:c r="D622" t="str">
        <x:v>sofia.harris.621@example.com</x:v>
      </x:c>
      <x:c r="E622" t="str">
        <x:v>+1 (713) 555-0120</x:v>
      </x:c>
      <x:c r="F622" t="str">
        <x:v>Houston, TX</x:v>
      </x:c>
      <x:c r="G622" t="str">
        <x:v>Houston</x:v>
      </x:c>
      <x:c r="H622" t="str">
        <x:v>TX</x:v>
      </x:c>
      <x:c r="I622" s="18" t="str">
        <x:v>77002</x:v>
      </x:c>
      <x:c r="J622" s="15" t="n">
        <x:v>38387.51414207176</x:v>
      </x:c>
      <x:c r="K622" t="n">
        <x:f>INT((DATE(2025,12,31)-J622)/365.25)</x:f>
        <x:v>20</x:v>
      </x:c>
      <x:c r="L622" t="str">
        <x:f>IF(K622&lt;25,"18-24",IF(K622&lt;35,"25-34",IF(K622&lt;45,"35-44",IF(K622&lt;55,"45-54","55+"))))</x:f>
        <x:v>18-24</x:v>
      </x:c>
      <x:c r="M622" s="15" t="n">
        <x:v>45209.58023255787</x:v>
      </x:c>
      <x:c r="N622" t="n">
        <x:f>(YEAR(DATE(2025,12,31))-YEAR(M622))*12+MONTH(DATE(2025,12,31))-MONTH(M622)</x:f>
        <x:v>26</x:v>
      </x:c>
      <x:c r="O622" t="str">
        <x:v>ACTIVE</x:v>
      </x:c>
      <x:c r="P622" t="str">
        <x:v>INDEPENDENT_CONTRACTOR</x:v>
      </x:c>
      <x:c r="Q622" t="str">
        <x:v>CAR</x:v>
      </x:c>
      <x:c r="R622" t="str">
        <x:v>DINNER</x:v>
      </x:c>
      <x:c r="S622" t="n">
        <x:v>8</x:v>
      </x:c>
      <x:c r="T622" t="str">
        <x:v>CLEARED</x:v>
      </x:c>
      <x:c r="U622" t="str">
        <x:v>VALID</x:v>
      </x:c>
      <x:c r="V622" s="16" t="n">
        <x:v>0.7841</x:v>
      </x:c>
      <x:c r="W622" t="str">
        <x:v>English</x:v>
      </x:c>
      <x:c r="X622" t="str">
        <x:v>Mandarin</x:v>
      </x:c>
      <x:c r="Y622" t="n">
        <x:v>579</x:v>
      </x:c>
      <x:c r="Z622" s="17" t="n">
        <x:v>4.68</x:v>
      </x:c>
      <x:c r="AA622" s="16" t="n">
        <x:v>0.9143</x:v>
      </x:c>
      <x:c r="AB622" s="16" t="n">
        <x:v>0.9379</x:v>
      </x:c>
      <x:c r="AC622" s="16" t="n">
        <x:v>0.878</x:v>
      </x:c>
      <x:c r="AD622" t="n">
        <x:v>0</x:v>
      </x:c>
      <x:c r="AE622" t="str">
        <x:f>IF(O622&lt;&gt;"ACTIVE","NOT_RATED",IF(AND(Z622&gt;=4.8,AB622&gt;=0.97,AC622&gt;=0.93,AD622=0),"ELITE",IF(AND(Z622&gt;=4.6,AB622&gt;=0.94,AC622&gt;=0.88),"HIGH_PERFORMER",IF(OR(Z622&lt;4.2,AB622&lt;0.85,AD622&gt;=2),"AT_RISK","STANDARD"))))</x:f>
        <x:v>STANDARD</x:v>
      </x:c>
      <x:c r="AF622" s="15" t="n">
        <x:v>46020</x:v>
      </x:c>
      <x:c r="AG622" t="str">
        <x:v>VERIFIED</x:v>
      </x:c>
      <x:c r="AH622" t="str">
        <x:v>COMPLETE</x:v>
      </x:c>
      <x:c r="AI622" t="str">
        <x:v>Casey Martinez</x:v>
      </x:c>
      <x:c r="AJ622" t="str">
        <x:v>SPOUSE_PARTNER</x:v>
      </x:c>
      <x:c r="AK622" t="str">
        <x:v>+1 (713) 555-0163</x:v>
      </x:c>
    </x:row>
    <x:row r="623" ht="18" customHeight="1">
      <x:c r="A623" t="str">
        <x:v>DHR-00622</x:v>
      </x:c>
      <x:c r="B623" t="str">
        <x:v>Sofia Jackson</x:v>
      </x:c>
      <x:c r="C623" t="str">
        <x:v>https://api.dicebear.com/9.x/adventurer/png?seed=DHR-00622-Sofia%20Jackson&amp;size=256&amp;radius=50&amp;backgroundColor=b6e3f4,c0aede,d1d4f9,ffd5dc,ffdfbf</x:v>
      </x:c>
      <x:c r="D623" t="str">
        <x:v>sofia.jackson.622@example.com</x:v>
      </x:c>
      <x:c r="E623" t="str">
        <x:v>+1 (408) 555-0121</x:v>
      </x:c>
      <x:c r="F623" t="str">
        <x:v>San Jose, CA</x:v>
      </x:c>
      <x:c r="G623" t="str">
        <x:v>San Jose</x:v>
      </x:c>
      <x:c r="H623" t="str">
        <x:v>CA</x:v>
      </x:c>
      <x:c r="I623" s="18" t="str">
        <x:v>95113</x:v>
      </x:c>
      <x:c r="J623" s="15" t="n">
        <x:v>31327.831804097223</x:v>
      </x:c>
      <x:c r="K623" t="n">
        <x:f>INT((DATE(2025,12,31)-J623)/365.25)</x:f>
        <x:v>40</x:v>
      </x:c>
      <x:c r="L623" t="str">
        <x:f>IF(K623&lt;25,"18-24",IF(K623&lt;35,"25-34",IF(K623&lt;45,"35-44",IF(K623&lt;55,"45-54","55+"))))</x:f>
        <x:v>35-44</x:v>
      </x:c>
      <x:c r="M623" s="15" t="n">
        <x:v>44377.73612284722</x:v>
      </x:c>
      <x:c r="N623" t="n">
        <x:f>(YEAR(DATE(2025,12,31))-YEAR(M623))*12+MONTH(DATE(2025,12,31))-MONTH(M623)</x:f>
        <x:v>54</x:v>
      </x:c>
      <x:c r="O623" t="str">
        <x:v>ACTIVE</x:v>
      </x:c>
      <x:c r="P623" t="str">
        <x:v>INDEPENDENT_CONTRACTOR</x:v>
      </x:c>
      <x:c r="Q623" t="str">
        <x:v>CAR</x:v>
      </x:c>
      <x:c r="R623" t="str">
        <x:v>FLEXIBLE</x:v>
      </x:c>
      <x:c r="S623" t="n">
        <x:v>35</x:v>
      </x:c>
      <x:c r="T623" t="str">
        <x:v>CLEARED</x:v>
      </x:c>
      <x:c r="U623" t="str">
        <x:v>VALID</x:v>
      </x:c>
      <x:c r="V623" s="16" t="n">
        <x:v>0.9586</x:v>
      </x:c>
      <x:c r="W623" t="str">
        <x:v>Spanish</x:v>
      </x:c>
      <x:c r="X623" t="str">
        <x:v>French</x:v>
      </x:c>
      <x:c r="Y623" t="n">
        <x:v>3636</x:v>
      </x:c>
      <x:c r="Z623" s="17" t="n">
        <x:v>4.65</x:v>
      </x:c>
      <x:c r="AA623" s="16" t="n">
        <x:v>0.8904</x:v>
      </x:c>
      <x:c r="AB623" s="16" t="n">
        <x:v>0.9016</x:v>
      </x:c>
      <x:c r="AC623" s="16" t="n">
        <x:v>0.8933</x:v>
      </x:c>
      <x:c r="AD623" t="n">
        <x:v>0</x:v>
      </x:c>
      <x:c r="AE623" t="str">
        <x:f>IF(O623&lt;&gt;"ACTIVE","NOT_RATED",IF(AND(Z623&gt;=4.8,AB623&gt;=0.97,AC623&gt;=0.93,AD623=0),"ELITE",IF(AND(Z623&gt;=4.6,AB623&gt;=0.94,AC623&gt;=0.88),"HIGH_PERFORMER",IF(OR(Z623&lt;4.2,AB623&lt;0.85,AD623&gt;=2),"AT_RISK","STANDARD"))))</x:f>
        <x:v>STANDARD</x:v>
      </x:c>
      <x:c r="AF623" s="15" t="n">
        <x:v>46013</x:v>
      </x:c>
      <x:c r="AG623" t="str">
        <x:v>ON_HOLD</x:v>
      </x:c>
      <x:c r="AH623" t="str">
        <x:v>COMPLETE</x:v>
      </x:c>
      <x:c r="AI623" t="str">
        <x:v>Hayden Moore</x:v>
      </x:c>
      <x:c r="AJ623" t="str">
        <x:v>SIBLING</x:v>
      </x:c>
      <x:c r="AK623" t="str">
        <x:v>+1 (408) 555-0170</x:v>
      </x:c>
    </x:row>
    <x:row r="624" ht="18" customHeight="1">
      <x:c r="A624" t="str">
        <x:v>DHR-00623</x:v>
      </x:c>
      <x:c r="B624" t="str">
        <x:v>Sofia Johnson</x:v>
      </x:c>
      <x:c r="C624" t="str">
        <x:v>https://api.dicebear.com/9.x/adventurer/png?seed=DHR-00623-Sofia%20Johnson&amp;size=256&amp;radius=50&amp;backgroundColor=b6e3f4,c0aede,d1d4f9,ffd5dc,ffdfbf</x:v>
      </x:c>
      <x:c r="D624" t="str">
        <x:v>sofia.johnson.623@example.com</x:v>
      </x:c>
      <x:c r="E624" t="str">
        <x:v>+1 (404) 555-0122</x:v>
      </x:c>
      <x:c r="F624" t="str">
        <x:v>Atlanta, GA</x:v>
      </x:c>
      <x:c r="G624" t="str">
        <x:v>Atlanta</x:v>
      </x:c>
      <x:c r="H624" t="str">
        <x:v>GA</x:v>
      </x:c>
      <x:c r="I624" s="18" t="str">
        <x:v>30303</x:v>
      </x:c>
      <x:c r="J624" s="15" t="n">
        <x:v>32610.42912796296</x:v>
      </x:c>
      <x:c r="K624" t="n">
        <x:f>INT((DATE(2025,12,31)-J624)/365.25)</x:f>
        <x:v>36</x:v>
      </x:c>
      <x:c r="L624" t="str">
        <x:f>IF(K624&lt;25,"18-24",IF(K624&lt;35,"25-34",IF(K624&lt;45,"35-44",IF(K624&lt;55,"45-54","55+"))))</x:f>
        <x:v>35-44</x:v>
      </x:c>
      <x:c r="M624" s="15" t="n">
        <x:v>44411.21096118056</x:v>
      </x:c>
      <x:c r="N624" t="n">
        <x:f>(YEAR(DATE(2025,12,31))-YEAR(M624))*12+MONTH(DATE(2025,12,31))-MONTH(M624)</x:f>
        <x:v>52</x:v>
      </x:c>
      <x:c r="O624" t="str">
        <x:v>ACTIVE</x:v>
      </x:c>
      <x:c r="P624" t="str">
        <x:v>INDEPENDENT_CONTRACTOR</x:v>
      </x:c>
      <x:c r="Q624" t="str">
        <x:v>CAR</x:v>
      </x:c>
      <x:c r="R624" t="str">
        <x:v>FLEXIBLE</x:v>
      </x:c>
      <x:c r="S624" t="n">
        <x:v>30</x:v>
      </x:c>
      <x:c r="T624" t="str">
        <x:v>CLEARED</x:v>
      </x:c>
      <x:c r="U624" t="str">
        <x:v>VALID</x:v>
      </x:c>
      <x:c r="V624" s="16" t="n">
        <x:v>0.8926</x:v>
      </x:c>
      <x:c r="W624" t="str">
        <x:v>English</x:v>
      </x:c>
      <x:c r="X624"/>
      <x:c r="Y624" t="n">
        <x:v>4837</x:v>
      </x:c>
      <x:c r="Z624" s="17" t="n">
        <x:v>4.58</x:v>
      </x:c>
      <x:c r="AA624" s="16" t="n">
        <x:v>0.7349</x:v>
      </x:c>
      <x:c r="AB624" s="16" t="n">
        <x:v>0.9191</x:v>
      </x:c>
      <x:c r="AC624" s="16" t="n">
        <x:v>0.8796</x:v>
      </x:c>
      <x:c r="AD624" t="n">
        <x:v>0</x:v>
      </x:c>
      <x:c r="AE624" t="str">
        <x:f>IF(O624&lt;&gt;"ACTIVE","NOT_RATED",IF(AND(Z624&gt;=4.8,AB624&gt;=0.97,AC624&gt;=0.93,AD624=0),"ELITE",IF(AND(Z624&gt;=4.6,AB624&gt;=0.94,AC624&gt;=0.88),"HIGH_PERFORMER",IF(OR(Z624&lt;4.2,AB624&lt;0.85,AD624&gt;=2),"AT_RISK","STANDARD"))))</x:f>
        <x:v>STANDARD</x:v>
      </x:c>
      <x:c r="AF624" s="15" t="n">
        <x:v>46018</x:v>
      </x:c>
      <x:c r="AG624" t="str">
        <x:v>VERIFIED</x:v>
      </x:c>
      <x:c r="AH624" t="str">
        <x:v>COMPLETE</x:v>
      </x:c>
      <x:c r="AI624" t="str">
        <x:v>Sam Jackson</x:v>
      </x:c>
      <x:c r="AJ624" t="str">
        <x:v>PARENT</x:v>
      </x:c>
      <x:c r="AK624" t="str">
        <x:v>+1 (404) 555-0177</x:v>
      </x:c>
    </x:row>
    <x:row r="625" ht="18" customHeight="1">
      <x:c r="A625" t="str">
        <x:v>DHR-00624</x:v>
      </x:c>
      <x:c r="B625" t="str">
        <x:v>Sofia Jones</x:v>
      </x:c>
      <x:c r="C625" t="str">
        <x:v>https://api.dicebear.com/9.x/adventurer/png?seed=DHR-00624-Sofia%20Jones&amp;size=256&amp;radius=50&amp;backgroundColor=b6e3f4,c0aede,d1d4f9,ffd5dc,ffdfbf</x:v>
      </x:c>
      <x:c r="D625" t="str">
        <x:v>sofia.jones.624@example.com</x:v>
      </x:c>
      <x:c r="E625" t="str">
        <x:v>+1 (614) 555-0123</x:v>
      </x:c>
      <x:c r="F625" t="str">
        <x:v>Columbus, OH</x:v>
      </x:c>
      <x:c r="G625" t="str">
        <x:v>Columbus</x:v>
      </x:c>
      <x:c r="H625" t="str">
        <x:v>OH</x:v>
      </x:c>
      <x:c r="I625" s="18" t="str">
        <x:v>43215</x:v>
      </x:c>
      <x:c r="J625" s="15" t="n">
        <x:v>28494.56500068287</x:v>
      </x:c>
      <x:c r="K625" t="n">
        <x:f>INT((DATE(2025,12,31)-J625)/365.25)</x:f>
        <x:v>47</x:v>
      </x:c>
      <x:c r="L625" t="str">
        <x:f>IF(K625&lt;25,"18-24",IF(K625&lt;35,"25-34",IF(K625&lt;45,"35-44",IF(K625&lt;55,"45-54","55+"))))</x:f>
        <x:v>45-54</x:v>
      </x:c>
      <x:c r="M625" s="15" t="n">
        <x:v>45363.164747222225</x:v>
      </x:c>
      <x:c r="N625" t="n">
        <x:f>(YEAR(DATE(2025,12,31))-YEAR(M625))*12+MONTH(DATE(2025,12,31))-MONTH(M625)</x:f>
        <x:v>21</x:v>
      </x:c>
      <x:c r="O625" t="str">
        <x:v>ACTIVE</x:v>
      </x:c>
      <x:c r="P625" t="str">
        <x:v>INDEPENDENT_CONTRACTOR</x:v>
      </x:c>
      <x:c r="Q625" t="str">
        <x:v>CAR</x:v>
      </x:c>
      <x:c r="R625" t="str">
        <x:v>DINNER</x:v>
      </x:c>
      <x:c r="S625" t="n">
        <x:v>30</x:v>
      </x:c>
      <x:c r="T625" t="str">
        <x:v>CLEARED</x:v>
      </x:c>
      <x:c r="U625" t="str">
        <x:v>VALID</x:v>
      </x:c>
      <x:c r="V625" s="16" t="n">
        <x:v>0.9503</x:v>
      </x:c>
      <x:c r="W625" t="str">
        <x:v>Arabic</x:v>
      </x:c>
      <x:c r="X625"/>
      <x:c r="Y625" t="n">
        <x:v>1908</x:v>
      </x:c>
      <x:c r="Z625" s="17" t="n">
        <x:v>4.34</x:v>
      </x:c>
      <x:c r="AA625" s="16" t="n">
        <x:v>0.7048</x:v>
      </x:c>
      <x:c r="AB625" s="16" t="n">
        <x:v>0.8745</x:v>
      </x:c>
      <x:c r="AC625" s="16" t="n">
        <x:v>0.9596</x:v>
      </x:c>
      <x:c r="AD625" t="n">
        <x:v>0</x:v>
      </x:c>
      <x:c r="AE625" t="str">
        <x:f>IF(O625&lt;&gt;"ACTIVE","NOT_RATED",IF(AND(Z625&gt;=4.8,AB625&gt;=0.97,AC625&gt;=0.93,AD625=0),"ELITE",IF(AND(Z625&gt;=4.6,AB625&gt;=0.94,AC625&gt;=0.88),"HIGH_PERFORMER",IF(OR(Z625&lt;4.2,AB625&lt;0.85,AD625&gt;=2),"AT_RISK","STANDARD"))))</x:f>
        <x:v>STANDARD</x:v>
      </x:c>
      <x:c r="AF625" s="15" t="n">
        <x:v>46008</x:v>
      </x:c>
      <x:c r="AG625" t="str">
        <x:v>VERIFIED</x:v>
      </x:c>
      <x:c r="AH625" t="str">
        <x:v>COMPLETE</x:v>
      </x:c>
      <x:c r="AI625" t="str">
        <x:v>Emma Walker</x:v>
      </x:c>
      <x:c r="AJ625" t="str">
        <x:v>SIBLING</x:v>
      </x:c>
      <x:c r="AK625" t="str">
        <x:v>+1 (614) 555-0184</x:v>
      </x:c>
    </x:row>
    <x:row r="626" ht="18" customHeight="1">
      <x:c r="A626" t="str">
        <x:v>DHR-00625</x:v>
      </x:c>
      <x:c r="B626" t="str">
        <x:v>Sofia Lee</x:v>
      </x:c>
      <x:c r="C626" t="str">
        <x:v>https://api.dicebear.com/9.x/adventurer/png?seed=DHR-00625-Sofia%20Lee&amp;size=256&amp;radius=50&amp;backgroundColor=b6e3f4,c0aede,d1d4f9,ffd5dc,ffdfbf</x:v>
      </x:c>
      <x:c r="D626" t="str">
        <x:v>sofia.lee.625@example.com</x:v>
      </x:c>
      <x:c r="E626" t="str">
        <x:v>+1 (212) 555-0124</x:v>
      </x:c>
      <x:c r="F626" t="str">
        <x:v>New York, NY</x:v>
      </x:c>
      <x:c r="G626" t="str">
        <x:v>New York</x:v>
      </x:c>
      <x:c r="H626" t="str">
        <x:v>NY</x:v>
      </x:c>
      <x:c r="I626" s="18" t="str">
        <x:v>10001</x:v>
      </x:c>
      <x:c r="J626" s="15" t="n">
        <x:v>27361.66748005787</x:v>
      </x:c>
      <x:c r="K626" t="n">
        <x:f>INT((DATE(2025,12,31)-J626)/365.25)</x:f>
        <x:v>51</x:v>
      </x:c>
      <x:c r="L626" t="str">
        <x:f>IF(K626&lt;25,"18-24",IF(K626&lt;35,"25-34",IF(K626&lt;45,"35-44",IF(K626&lt;55,"45-54","55+"))))</x:f>
        <x:v>45-54</x:v>
      </x:c>
      <x:c r="M626" s="15" t="n">
        <x:v>45029.740924907404</x:v>
      </x:c>
      <x:c r="N626" t="n">
        <x:f>(YEAR(DATE(2025,12,31))-YEAR(M626))*12+MONTH(DATE(2025,12,31))-MONTH(M626)</x:f>
        <x:v>32</x:v>
      </x:c>
      <x:c r="O626" t="str">
        <x:v>ACTIVE</x:v>
      </x:c>
      <x:c r="P626" t="str">
        <x:v>INDEPENDENT_CONTRACTOR</x:v>
      </x:c>
      <x:c r="Q626" t="str">
        <x:v>SCOOTER</x:v>
      </x:c>
      <x:c r="R626" t="str">
        <x:v>DINNER</x:v>
      </x:c>
      <x:c r="S626" t="n">
        <x:v>39</x:v>
      </x:c>
      <x:c r="T626" t="str">
        <x:v>CLEARED</x:v>
      </x:c>
      <x:c r="U626" t="str">
        <x:v>VALID</x:v>
      </x:c>
      <x:c r="V626" s="16" t="n">
        <x:v>0.8107</x:v>
      </x:c>
      <x:c r="W626" t="str">
        <x:v>English</x:v>
      </x:c>
      <x:c r="X626" t="str">
        <x:v>Spanish</x:v>
      </x:c>
      <x:c r="Y626" t="n">
        <x:v>4700</x:v>
      </x:c>
      <x:c r="Z626" s="17" t="n">
        <x:v>4.4</x:v>
      </x:c>
      <x:c r="AA626" s="16" t="n">
        <x:v>0.6434</x:v>
      </x:c>
      <x:c r="AB626" s="16" t="n">
        <x:v>0.8833</x:v>
      </x:c>
      <x:c r="AC626" s="16" t="n">
        <x:v>0.8282</x:v>
      </x:c>
      <x:c r="AD626" t="n">
        <x:v>0</x:v>
      </x:c>
      <x:c r="AE626" t="str">
        <x:f>IF(O626&lt;&gt;"ACTIVE","NOT_RATED",IF(AND(Z626&gt;=4.8,AB626&gt;=0.97,AC626&gt;=0.93,AD626=0),"ELITE",IF(AND(Z626&gt;=4.6,AB626&gt;=0.94,AC626&gt;=0.88),"HIGH_PERFORMER",IF(OR(Z626&lt;4.2,AB626&lt;0.85,AD626&gt;=2),"AT_RISK","STANDARD"))))</x:f>
        <x:v>STANDARD</x:v>
      </x:c>
      <x:c r="AF626" s="15" t="n">
        <x:v>46020</x:v>
      </x:c>
      <x:c r="AG626" t="str">
        <x:v>VERIFIED</x:v>
      </x:c>
      <x:c r="AH626" t="str">
        <x:v>PENDING</x:v>
      </x:c>
      <x:c r="AI626" t="str">
        <x:v>Emma Williams</x:v>
      </x:c>
      <x:c r="AJ626" t="str">
        <x:v>SIBLING</x:v>
      </x:c>
      <x:c r="AK626" t="str">
        <x:v>+1 (212) 555-0191</x:v>
      </x:c>
    </x:row>
    <x:row r="627" ht="18" customHeight="1">
      <x:c r="A627" t="str">
        <x:v>DHR-00626</x:v>
      </x:c>
      <x:c r="B627" t="str">
        <x:v>Sofia Lewis</x:v>
      </x:c>
      <x:c r="C627" t="str">
        <x:v>https://api.dicebear.com/9.x/adventurer/png?seed=DHR-00626-Sofia%20Lewis&amp;size=256&amp;radius=50&amp;backgroundColor=b6e3f4,c0aede,d1d4f9,ffd5dc,ffdfbf</x:v>
      </x:c>
      <x:c r="D627" t="str">
        <x:v>sofia.lewis.626@example.com</x:v>
      </x:c>
      <x:c r="E627" t="str">
        <x:v>+1 (612) 555-0125</x:v>
      </x:c>
      <x:c r="F627" t="str">
        <x:v>Minneapolis, MN</x:v>
      </x:c>
      <x:c r="G627" t="str">
        <x:v>Minneapolis</x:v>
      </x:c>
      <x:c r="H627" t="str">
        <x:v>MN</x:v>
      </x:c>
      <x:c r="I627" s="18" t="str">
        <x:v>55401</x:v>
      </x:c>
      <x:c r="J627" s="15" t="n">
        <x:v>28130.356393703703</x:v>
      </x:c>
      <x:c r="K627" t="n">
        <x:f>INT((DATE(2025,12,31)-J627)/365.25)</x:f>
        <x:v>48</x:v>
      </x:c>
      <x:c r="L627" t="str">
        <x:f>IF(K627&lt;25,"18-24",IF(K627&lt;35,"25-34",IF(K627&lt;45,"35-44",IF(K627&lt;55,"45-54","55+"))))</x:f>
        <x:v>45-54</x:v>
      </x:c>
      <x:c r="M627" s="15" t="n">
        <x:v>45001.034685625</x:v>
      </x:c>
      <x:c r="N627" t="n">
        <x:f>(YEAR(DATE(2025,12,31))-YEAR(M627))*12+MONTH(DATE(2025,12,31))-MONTH(M627)</x:f>
        <x:v>33</x:v>
      </x:c>
      <x:c r="O627" t="str">
        <x:v>ACTIVE</x:v>
      </x:c>
      <x:c r="P627" t="str">
        <x:v>INDEPENDENT_CONTRACTOR</x:v>
      </x:c>
      <x:c r="Q627" t="str">
        <x:v>E_BIKE</x:v>
      </x:c>
      <x:c r="R627" t="str">
        <x:v>FLEXIBLE</x:v>
      </x:c>
      <x:c r="S627" t="n">
        <x:v>18</x:v>
      </x:c>
      <x:c r="T627" t="str">
        <x:v>CLEARED</x:v>
      </x:c>
      <x:c r="U627" t="str">
        <x:v>NOT_REQUIRED</x:v>
      </x:c>
      <x:c r="V627" s="16" t="n">
        <x:v>0.8251</x:v>
      </x:c>
      <x:c r="W627" t="str">
        <x:v>Mandarin</x:v>
      </x:c>
      <x:c r="X627"/>
      <x:c r="Y627" t="n">
        <x:v>1481</x:v>
      </x:c>
      <x:c r="Z627" s="17" t="n">
        <x:v>4.6</x:v>
      </x:c>
      <x:c r="AA627" s="16" t="n">
        <x:v>0.7531</x:v>
      </x:c>
      <x:c r="AB627" s="16" t="n">
        <x:v>0.9241</x:v>
      </x:c>
      <x:c r="AC627" s="16" t="n">
        <x:v>0.9824</x:v>
      </x:c>
      <x:c r="AD627" t="n">
        <x:v>0</x:v>
      </x:c>
      <x:c r="AE627" t="str">
        <x:f>IF(O627&lt;&gt;"ACTIVE","NOT_RATED",IF(AND(Z627&gt;=4.8,AB627&gt;=0.97,AC627&gt;=0.93,AD627=0),"ELITE",IF(AND(Z627&gt;=4.6,AB627&gt;=0.94,AC627&gt;=0.88),"HIGH_PERFORMER",IF(OR(Z627&lt;4.2,AB627&lt;0.85,AD627&gt;=2),"AT_RISK","STANDARD"))))</x:f>
        <x:v>STANDARD</x:v>
      </x:c>
      <x:c r="AF627" s="15" t="n">
        <x:v>46015</x:v>
      </x:c>
      <x:c r="AG627" t="str">
        <x:v>VERIFIED</x:v>
      </x:c>
      <x:c r="AH627" t="str">
        <x:v>COMPLETE</x:v>
      </x:c>
      <x:c r="AI627" t="str">
        <x:v>Alex Anderson</x:v>
      </x:c>
      <x:c r="AJ627" t="str">
        <x:v>SPOUSE_PARTNER</x:v>
      </x:c>
      <x:c r="AK627" t="str">
        <x:v>+1 (612) 555-0198</x:v>
      </x:c>
    </x:row>
    <x:row r="628" ht="18" customHeight="1">
      <x:c r="A628" t="str">
        <x:v>DHR-00627</x:v>
      </x:c>
      <x:c r="B628" t="str">
        <x:v>Sofia Martin</x:v>
      </x:c>
      <x:c r="C628" t="str">
        <x:v>https://api.dicebear.com/9.x/adventurer/png?seed=DHR-00627-Sofia%20Martin&amp;size=256&amp;radius=50&amp;backgroundColor=b6e3f4,c0aede,d1d4f9,ffd5dc,ffdfbf</x:v>
      </x:c>
      <x:c r="D628" t="str">
        <x:v>sofia.martin.627@example.com</x:v>
      </x:c>
      <x:c r="E628" t="str">
        <x:v>+1 (212) 555-0126</x:v>
      </x:c>
      <x:c r="F628" t="str">
        <x:v>New York, NY</x:v>
      </x:c>
      <x:c r="G628" t="str">
        <x:v>New York</x:v>
      </x:c>
      <x:c r="H628" t="str">
        <x:v>NY</x:v>
      </x:c>
      <x:c r="I628" s="18" t="str">
        <x:v>10001</x:v>
      </x:c>
      <x:c r="J628" s="15" t="n">
        <x:v>30877.55304474537</x:v>
      </x:c>
      <x:c r="K628" t="n">
        <x:f>INT((DATE(2025,12,31)-J628)/365.25)</x:f>
        <x:v>41</x:v>
      </x:c>
      <x:c r="L628" t="str">
        <x:f>IF(K628&lt;25,"18-24",IF(K628&lt;35,"25-34",IF(K628&lt;45,"35-44",IF(K628&lt;55,"45-54","55+"))))</x:f>
        <x:v>35-44</x:v>
      </x:c>
      <x:c r="M628" s="15" t="n">
        <x:v>45857.88096578704</x:v>
      </x:c>
      <x:c r="N628" t="n">
        <x:f>(YEAR(DATE(2025,12,31))-YEAR(M628))*12+MONTH(DATE(2025,12,31))-MONTH(M628)</x:f>
        <x:v>5</x:v>
      </x:c>
      <x:c r="O628" t="str">
        <x:v>ACTIVE</x:v>
      </x:c>
      <x:c r="P628" t="str">
        <x:v>INDEPENDENT_CONTRACTOR</x:v>
      </x:c>
      <x:c r="Q628" t="str">
        <x:v>BICYCLE</x:v>
      </x:c>
      <x:c r="R628" t="str">
        <x:v>DINNER</x:v>
      </x:c>
      <x:c r="S628" t="n">
        <x:v>29</x:v>
      </x:c>
      <x:c r="T628" t="str">
        <x:v>CLEARED</x:v>
      </x:c>
      <x:c r="U628" t="str">
        <x:v>NOT_REQUIRED</x:v>
      </x:c>
      <x:c r="V628" s="16" t="n">
        <x:v>0.885</x:v>
      </x:c>
      <x:c r="W628" t="str">
        <x:v>French</x:v>
      </x:c>
      <x:c r="X628" t="str">
        <x:v>English</x:v>
      </x:c>
      <x:c r="Y628" t="n">
        <x:v>404</x:v>
      </x:c>
      <x:c r="Z628" s="17" t="n">
        <x:v>4.31</x:v>
      </x:c>
      <x:c r="AA628" s="16" t="n">
        <x:v>0.7196</x:v>
      </x:c>
      <x:c r="AB628" s="16" t="n">
        <x:v>0.9688</x:v>
      </x:c>
      <x:c r="AC628" s="16" t="n">
        <x:v>0.9477</x:v>
      </x:c>
      <x:c r="AD628" t="n">
        <x:v>0</x:v>
      </x:c>
      <x:c r="AE628" t="str">
        <x:f>IF(O628&lt;&gt;"ACTIVE","NOT_RATED",IF(AND(Z628&gt;=4.8,AB628&gt;=0.97,AC628&gt;=0.93,AD628=0),"ELITE",IF(AND(Z628&gt;=4.6,AB628&gt;=0.94,AC628&gt;=0.88),"HIGH_PERFORMER",IF(OR(Z628&lt;4.2,AB628&lt;0.85,AD628&gt;=2),"AT_RISK","STANDARD"))))</x:f>
        <x:v>STANDARD</x:v>
      </x:c>
      <x:c r="AF628" s="15" t="n">
        <x:v>46014</x:v>
      </x:c>
      <x:c r="AG628" t="str">
        <x:v>VERIFIED</x:v>
      </x:c>
      <x:c r="AH628" t="str">
        <x:v>COMPLETE</x:v>
      </x:c>
      <x:c r="AI628" t="str">
        <x:v>Liam Jones</x:v>
      </x:c>
      <x:c r="AJ628" t="str">
        <x:v>SIBLING</x:v>
      </x:c>
      <x:c r="AK628" t="str">
        <x:v>+1 (212) 555-0105</x:v>
      </x:c>
    </x:row>
    <x:row r="629" ht="18" customHeight="1">
      <x:c r="A629" t="str">
        <x:v>DHR-00628</x:v>
      </x:c>
      <x:c r="B629" t="str">
        <x:v>Sofia Martinez</x:v>
      </x:c>
      <x:c r="C629" t="str">
        <x:v>https://api.dicebear.com/9.x/adventurer/png?seed=DHR-00628-Sofia%20Martinez&amp;size=256&amp;radius=50&amp;backgroundColor=b6e3f4,c0aede,d1d4f9,ffd5dc,ffdfbf</x:v>
      </x:c>
      <x:c r="D629" t="str">
        <x:v>sofia.martinez.628@example.com</x:v>
      </x:c>
      <x:c r="E629" t="str">
        <x:v>+1 (602) 555-0127</x:v>
      </x:c>
      <x:c r="F629" t="str">
        <x:v>Phoenix, AZ</x:v>
      </x:c>
      <x:c r="G629" t="str">
        <x:v>Phoenix</x:v>
      </x:c>
      <x:c r="H629" t="str">
        <x:v>AZ</x:v>
      </x:c>
      <x:c r="I629" s="18" t="str">
        <x:v>85004</x:v>
      </x:c>
      <x:c r="J629" s="15" t="n">
        <x:v>32196.705120497685</x:v>
      </x:c>
      <x:c r="K629" t="n">
        <x:f>INT((DATE(2025,12,31)-J629)/365.25)</x:f>
        <x:v>37</x:v>
      </x:c>
      <x:c r="L629" t="str">
        <x:f>IF(K629&lt;25,"18-24",IF(K629&lt;35,"25-34",IF(K629&lt;45,"35-44",IF(K629&lt;55,"45-54","55+"))))</x:f>
        <x:v>35-44</x:v>
      </x:c>
      <x:c r="M629" s="15" t="n">
        <x:v>44667.745407152775</x:v>
      </x:c>
      <x:c r="N629" t="n">
        <x:f>(YEAR(DATE(2025,12,31))-YEAR(M629))*12+MONTH(DATE(2025,12,31))-MONTH(M629)</x:f>
        <x:v>44</x:v>
      </x:c>
      <x:c r="O629" t="str">
        <x:v>ACTIVE</x:v>
      </x:c>
      <x:c r="P629" t="str">
        <x:v>INDEPENDENT_CONTRACTOR</x:v>
      </x:c>
      <x:c r="Q629" t="str">
        <x:v>E_BIKE</x:v>
      </x:c>
      <x:c r="R629" t="str">
        <x:v>FLEXIBLE</x:v>
      </x:c>
      <x:c r="S629" t="n">
        <x:v>10</x:v>
      </x:c>
      <x:c r="T629" t="str">
        <x:v>CLEARED</x:v>
      </x:c>
      <x:c r="U629" t="str">
        <x:v>NOT_REQUIRED</x:v>
      </x:c>
      <x:c r="V629" s="16" t="n">
        <x:v>0.8455</x:v>
      </x:c>
      <x:c r="W629" t="str">
        <x:v>English</x:v>
      </x:c>
      <x:c r="X629" t="str">
        <x:v>Arabic</x:v>
      </x:c>
      <x:c r="Y629" t="n">
        <x:v>1099</x:v>
      </x:c>
      <x:c r="Z629" s="17" t="n">
        <x:v>4.34</x:v>
      </x:c>
      <x:c r="AA629" s="16" t="n">
        <x:v>0.7414</x:v>
      </x:c>
      <x:c r="AB629" s="16" t="n">
        <x:v>0.9503</x:v>
      </x:c>
      <x:c r="AC629" s="16" t="n">
        <x:v>0.9039</x:v>
      </x:c>
      <x:c r="AD629" t="n">
        <x:v>1</x:v>
      </x:c>
      <x:c r="AE629" t="str">
        <x:f>IF(O629&lt;&gt;"ACTIVE","NOT_RATED",IF(AND(Z629&gt;=4.8,AB629&gt;=0.97,AC629&gt;=0.93,AD629=0),"ELITE",IF(AND(Z629&gt;=4.6,AB629&gt;=0.94,AC629&gt;=0.88),"HIGH_PERFORMER",IF(OR(Z629&lt;4.2,AB629&lt;0.85,AD629&gt;=2),"AT_RISK","STANDARD"))))</x:f>
        <x:v>STANDARD</x:v>
      </x:c>
      <x:c r="AF629" s="15" t="n">
        <x:v>46012</x:v>
      </x:c>
      <x:c r="AG629" t="str">
        <x:v>PENDING</x:v>
      </x:c>
      <x:c r="AH629" t="str">
        <x:v>COMPLETE</x:v>
      </x:c>
      <x:c r="AI629" t="str">
        <x:v>Taylor Garcia</x:v>
      </x:c>
      <x:c r="AJ629" t="str">
        <x:v>PARENT</x:v>
      </x:c>
      <x:c r="AK629" t="str">
        <x:v>+1 (602) 555-0112</x:v>
      </x:c>
    </x:row>
    <x:row r="630" ht="18" customHeight="1">
      <x:c r="A630" t="str">
        <x:v>DHR-00629</x:v>
      </x:c>
      <x:c r="B630" t="str">
        <x:v>Sofia Miller</x:v>
      </x:c>
      <x:c r="C630" t="str">
        <x:v>https://api.dicebear.com/9.x/adventurer/png?seed=DHR-00629-Sofia%20Miller&amp;size=256&amp;radius=50&amp;backgroundColor=b6e3f4,c0aede,d1d4f9,ffd5dc,ffdfbf</x:v>
      </x:c>
      <x:c r="D630" t="str">
        <x:v>sofia.miller.629@example.com</x:v>
      </x:c>
      <x:c r="E630" t="str">
        <x:v>+1 (612) 555-0128</x:v>
      </x:c>
      <x:c r="F630" t="str">
        <x:v>Minneapolis, MN</x:v>
      </x:c>
      <x:c r="G630" t="str">
        <x:v>Minneapolis</x:v>
      </x:c>
      <x:c r="H630" t="str">
        <x:v>MN</x:v>
      </x:c>
      <x:c r="I630" s="18" t="str">
        <x:v>55401</x:v>
      </x:c>
      <x:c r="J630" s="15" t="n">
        <x:v>33960.57459001157</x:v>
      </x:c>
      <x:c r="K630" t="n">
        <x:f>INT((DATE(2025,12,31)-J630)/365.25)</x:f>
        <x:v>33</x:v>
      </x:c>
      <x:c r="L630" t="str">
        <x:f>IF(K630&lt;25,"18-24",IF(K630&lt;35,"25-34",IF(K630&lt;45,"35-44",IF(K630&lt;55,"45-54","55+"))))</x:f>
        <x:v>25-34</x:v>
      </x:c>
      <x:c r="M630" s="15" t="n">
        <x:v>43802.432138449076</x:v>
      </x:c>
      <x:c r="N630" t="n">
        <x:f>(YEAR(DATE(2025,12,31))-YEAR(M630))*12+MONTH(DATE(2025,12,31))-MONTH(M630)</x:f>
        <x:v>72</x:v>
      </x:c>
      <x:c r="O630" t="str">
        <x:v>ACTIVE</x:v>
      </x:c>
      <x:c r="P630" t="str">
        <x:v>INDEPENDENT_CONTRACTOR</x:v>
      </x:c>
      <x:c r="Q630" t="str">
        <x:v>BICYCLE</x:v>
      </x:c>
      <x:c r="R630" t="str">
        <x:v>DINNER</x:v>
      </x:c>
      <x:c r="S630" t="n">
        <x:v>24</x:v>
      </x:c>
      <x:c r="T630" t="str">
        <x:v>PENDING</x:v>
      </x:c>
      <x:c r="U630" t="str">
        <x:v>NOT_REQUIRED</x:v>
      </x:c>
      <x:c r="V630" s="16" t="n">
        <x:v>0.784</x:v>
      </x:c>
      <x:c r="W630" t="str">
        <x:v>Arabic</x:v>
      </x:c>
      <x:c r="X630"/>
      <x:c r="Y630" t="n">
        <x:v>5635</x:v>
      </x:c>
      <x:c r="Z630" s="17" t="n">
        <x:v>4.28</x:v>
      </x:c>
      <x:c r="AA630" s="16" t="n">
        <x:v>0.99</x:v>
      </x:c>
      <x:c r="AB630" s="16" t="n">
        <x:v>0.9935</x:v>
      </x:c>
      <x:c r="AC630" s="16" t="n">
        <x:v>0.9161</x:v>
      </x:c>
      <x:c r="AD630" t="n">
        <x:v>0</x:v>
      </x:c>
      <x:c r="AE630" t="str">
        <x:f>IF(O630&lt;&gt;"ACTIVE","NOT_RATED",IF(AND(Z630&gt;=4.8,AB630&gt;=0.97,AC630&gt;=0.93,AD630=0),"ELITE",IF(AND(Z630&gt;=4.6,AB630&gt;=0.94,AC630&gt;=0.88),"HIGH_PERFORMER",IF(OR(Z630&lt;4.2,AB630&lt;0.85,AD630&gt;=2),"AT_RISK","STANDARD"))))</x:f>
        <x:v>STANDARD</x:v>
      </x:c>
      <x:c r="AF630" s="15" t="n">
        <x:v>46017</x:v>
      </x:c>
      <x:c r="AG630" t="str">
        <x:v>VERIFIED</x:v>
      </x:c>
      <x:c r="AH630" t="str">
        <x:v>PENDING</x:v>
      </x:c>
      <x:c r="AI630" t="str">
        <x:v>Jordan Jackson</x:v>
      </x:c>
      <x:c r="AJ630" t="str">
        <x:v>SPOUSE_PARTNER</x:v>
      </x:c>
      <x:c r="AK630" t="str">
        <x:v>+1 (612) 555-0119</x:v>
      </x:c>
    </x:row>
    <x:row r="631" ht="18" customHeight="1">
      <x:c r="A631" t="str">
        <x:v>DHR-00630</x:v>
      </x:c>
      <x:c r="B631" t="str">
        <x:v>Sofia Moore</x:v>
      </x:c>
      <x:c r="C631" t="str">
        <x:v>https://api.dicebear.com/9.x/adventurer/png?seed=DHR-00630-Sofia%20Moore&amp;size=256&amp;radius=50&amp;backgroundColor=b6e3f4,c0aede,d1d4f9,ffd5dc,ffdfbf</x:v>
      </x:c>
      <x:c r="D631" t="str">
        <x:v>sofia.moore.630@example.com</x:v>
      </x:c>
      <x:c r="E631" t="str">
        <x:v>+1 (702) 555-0129</x:v>
      </x:c>
      <x:c r="F631" t="str">
        <x:v>Las Vegas, NV</x:v>
      </x:c>
      <x:c r="G631" t="str">
        <x:v>Las Vegas</x:v>
      </x:c>
      <x:c r="H631" t="str">
        <x:v>NV</x:v>
      </x:c>
      <x:c r="I631" s="18" t="str">
        <x:v>89101</x:v>
      </x:c>
      <x:c r="J631" s="15" t="n">
        <x:v>36399.32834461806</x:v>
      </x:c>
      <x:c r="K631" t="n">
        <x:f>INT((DATE(2025,12,31)-J631)/365.25)</x:f>
        <x:v>26</x:v>
      </x:c>
      <x:c r="L631" t="str">
        <x:f>IF(K631&lt;25,"18-24",IF(K631&lt;35,"25-34",IF(K631&lt;45,"35-44",IF(K631&lt;55,"45-54","55+"))))</x:f>
        <x:v>25-34</x:v>
      </x:c>
      <x:c r="M631" s="15" t="n">
        <x:v>45322.51899009259</x:v>
      </x:c>
      <x:c r="N631" t="n">
        <x:f>(YEAR(DATE(2025,12,31))-YEAR(M631))*12+MONTH(DATE(2025,12,31))-MONTH(M631)</x:f>
        <x:v>23</x:v>
      </x:c>
      <x:c r="O631" t="str">
        <x:v>ACTIVE</x:v>
      </x:c>
      <x:c r="P631" t="str">
        <x:v>INDEPENDENT_CONTRACTOR</x:v>
      </x:c>
      <x:c r="Q631" t="str">
        <x:v>CAR</x:v>
      </x:c>
      <x:c r="R631" t="str">
        <x:v>FLEXIBLE</x:v>
      </x:c>
      <x:c r="S631" t="n">
        <x:v>29</x:v>
      </x:c>
      <x:c r="T631" t="str">
        <x:v>CLEARED</x:v>
      </x:c>
      <x:c r="U631" t="str">
        <x:v>VALID</x:v>
      </x:c>
      <x:c r="V631" s="16" t="n">
        <x:v>0.8785</x:v>
      </x:c>
      <x:c r="W631" t="str">
        <x:v>Spanish</x:v>
      </x:c>
      <x:c r="X631"/>
      <x:c r="Y631" t="n">
        <x:v>1395</x:v>
      </x:c>
      <x:c r="Z631" s="17" t="n">
        <x:v>4.6</x:v>
      </x:c>
      <x:c r="AA631" s="16" t="n">
        <x:v>0.6265</x:v>
      </x:c>
      <x:c r="AB631" s="16" t="n">
        <x:v>0.9894</x:v>
      </x:c>
      <x:c r="AC631" s="16" t="n">
        <x:v>0.8107</x:v>
      </x:c>
      <x:c r="AD631" t="n">
        <x:v>0</x:v>
      </x:c>
      <x:c r="AE631" t="str">
        <x:f>IF(O631&lt;&gt;"ACTIVE","NOT_RATED",IF(AND(Z631&gt;=4.8,AB631&gt;=0.97,AC631&gt;=0.93,AD631=0),"ELITE",IF(AND(Z631&gt;=4.6,AB631&gt;=0.94,AC631&gt;=0.88),"HIGH_PERFORMER",IF(OR(Z631&lt;4.2,AB631&lt;0.85,AD631&gt;=2),"AT_RISK","STANDARD"))))</x:f>
        <x:v>STANDARD</x:v>
      </x:c>
      <x:c r="AF631" s="15" t="n">
        <x:v>46016</x:v>
      </x:c>
      <x:c r="AG631" t="str">
        <x:v>VERIFIED</x:v>
      </x:c>
      <x:c r="AH631" t="str">
        <x:v>COMPLETE</x:v>
      </x:c>
      <x:c r="AI631" t="str">
        <x:v>Hayden Wilson</x:v>
      </x:c>
      <x:c r="AJ631" t="str">
        <x:v>SIBLING</x:v>
      </x:c>
      <x:c r="AK631" t="str">
        <x:v>+1 (702) 555-0126</x:v>
      </x:c>
    </x:row>
    <x:row r="632" ht="18" customHeight="1">
      <x:c r="A632" t="str">
        <x:v>DHR-00631</x:v>
      </x:c>
      <x:c r="B632" t="str">
        <x:v>Sofia Perez</x:v>
      </x:c>
      <x:c r="C632" t="str">
        <x:v>https://api.dicebear.com/9.x/adventurer/png?seed=DHR-00631-Sofia%20Perez&amp;size=256&amp;radius=50&amp;backgroundColor=b6e3f4,c0aede,d1d4f9,ffd5dc,ffdfbf</x:v>
      </x:c>
      <x:c r="D632" t="str">
        <x:v>sofia.perez.631@example.com</x:v>
      </x:c>
      <x:c r="E632" t="str">
        <x:v>+1 (212) 555-0130</x:v>
      </x:c>
      <x:c r="F632" t="str">
        <x:v>New York, NY</x:v>
      </x:c>
      <x:c r="G632" t="str">
        <x:v>New York</x:v>
      </x:c>
      <x:c r="H632" t="str">
        <x:v>NY</x:v>
      </x:c>
      <x:c r="I632" s="18" t="str">
        <x:v>10001</x:v>
      </x:c>
      <x:c r="J632" s="15" t="n">
        <x:v>34524.80261215278</x:v>
      </x:c>
      <x:c r="K632" t="n">
        <x:f>INT((DATE(2025,12,31)-J632)/365.25)</x:f>
        <x:v>31</x:v>
      </x:c>
      <x:c r="L632" t="str">
        <x:f>IF(K632&lt;25,"18-24",IF(K632&lt;35,"25-34",IF(K632&lt;45,"35-44",IF(K632&lt;55,"45-54","55+"))))</x:f>
        <x:v>25-34</x:v>
      </x:c>
      <x:c r="M632" s="15" t="n">
        <x:v>45733.887708518516</x:v>
      </x:c>
      <x:c r="N632" t="n">
        <x:f>(YEAR(DATE(2025,12,31))-YEAR(M632))*12+MONTH(DATE(2025,12,31))-MONTH(M632)</x:f>
        <x:v>9</x:v>
      </x:c>
      <x:c r="O632" t="str">
        <x:v>ACTIVE</x:v>
      </x:c>
      <x:c r="P632" t="str">
        <x:v>INDEPENDENT_CONTRACTOR</x:v>
      </x:c>
      <x:c r="Q632" t="str">
        <x:v>CAR</x:v>
      </x:c>
      <x:c r="R632" t="str">
        <x:v>LUNCH</x:v>
      </x:c>
      <x:c r="S632" t="n">
        <x:v>15</x:v>
      </x:c>
      <x:c r="T632" t="str">
        <x:v>CLEARED</x:v>
      </x:c>
      <x:c r="U632" t="str">
        <x:v>VALID</x:v>
      </x:c>
      <x:c r="V632" s="16" t="n">
        <x:v>0.934</x:v>
      </x:c>
      <x:c r="W632" t="str">
        <x:v>Spanish</x:v>
      </x:c>
      <x:c r="X632" t="str">
        <x:v>English</x:v>
      </x:c>
      <x:c r="Y632" t="n">
        <x:v>261</x:v>
      </x:c>
      <x:c r="Z632" s="17" t="n">
        <x:v>4.3</x:v>
      </x:c>
      <x:c r="AA632" s="16" t="n">
        <x:v>0.8359</x:v>
      </x:c>
      <x:c r="AB632" s="16" t="n">
        <x:v>0.956</x:v>
      </x:c>
      <x:c r="AC632" s="16" t="n">
        <x:v>0.8402</x:v>
      </x:c>
      <x:c r="AD632" t="n">
        <x:v>0</x:v>
      </x:c>
      <x:c r="AE632" t="str">
        <x:f>IF(O632&lt;&gt;"ACTIVE","NOT_RATED",IF(AND(Z632&gt;=4.8,AB632&gt;=0.97,AC632&gt;=0.93,AD632=0),"ELITE",IF(AND(Z632&gt;=4.6,AB632&gt;=0.94,AC632&gt;=0.88),"HIGH_PERFORMER",IF(OR(Z632&lt;4.2,AB632&lt;0.85,AD632&gt;=2),"AT_RISK","STANDARD"))))</x:f>
        <x:v>STANDARD</x:v>
      </x:c>
      <x:c r="AF632" s="15" t="n">
        <x:v>46016</x:v>
      </x:c>
      <x:c r="AG632" t="str">
        <x:v>VERIFIED</x:v>
      </x:c>
      <x:c r="AH632" t="str">
        <x:v>COMPLETE</x:v>
      </x:c>
      <x:c r="AI632" t="str">
        <x:v>Sam Wilson</x:v>
      </x:c>
      <x:c r="AJ632" t="str">
        <x:v>PARENT</x:v>
      </x:c>
      <x:c r="AK632" t="str">
        <x:v>+1 (212) 555-0133</x:v>
      </x:c>
    </x:row>
    <x:row r="633" ht="18" customHeight="1">
      <x:c r="A633" t="str">
        <x:v>DHR-00632</x:v>
      </x:c>
      <x:c r="B633" t="str">
        <x:v>Sofia Rodriguez</x:v>
      </x:c>
      <x:c r="C633" t="str">
        <x:v>https://api.dicebear.com/9.x/adventurer/png?seed=DHR-00632-Sofia%20Rodriguez&amp;size=256&amp;radius=50&amp;backgroundColor=b6e3f4,c0aede,d1d4f9,ffd5dc,ffdfbf</x:v>
      </x:c>
      <x:c r="D633" t="str">
        <x:v>sofia.rodriguez.632@example.com</x:v>
      </x:c>
      <x:c r="E633" t="str">
        <x:v>+1 (210) 555-0131</x:v>
      </x:c>
      <x:c r="F633" t="str">
        <x:v>San Antonio, TX</x:v>
      </x:c>
      <x:c r="G633" t="str">
        <x:v>San Antonio</x:v>
      </x:c>
      <x:c r="H633" t="str">
        <x:v>TX</x:v>
      </x:c>
      <x:c r="I633" s="18" t="str">
        <x:v>78205</x:v>
      </x:c>
      <x:c r="J633" s="15" t="n">
        <x:v>29216.359173680554</x:v>
      </x:c>
      <x:c r="K633" t="n">
        <x:f>INT((DATE(2025,12,31)-J633)/365.25)</x:f>
        <x:v>46</x:v>
      </x:c>
      <x:c r="L633" t="str">
        <x:f>IF(K633&lt;25,"18-24",IF(K633&lt;35,"25-34",IF(K633&lt;45,"35-44",IF(K633&lt;55,"45-54","55+"))))</x:f>
        <x:v>45-54</x:v>
      </x:c>
      <x:c r="M633" s="15" t="n">
        <x:v>43976.27117298611</x:v>
      </x:c>
      <x:c r="N633" t="n">
        <x:f>(YEAR(DATE(2025,12,31))-YEAR(M633))*12+MONTH(DATE(2025,12,31))-MONTH(M633)</x:f>
        <x:v>67</x:v>
      </x:c>
      <x:c r="O633" t="str">
        <x:v>PAUSED</x:v>
      </x:c>
      <x:c r="P633" t="str">
        <x:v>INDEPENDENT_CONTRACTOR</x:v>
      </x:c>
      <x:c r="Q633" t="str">
        <x:v>CAR</x:v>
      </x:c>
      <x:c r="R633" t="str">
        <x:v>DINNER</x:v>
      </x:c>
      <x:c r="S633" t="n">
        <x:v>27</x:v>
      </x:c>
      <x:c r="T633" t="str">
        <x:v>CLEARED</x:v>
      </x:c>
      <x:c r="U633" t="str">
        <x:v>VALID</x:v>
      </x:c>
      <x:c r="V633" s="16" t="n">
        <x:v>0.9331</x:v>
      </x:c>
      <x:c r="W633" t="str">
        <x:v>English</x:v>
      </x:c>
      <x:c r="X633"/>
      <x:c r="Y633" t="n">
        <x:v>6082</x:v>
      </x:c>
      <x:c r="Z633" s="17" t="n">
        <x:v>4.95</x:v>
      </x:c>
      <x:c r="AA633" s="16" t="n">
        <x:v>0.6548</x:v>
      </x:c>
      <x:c r="AB633" s="16" t="n">
        <x:v>0.998</x:v>
      </x:c>
      <x:c r="AC633" s="16" t="n">
        <x:v>0.9044</x:v>
      </x:c>
      <x:c r="AD633" t="n">
        <x:v>0</x:v>
      </x:c>
      <x:c r="AE633" t="str">
        <x:f>IF(O633&lt;&gt;"ACTIVE","NOT_RATED",IF(AND(Z633&gt;=4.8,AB633&gt;=0.97,AC633&gt;=0.93,AD633=0),"ELITE",IF(AND(Z633&gt;=4.6,AB633&gt;=0.94,AC633&gt;=0.88),"HIGH_PERFORMER",IF(OR(Z633&lt;4.2,AB633&lt;0.85,AD633&gt;=2),"AT_RISK","STANDARD"))))</x:f>
        <x:v>NOT_RATED</x:v>
      </x:c>
      <x:c r="AF633" s="15" t="n">
        <x:v>45923</x:v>
      </x:c>
      <x:c r="AG633" t="str">
        <x:v>VERIFIED</x:v>
      </x:c>
      <x:c r="AH633" t="str">
        <x:v>COMPLETE</x:v>
      </x:c>
      <x:c r="AI633" t="str">
        <x:v>Skyler Anderson</x:v>
      </x:c>
      <x:c r="AJ633" t="str">
        <x:v>FRIEND</x:v>
      </x:c>
      <x:c r="AK633" t="str">
        <x:v>+1 (210) 555-0140</x:v>
      </x:c>
    </x:row>
    <x:row r="634" ht="18" customHeight="1">
      <x:c r="A634" t="str">
        <x:v>DHR-00633</x:v>
      </x:c>
      <x:c r="B634" t="str">
        <x:v>Sofia Taylor</x:v>
      </x:c>
      <x:c r="C634" t="str">
        <x:v>https://api.dicebear.com/9.x/adventurer/png?seed=DHR-00633-Sofia%20Taylor&amp;size=256&amp;radius=50&amp;backgroundColor=b6e3f4,c0aede,d1d4f9,ffd5dc,ffdfbf</x:v>
      </x:c>
      <x:c r="D634" t="str">
        <x:v>sofia.taylor.633@example.com</x:v>
      </x:c>
      <x:c r="E634" t="str">
        <x:v>+1 (213) 555-0132</x:v>
      </x:c>
      <x:c r="F634" t="str">
        <x:v>Los Angeles, CA</x:v>
      </x:c>
      <x:c r="G634" t="str">
        <x:v>Los Angeles</x:v>
      </x:c>
      <x:c r="H634" t="str">
        <x:v>CA</x:v>
      </x:c>
      <x:c r="I634" s="18" t="str">
        <x:v>90012</x:v>
      </x:c>
      <x:c r="J634" s="15" t="n">
        <x:v>32576.415242314815</x:v>
      </x:c>
      <x:c r="K634" t="n">
        <x:f>INT((DATE(2025,12,31)-J634)/365.25)</x:f>
        <x:v>36</x:v>
      </x:c>
      <x:c r="L634" t="str">
        <x:f>IF(K634&lt;25,"18-24",IF(K634&lt;35,"25-34",IF(K634&lt;45,"35-44",IF(K634&lt;55,"45-54","55+"))))</x:f>
        <x:v>35-44</x:v>
      </x:c>
      <x:c r="M634" s="15" t="n">
        <x:v>45257.100199953704</x:v>
      </x:c>
      <x:c r="N634" t="n">
        <x:f>(YEAR(DATE(2025,12,31))-YEAR(M634))*12+MONTH(DATE(2025,12,31))-MONTH(M634)</x:f>
        <x:v>25</x:v>
      </x:c>
      <x:c r="O634" t="str">
        <x:v>ACTIVE</x:v>
      </x:c>
      <x:c r="P634" t="str">
        <x:v>INDEPENDENT_CONTRACTOR</x:v>
      </x:c>
      <x:c r="Q634" t="str">
        <x:v>CAR</x:v>
      </x:c>
      <x:c r="R634" t="str">
        <x:v>LUNCH</x:v>
      </x:c>
      <x:c r="S634" t="n">
        <x:v>19</x:v>
      </x:c>
      <x:c r="T634" t="str">
        <x:v>CLEARED</x:v>
      </x:c>
      <x:c r="U634" t="str">
        <x:v>VALID</x:v>
      </x:c>
      <x:c r="V634" s="16" t="n">
        <x:v>0.9172</x:v>
      </x:c>
      <x:c r="W634" t="str">
        <x:v>English</x:v>
      </x:c>
      <x:c r="X634"/>
      <x:c r="Y634" t="n">
        <x:v>1627</x:v>
      </x:c>
      <x:c r="Z634" s="17" t="n">
        <x:v>4.42</x:v>
      </x:c>
      <x:c r="AA634" s="16" t="n">
        <x:v>0.8463</x:v>
      </x:c>
      <x:c r="AB634" s="16" t="n">
        <x:v>0.9885</x:v>
      </x:c>
      <x:c r="AC634" s="16" t="n">
        <x:v>0.915</x:v>
      </x:c>
      <x:c r="AD634" t="n">
        <x:v>0</x:v>
      </x:c>
      <x:c r="AE634" t="str">
        <x:f>IF(O634&lt;&gt;"ACTIVE","NOT_RATED",IF(AND(Z634&gt;=4.8,AB634&gt;=0.97,AC634&gt;=0.93,AD634=0),"ELITE",IF(AND(Z634&gt;=4.6,AB634&gt;=0.94,AC634&gt;=0.88),"HIGH_PERFORMER",IF(OR(Z634&lt;4.2,AB634&lt;0.85,AD634&gt;=2),"AT_RISK","STANDARD"))))</x:f>
        <x:v>STANDARD</x:v>
      </x:c>
      <x:c r="AF634" s="15" t="n">
        <x:v>46022</x:v>
      </x:c>
      <x:c r="AG634" t="str">
        <x:v>VERIFIED</x:v>
      </x:c>
      <x:c r="AH634" t="str">
        <x:v>COMPLETE</x:v>
      </x:c>
      <x:c r="AI634" t="str">
        <x:v>Quinn Young</x:v>
      </x:c>
      <x:c r="AJ634" t="str">
        <x:v>OTHER</x:v>
      </x:c>
      <x:c r="AK634" t="str">
        <x:v>+1 (213) 555-0147</x:v>
      </x:c>
    </x:row>
    <x:row r="635" ht="18" customHeight="1">
      <x:c r="A635" t="str">
        <x:v>DHR-00634</x:v>
      </x:c>
      <x:c r="B635" t="str">
        <x:v>Sofia Thomas</x:v>
      </x:c>
      <x:c r="C635" t="str">
        <x:v>https://api.dicebear.com/9.x/adventurer/png?seed=DHR-00634-Sofia%20Thomas&amp;size=256&amp;radius=50&amp;backgroundColor=b6e3f4,c0aede,d1d4f9,ffd5dc,ffdfbf</x:v>
      </x:c>
      <x:c r="D635" t="str">
        <x:v>sofia.thomas.634@example.com</x:v>
      </x:c>
      <x:c r="E635" t="str">
        <x:v>+1 (617) 555-0133</x:v>
      </x:c>
      <x:c r="F635" t="str">
        <x:v>Boston, MA</x:v>
      </x:c>
      <x:c r="G635" t="str">
        <x:v>Boston</x:v>
      </x:c>
      <x:c r="H635" t="str">
        <x:v>MA</x:v>
      </x:c>
      <x:c r="I635" s="18" t="str">
        <x:v>02108</x:v>
      </x:c>
      <x:c r="J635" s="15" t="n">
        <x:v>30276.553044675926</x:v>
      </x:c>
      <x:c r="K635" t="n">
        <x:f>INT((DATE(2025,12,31)-J635)/365.25)</x:f>
        <x:v>43</x:v>
      </x:c>
      <x:c r="L635" t="str">
        <x:f>IF(K635&lt;25,"18-24",IF(K635&lt;35,"25-34",IF(K635&lt;45,"35-44",IF(K635&lt;55,"45-54","55+"))))</x:f>
        <x:v>35-44</x:v>
      </x:c>
      <x:c r="M635" s="15" t="n">
        <x:v>45216.71434990741</x:v>
      </x:c>
      <x:c r="N635" t="n">
        <x:f>(YEAR(DATE(2025,12,31))-YEAR(M635))*12+MONTH(DATE(2025,12,31))-MONTH(M635)</x:f>
        <x:v>26</x:v>
      </x:c>
      <x:c r="O635" t="str">
        <x:v>ACTIVE</x:v>
      </x:c>
      <x:c r="P635" t="str">
        <x:v>INDEPENDENT_CONTRACTOR</x:v>
      </x:c>
      <x:c r="Q635" t="str">
        <x:v>SCOOTER</x:v>
      </x:c>
      <x:c r="R635" t="str">
        <x:v>FLEXIBLE</x:v>
      </x:c>
      <x:c r="S635" t="n">
        <x:v>9</x:v>
      </x:c>
      <x:c r="T635" t="str">
        <x:v>CLEARED</x:v>
      </x:c>
      <x:c r="U635" t="str">
        <x:v>VALID</x:v>
      </x:c>
      <x:c r="V635" s="16" t="n">
        <x:v>0.8796</x:v>
      </x:c>
      <x:c r="W635" t="str">
        <x:v>English</x:v>
      </x:c>
      <x:c r="X635"/>
      <x:c r="Y635" t="n">
        <x:v>737</x:v>
      </x:c>
      <x:c r="Z635" s="17" t="n">
        <x:v>4.35</x:v>
      </x:c>
      <x:c r="AA635" s="16" t="n">
        <x:v>0.8509</x:v>
      </x:c>
      <x:c r="AB635" s="16" t="n">
        <x:v>0.9031</x:v>
      </x:c>
      <x:c r="AC635" s="16" t="n">
        <x:v>0.8753</x:v>
      </x:c>
      <x:c r="AD635" t="n">
        <x:v>0</x:v>
      </x:c>
      <x:c r="AE635" t="str">
        <x:f>IF(O635&lt;&gt;"ACTIVE","NOT_RATED",IF(AND(Z635&gt;=4.8,AB635&gt;=0.97,AC635&gt;=0.93,AD635=0),"ELITE",IF(AND(Z635&gt;=4.6,AB635&gt;=0.94,AC635&gt;=0.88),"HIGH_PERFORMER",IF(OR(Z635&lt;4.2,AB635&lt;0.85,AD635&gt;=2),"AT_RISK","STANDARD"))))</x:f>
        <x:v>STANDARD</x:v>
      </x:c>
      <x:c r="AF635" s="15" t="n">
        <x:v>46012</x:v>
      </x:c>
      <x:c r="AG635" t="str">
        <x:v>VERIFIED</x:v>
      </x:c>
      <x:c r="AH635" t="str">
        <x:v>COMPLETE</x:v>
      </x:c>
      <x:c r="AI635" t="str">
        <x:v>Emma Martinez</x:v>
      </x:c>
      <x:c r="AJ635" t="str">
        <x:v>SIBLING</x:v>
      </x:c>
      <x:c r="AK635" t="str">
        <x:v>+1 (617) 555-0154</x:v>
      </x:c>
    </x:row>
    <x:row r="636" ht="18" customHeight="1">
      <x:c r="A636" t="str">
        <x:v>DHR-00635</x:v>
      </x:c>
      <x:c r="B636" t="str">
        <x:v>Sofia Thompson</x:v>
      </x:c>
      <x:c r="C636" t="str">
        <x:v>https://api.dicebear.com/9.x/adventurer/png?seed=DHR-00635-Sofia%20Thompson&amp;size=256&amp;radius=50&amp;backgroundColor=b6e3f4,c0aede,d1d4f9,ffd5dc,ffdfbf</x:v>
      </x:c>
      <x:c r="D636" t="str">
        <x:v>sofia.thompson.635@example.com</x:v>
      </x:c>
      <x:c r="E636" t="str">
        <x:v>+1 (206) 555-0134</x:v>
      </x:c>
      <x:c r="F636" t="str">
        <x:v>Seattle, WA</x:v>
      </x:c>
      <x:c r="G636" t="str">
        <x:v>Seattle</x:v>
      </x:c>
      <x:c r="H636" t="str">
        <x:v>WA</x:v>
      </x:c>
      <x:c r="I636" s="18" t="str">
        <x:v>98101</x:v>
      </x:c>
      <x:c r="J636" s="15" t="n">
        <x:v>25219.36886528935</x:v>
      </x:c>
      <x:c r="K636" t="n">
        <x:f>INT((DATE(2025,12,31)-J636)/365.25)</x:f>
        <x:v>56</x:v>
      </x:c>
      <x:c r="L636" t="str">
        <x:f>IF(K636&lt;25,"18-24",IF(K636&lt;35,"25-34",IF(K636&lt;45,"35-44",IF(K636&lt;55,"45-54","55+"))))</x:f>
        <x:v>55+</x:v>
      </x:c>
      <x:c r="M636" s="15" t="n">
        <x:v>44115.16042462963</x:v>
      </x:c>
      <x:c r="N636" t="n">
        <x:f>(YEAR(DATE(2025,12,31))-YEAR(M636))*12+MONTH(DATE(2025,12,31))-MONTH(M636)</x:f>
        <x:v>62</x:v>
      </x:c>
      <x:c r="O636" t="str">
        <x:v>ACTIVE</x:v>
      </x:c>
      <x:c r="P636" t="str">
        <x:v>INDEPENDENT_CONTRACTOR</x:v>
      </x:c>
      <x:c r="Q636" t="str">
        <x:v>BICYCLE</x:v>
      </x:c>
      <x:c r="R636" t="str">
        <x:v>FLEXIBLE</x:v>
      </x:c>
      <x:c r="S636" t="n">
        <x:v>39</x:v>
      </x:c>
      <x:c r="T636" t="str">
        <x:v>CLEARED</x:v>
      </x:c>
      <x:c r="U636" t="str">
        <x:v>NOT_REQUIRED</x:v>
      </x:c>
      <x:c r="V636" s="16" t="n">
        <x:v>0.8895</x:v>
      </x:c>
      <x:c r="W636" t="str">
        <x:v>English</x:v>
      </x:c>
      <x:c r="X636" t="str">
        <x:v>French</x:v>
      </x:c>
      <x:c r="Y636" t="n">
        <x:v>6583</x:v>
      </x:c>
      <x:c r="Z636" s="17" t="n">
        <x:v>4.79</x:v>
      </x:c>
      <x:c r="AA636" s="16" t="n">
        <x:v>0.8906</x:v>
      </x:c>
      <x:c r="AB636" s="16" t="n">
        <x:v>0.998</x:v>
      </x:c>
      <x:c r="AC636" s="16" t="n">
        <x:v>0.8988</x:v>
      </x:c>
      <x:c r="AD636" t="n">
        <x:v>0</x:v>
      </x:c>
      <x:c r="AE636" t="str">
        <x:f>IF(O636&lt;&gt;"ACTIVE","NOT_RATED",IF(AND(Z636&gt;=4.8,AB636&gt;=0.97,AC636&gt;=0.93,AD636=0),"ELITE",IF(AND(Z636&gt;=4.6,AB636&gt;=0.94,AC636&gt;=0.88),"HIGH_PERFORMER",IF(OR(Z636&lt;4.2,AB636&lt;0.85,AD636&gt;=2),"AT_RISK","STANDARD"))))</x:f>
        <x:v>HIGH_PERFORMER</x:v>
      </x:c>
      <x:c r="AF636" s="15" t="n">
        <x:v>46008</x:v>
      </x:c>
      <x:c r="AG636" t="str">
        <x:v>VERIFIED</x:v>
      </x:c>
      <x:c r="AH636" t="str">
        <x:v>PENDING</x:v>
      </x:c>
      <x:c r="AI636" t="str">
        <x:v>Hayden Young</x:v>
      </x:c>
      <x:c r="AJ636" t="str">
        <x:v>FRIEND</x:v>
      </x:c>
      <x:c r="AK636" t="str">
        <x:v>+1 (206) 555-0161</x:v>
      </x:c>
    </x:row>
    <x:row r="637" ht="18" customHeight="1">
      <x:c r="A637" t="str">
        <x:v>DHR-00636</x:v>
      </x:c>
      <x:c r="B637" t="str">
        <x:v>Sofia Walker</x:v>
      </x:c>
      <x:c r="C637" t="str">
        <x:v>https://api.dicebear.com/9.x/adventurer/png?seed=DHR-00636-Sofia%20Walker&amp;size=256&amp;radius=50&amp;backgroundColor=b6e3f4,c0aede,d1d4f9,ffd5dc,ffdfbf</x:v>
      </x:c>
      <x:c r="D637" t="str">
        <x:v>sofia.walker.636@example.com</x:v>
      </x:c>
      <x:c r="E637" t="str">
        <x:v>+1 (212) 555-0135</x:v>
      </x:c>
      <x:c r="F637" t="str">
        <x:v>New York, NY</x:v>
      </x:c>
      <x:c r="G637" t="str">
        <x:v>New York</x:v>
      </x:c>
      <x:c r="H637" t="str">
        <x:v>NY</x:v>
      </x:c>
      <x:c r="I637" s="18" t="str">
        <x:v>10001</x:v>
      </x:c>
      <x:c r="J637" s="15" t="n">
        <x:v>28731.291272395832</x:v>
      </x:c>
      <x:c r="K637" t="n">
        <x:f>INT((DATE(2025,12,31)-J637)/365.25)</x:f>
        <x:v>47</x:v>
      </x:c>
      <x:c r="L637" t="str">
        <x:f>IF(K637&lt;25,"18-24",IF(K637&lt;35,"25-34",IF(K637&lt;45,"35-44",IF(K637&lt;55,"45-54","55+"))))</x:f>
        <x:v>45-54</x:v>
      </x:c>
      <x:c r="M637" s="15" t="n">
        <x:v>43565.721880034725</x:v>
      </x:c>
      <x:c r="N637" t="n">
        <x:f>(YEAR(DATE(2025,12,31))-YEAR(M637))*12+MONTH(DATE(2025,12,31))-MONTH(M637)</x:f>
        <x:v>80</x:v>
      </x:c>
      <x:c r="O637" t="str">
        <x:v>ACTIVE</x:v>
      </x:c>
      <x:c r="P637" t="str">
        <x:v>INDEPENDENT_CONTRACTOR</x:v>
      </x:c>
      <x:c r="Q637" t="str">
        <x:v>E_BIKE</x:v>
      </x:c>
      <x:c r="R637" t="str">
        <x:v>WEEKENDS</x:v>
      </x:c>
      <x:c r="S637" t="n">
        <x:v>48</x:v>
      </x:c>
      <x:c r="T637" t="str">
        <x:v>CLEARED</x:v>
      </x:c>
      <x:c r="U637" t="str">
        <x:v>NOT_REQUIRED</x:v>
      </x:c>
      <x:c r="V637" s="16" t="n">
        <x:v>0.8317</x:v>
      </x:c>
      <x:c r="W637" t="str">
        <x:v>Vietnamese</x:v>
      </x:c>
      <x:c r="X637" t="str">
        <x:v>English</x:v>
      </x:c>
      <x:c r="Y637" t="n">
        <x:v>9201</x:v>
      </x:c>
      <x:c r="Z637" s="17" t="n">
        <x:v>4.82</x:v>
      </x:c>
      <x:c r="AA637" s="16" t="n">
        <x:v>0.6405</x:v>
      </x:c>
      <x:c r="AB637" s="16" t="n">
        <x:v>0.9708</x:v>
      </x:c>
      <x:c r="AC637" s="16" t="n">
        <x:v>0.9875</x:v>
      </x:c>
      <x:c r="AD637" t="n">
        <x:v>0</x:v>
      </x:c>
      <x:c r="AE637" t="str">
        <x:f>IF(O637&lt;&gt;"ACTIVE","NOT_RATED",IF(AND(Z637&gt;=4.8,AB637&gt;=0.97,AC637&gt;=0.93,AD637=0),"ELITE",IF(AND(Z637&gt;=4.6,AB637&gt;=0.94,AC637&gt;=0.88),"HIGH_PERFORMER",IF(OR(Z637&lt;4.2,AB637&lt;0.85,AD637&gt;=2),"AT_RISK","STANDARD"))))</x:f>
        <x:v>ELITE</x:v>
      </x:c>
      <x:c r="AF637" s="15" t="n">
        <x:v>46010</x:v>
      </x:c>
      <x:c r="AG637" t="str">
        <x:v>VERIFIED</x:v>
      </x:c>
      <x:c r="AH637" t="str">
        <x:v>COMPLETE</x:v>
      </x:c>
      <x:c r="AI637" t="str">
        <x:v>Mia Miller</x:v>
      </x:c>
      <x:c r="AJ637" t="str">
        <x:v>SPOUSE_PARTNER</x:v>
      </x:c>
      <x:c r="AK637" t="str">
        <x:v>+1 (212) 555-0168</x:v>
      </x:c>
    </x:row>
    <x:row r="638" ht="18" customHeight="1">
      <x:c r="A638" t="str">
        <x:v>DHR-00637</x:v>
      </x:c>
      <x:c r="B638" t="str">
        <x:v>Sofia White</x:v>
      </x:c>
      <x:c r="C638" t="str">
        <x:v>https://api.dicebear.com/9.x/adventurer/png?seed=DHR-00637-Sofia%20White&amp;size=256&amp;radius=50&amp;backgroundColor=b6e3f4,c0aede,d1d4f9,ffd5dc,ffdfbf</x:v>
      </x:c>
      <x:c r="D638" t="str">
        <x:v>sofia.white.637@example.com</x:v>
      </x:c>
      <x:c r="E638" t="str">
        <x:v>+1 (415) 555-0136</x:v>
      </x:c>
      <x:c r="F638" t="str">
        <x:v>San Francisco, CA</x:v>
      </x:c>
      <x:c r="G638" t="str">
        <x:v>San Francisco</x:v>
      </x:c>
      <x:c r="H638" t="str">
        <x:v>CA</x:v>
      </x:c>
      <x:c r="I638" s="18" t="str">
        <x:v>94103</x:v>
      </x:c>
      <x:c r="J638" s="15" t="n">
        <x:v>24482.12557672454</x:v>
      </x:c>
      <x:c r="K638" t="n">
        <x:f>INT((DATE(2025,12,31)-J638)/365.25)</x:f>
        <x:v>58</x:v>
      </x:c>
      <x:c r="L638" t="str">
        <x:f>IF(K638&lt;25,"18-24",IF(K638&lt;35,"25-34",IF(K638&lt;45,"35-44",IF(K638&lt;55,"45-54","55+"))))</x:f>
        <x:v>55+</x:v>
      </x:c>
      <x:c r="M638" s="15" t="n">
        <x:v>43589.84957162037</x:v>
      </x:c>
      <x:c r="N638" t="n">
        <x:f>(YEAR(DATE(2025,12,31))-YEAR(M638))*12+MONTH(DATE(2025,12,31))-MONTH(M638)</x:f>
        <x:v>79</x:v>
      </x:c>
      <x:c r="O638" t="str">
        <x:v>ACTIVE</x:v>
      </x:c>
      <x:c r="P638" t="str">
        <x:v>INDEPENDENT_CONTRACTOR</x:v>
      </x:c>
      <x:c r="Q638" t="str">
        <x:v>CAR</x:v>
      </x:c>
      <x:c r="R638" t="str">
        <x:v>DINNER</x:v>
      </x:c>
      <x:c r="S638" t="n">
        <x:v>45</x:v>
      </x:c>
      <x:c r="T638" t="str">
        <x:v>CLEARED</x:v>
      </x:c>
      <x:c r="U638" t="str">
        <x:v>VALID</x:v>
      </x:c>
      <x:c r="V638" s="16" t="n">
        <x:v>0.8143</x:v>
      </x:c>
      <x:c r="W638" t="str">
        <x:v>Spanish</x:v>
      </x:c>
      <x:c r="X638"/>
      <x:c r="Y638" t="n">
        <x:v>12928</x:v>
      </x:c>
      <x:c r="Z638" s="17" t="n">
        <x:v>4.98</x:v>
      </x:c>
      <x:c r="AA638" s="16" t="n">
        <x:v>0.7086</x:v>
      </x:c>
      <x:c r="AB638" s="16" t="n">
        <x:v>0.9461</x:v>
      </x:c>
      <x:c r="AC638" s="16" t="n">
        <x:v>0.87</x:v>
      </x:c>
      <x:c r="AD638" t="n">
        <x:v>0</x:v>
      </x:c>
      <x:c r="AE638" t="str">
        <x:f>IF(O638&lt;&gt;"ACTIVE","NOT_RATED",IF(AND(Z638&gt;=4.8,AB638&gt;=0.97,AC638&gt;=0.93,AD638=0),"ELITE",IF(AND(Z638&gt;=4.6,AB638&gt;=0.94,AC638&gt;=0.88),"HIGH_PERFORMER",IF(OR(Z638&lt;4.2,AB638&lt;0.85,AD638&gt;=2),"AT_RISK","STANDARD"))))</x:f>
        <x:v>STANDARD</x:v>
      </x:c>
      <x:c r="AF638" s="15" t="n">
        <x:v>46020</x:v>
      </x:c>
      <x:c r="AG638" t="str">
        <x:v>VERIFIED</x:v>
      </x:c>
      <x:c r="AH638" t="str">
        <x:v>COMPLETE</x:v>
      </x:c>
      <x:c r="AI638" t="str">
        <x:v>Emma Martin</x:v>
      </x:c>
      <x:c r="AJ638" t="str">
        <x:v>PARENT</x:v>
      </x:c>
      <x:c r="AK638" t="str">
        <x:v>+1 (415) 555-0175</x:v>
      </x:c>
    </x:row>
    <x:row r="639" ht="18" customHeight="1">
      <x:c r="A639" t="str">
        <x:v>DHR-00638</x:v>
      </x:c>
      <x:c r="B639" t="str">
        <x:v>Sofia Williams</x:v>
      </x:c>
      <x:c r="C639" t="str">
        <x:v>https://api.dicebear.com/9.x/adventurer/png?seed=DHR-00638-Sofia%20Williams&amp;size=256&amp;radius=50&amp;backgroundColor=b6e3f4,c0aede,d1d4f9,ffd5dc,ffdfbf</x:v>
      </x:c>
      <x:c r="D639" t="str">
        <x:v>sofia.williams.638@example.com</x:v>
      </x:c>
      <x:c r="E639" t="str">
        <x:v>+1 (206) 555-0137</x:v>
      </x:c>
      <x:c r="F639" t="str">
        <x:v>Seattle, WA</x:v>
      </x:c>
      <x:c r="G639" t="str">
        <x:v>Seattle</x:v>
      </x:c>
      <x:c r="H639" t="str">
        <x:v>WA</x:v>
      </x:c>
      <x:c r="I639" s="18" t="str">
        <x:v>98101</x:v>
      </x:c>
      <x:c r="J639" s="15" t="n">
        <x:v>31343.698645868055</x:v>
      </x:c>
      <x:c r="K639" t="n">
        <x:f>INT((DATE(2025,12,31)-J639)/365.25)</x:f>
        <x:v>40</x:v>
      </x:c>
      <x:c r="L639" t="str">
        <x:f>IF(K639&lt;25,"18-24",IF(K639&lt;35,"25-34",IF(K639&lt;45,"35-44",IF(K639&lt;55,"45-54","55+"))))</x:f>
        <x:v>35-44</x:v>
      </x:c>
      <x:c r="M639" s="15" t="n">
        <x:v>44496.69560232639</x:v>
      </x:c>
      <x:c r="N639" t="n">
        <x:f>(YEAR(DATE(2025,12,31))-YEAR(M639))*12+MONTH(DATE(2025,12,31))-MONTH(M639)</x:f>
        <x:v>50</x:v>
      </x:c>
      <x:c r="O639" t="str">
        <x:v>ACTIVE</x:v>
      </x:c>
      <x:c r="P639" t="str">
        <x:v>INDEPENDENT_CONTRACTOR</x:v>
      </x:c>
      <x:c r="Q639" t="str">
        <x:v>CAR</x:v>
      </x:c>
      <x:c r="R639" t="str">
        <x:v>FLEXIBLE</x:v>
      </x:c>
      <x:c r="S639" t="n">
        <x:v>30</x:v>
      </x:c>
      <x:c r="T639" t="str">
        <x:v>CLEARED</x:v>
      </x:c>
      <x:c r="U639" t="str">
        <x:v>VALID</x:v>
      </x:c>
      <x:c r="V639" s="16" t="n">
        <x:v>0.8513</x:v>
      </x:c>
      <x:c r="W639" t="str">
        <x:v>English</x:v>
      </x:c>
      <x:c r="X639" t="str">
        <x:v>Portuguese</x:v>
      </x:c>
      <x:c r="Y639" t="n">
        <x:v>4540</x:v>
      </x:c>
      <x:c r="Z639" s="17" t="n">
        <x:v>4.4</x:v>
      </x:c>
      <x:c r="AA639" s="16" t="n">
        <x:v>0.8348</x:v>
      </x:c>
      <x:c r="AB639" s="16" t="n">
        <x:v>0.9262</x:v>
      </x:c>
      <x:c r="AC639" s="16" t="n">
        <x:v>0.9632</x:v>
      </x:c>
      <x:c r="AD639" t="n">
        <x:v>0</x:v>
      </x:c>
      <x:c r="AE639" t="str">
        <x:f>IF(O639&lt;&gt;"ACTIVE","NOT_RATED",IF(AND(Z639&gt;=4.8,AB639&gt;=0.97,AC639&gt;=0.93,AD639=0),"ELITE",IF(AND(Z639&gt;=4.6,AB639&gt;=0.94,AC639&gt;=0.88),"HIGH_PERFORMER",IF(OR(Z639&lt;4.2,AB639&lt;0.85,AD639&gt;=2),"AT_RISK","STANDARD"))))</x:f>
        <x:v>STANDARD</x:v>
      </x:c>
      <x:c r="AF639" s="15" t="n">
        <x:v>46021</x:v>
      </x:c>
      <x:c r="AG639" t="str">
        <x:v>VERIFIED</x:v>
      </x:c>
      <x:c r="AH639" t="str">
        <x:v>COMPLETE</x:v>
      </x:c>
      <x:c r="AI639" t="str">
        <x:v>Casey Anderson</x:v>
      </x:c>
      <x:c r="AJ639" t="str">
        <x:v>SIBLING</x:v>
      </x:c>
      <x:c r="AK639" t="str">
        <x:v>+1 (206) 555-0182</x:v>
      </x:c>
    </x:row>
    <x:row r="640" ht="18" customHeight="1">
      <x:c r="A640" t="str">
        <x:v>DHR-00639</x:v>
      </x:c>
      <x:c r="B640" t="str">
        <x:v>Sofia Wilson</x:v>
      </x:c>
      <x:c r="C640" t="str">
        <x:v>https://api.dicebear.com/9.x/adventurer/png?seed=DHR-00639-Sofia%20Wilson&amp;size=256&amp;radius=50&amp;backgroundColor=b6e3f4,c0aede,d1d4f9,ffd5dc,ffdfbf</x:v>
      </x:c>
      <x:c r="D640" t="str">
        <x:v>sofia.wilson.639@example.com</x:v>
      </x:c>
      <x:c r="E640" t="str">
        <x:v>+1 (713) 555-0138</x:v>
      </x:c>
      <x:c r="F640" t="str">
        <x:v>Houston, TX</x:v>
      </x:c>
      <x:c r="G640" t="str">
        <x:v>Houston</x:v>
      </x:c>
      <x:c r="H640" t="str">
        <x:v>TX</x:v>
      </x:c>
      <x:c r="I640" s="18" t="str">
        <x:v>77002</x:v>
      </x:c>
      <x:c r="J640" s="15" t="n">
        <x:v>37201.69253986111</x:v>
      </x:c>
      <x:c r="K640" t="n">
        <x:f>INT((DATE(2025,12,31)-J640)/365.25)</x:f>
        <x:v>24</x:v>
      </x:c>
      <x:c r="L640" t="str">
        <x:f>IF(K640&lt;25,"18-24",IF(K640&lt;35,"25-34",IF(K640&lt;45,"35-44",IF(K640&lt;55,"45-54","55+"))))</x:f>
        <x:v>18-24</x:v>
      </x:c>
      <x:c r="M640" s="15" t="n">
        <x:v>45872.15483240741</x:v>
      </x:c>
      <x:c r="N640" t="n">
        <x:f>(YEAR(DATE(2025,12,31))-YEAR(M640))*12+MONTH(DATE(2025,12,31))-MONTH(M640)</x:f>
        <x:v>4</x:v>
      </x:c>
      <x:c r="O640" t="str">
        <x:v>ACTIVE</x:v>
      </x:c>
      <x:c r="P640" t="str">
        <x:v>INDEPENDENT_CONTRACTOR</x:v>
      </x:c>
      <x:c r="Q640" t="str">
        <x:v>CAR</x:v>
      </x:c>
      <x:c r="R640" t="str">
        <x:v>FLEXIBLE</x:v>
      </x:c>
      <x:c r="S640" t="n">
        <x:v>16</x:v>
      </x:c>
      <x:c r="T640" t="str">
        <x:v>CLEARED</x:v>
      </x:c>
      <x:c r="U640" t="str">
        <x:v>VALID</x:v>
      </x:c>
      <x:c r="V640" s="16" t="n">
        <x:v>0.9695</x:v>
      </x:c>
      <x:c r="W640" t="str">
        <x:v>Vietnamese</x:v>
      </x:c>
      <x:c r="X640"/>
      <x:c r="Y640" t="n">
        <x:v>212</x:v>
      </x:c>
      <x:c r="Z640" s="17" t="n">
        <x:v>4.81</x:v>
      </x:c>
      <x:c r="AA640" s="16" t="n">
        <x:v>0.9056</x:v>
      </x:c>
      <x:c r="AB640" s="16" t="n">
        <x:v>0.9626</x:v>
      </x:c>
      <x:c r="AC640" s="16" t="n">
        <x:v>0.8637</x:v>
      </x:c>
      <x:c r="AD640" t="n">
        <x:v>1</x:v>
      </x:c>
      <x:c r="AE640" t="str">
        <x:f>IF(O640&lt;&gt;"ACTIVE","NOT_RATED",IF(AND(Z640&gt;=4.8,AB640&gt;=0.97,AC640&gt;=0.93,AD640=0),"ELITE",IF(AND(Z640&gt;=4.6,AB640&gt;=0.94,AC640&gt;=0.88),"HIGH_PERFORMER",IF(OR(Z640&lt;4.2,AB640&lt;0.85,AD640&gt;=2),"AT_RISK","STANDARD"))))</x:f>
        <x:v>STANDARD</x:v>
      </x:c>
      <x:c r="AF640" s="15" t="n">
        <x:v>46016</x:v>
      </x:c>
      <x:c r="AG640" t="str">
        <x:v>ON_HOLD</x:v>
      </x:c>
      <x:c r="AH640" t="str">
        <x:v>COMPLETE</x:v>
      </x:c>
      <x:c r="AI640" t="str">
        <x:v>Cameron Garcia</x:v>
      </x:c>
      <x:c r="AJ640" t="str">
        <x:v>PARENT</x:v>
      </x:c>
      <x:c r="AK640" t="str">
        <x:v>+1 (713) 555-0189</x:v>
      </x:c>
    </x:row>
    <x:row r="641" ht="18" customHeight="1">
      <x:c r="A641" t="str">
        <x:v>DHR-00640</x:v>
      </x:c>
      <x:c r="B641" t="str">
        <x:v>Sofia Young</x:v>
      </x:c>
      <x:c r="C641" t="str">
        <x:v>https://api.dicebear.com/9.x/adventurer/png?seed=DHR-00640-Sofia%20Young&amp;size=256&amp;radius=50&amp;backgroundColor=b6e3f4,c0aede,d1d4f9,ffd5dc,ffdfbf</x:v>
      </x:c>
      <x:c r="D641" t="str">
        <x:v>sofia.young.640@example.com</x:v>
      </x:c>
      <x:c r="E641" t="str">
        <x:v>+1 (503) 555-0139</x:v>
      </x:c>
      <x:c r="F641" t="str">
        <x:v>Portland, OR</x:v>
      </x:c>
      <x:c r="G641" t="str">
        <x:v>Portland</x:v>
      </x:c>
      <x:c r="H641" t="str">
        <x:v>OR</x:v>
      </x:c>
      <x:c r="I641" s="18" t="str">
        <x:v>97205</x:v>
      </x:c>
      <x:c r="J641" s="15" t="n">
        <x:v>30408.943949456017</x:v>
      </x:c>
      <x:c r="K641" t="n">
        <x:f>INT((DATE(2025,12,31)-J641)/365.25)</x:f>
        <x:v>42</x:v>
      </x:c>
      <x:c r="L641" t="str">
        <x:f>IF(K641&lt;25,"18-24",IF(K641&lt;35,"25-34",IF(K641&lt;45,"35-44",IF(K641&lt;55,"45-54","55+"))))</x:f>
        <x:v>35-44</x:v>
      </x:c>
      <x:c r="M641" s="15" t="n">
        <x:v>45419.81987112269</x:v>
      </x:c>
      <x:c r="N641" t="n">
        <x:f>(YEAR(DATE(2025,12,31))-YEAR(M641))*12+MONTH(DATE(2025,12,31))-MONTH(M641)</x:f>
        <x:v>19</x:v>
      </x:c>
      <x:c r="O641" t="str">
        <x:v>ACTIVE</x:v>
      </x:c>
      <x:c r="P641" t="str">
        <x:v>INDEPENDENT_CONTRACTOR</x:v>
      </x:c>
      <x:c r="Q641" t="str">
        <x:v>BICYCLE</x:v>
      </x:c>
      <x:c r="R641" t="str">
        <x:v>WEEKENDS</x:v>
      </x:c>
      <x:c r="S641" t="n">
        <x:v>14</x:v>
      </x:c>
      <x:c r="T641" t="str">
        <x:v>CLEARED</x:v>
      </x:c>
      <x:c r="U641" t="str">
        <x:v>NOT_REQUIRED</x:v>
      </x:c>
      <x:c r="V641" s="16" t="n">
        <x:v>0.8117</x:v>
      </x:c>
      <x:c r="W641" t="str">
        <x:v>English</x:v>
      </x:c>
      <x:c r="X641" t="str">
        <x:v>Spanish</x:v>
      </x:c>
      <x:c r="Y641" t="n">
        <x:v>817</x:v>
      </x:c>
      <x:c r="Z641" s="17" t="n">
        <x:v>4.77</x:v>
      </x:c>
      <x:c r="AA641" s="16" t="n">
        <x:v>0.8428</x:v>
      </x:c>
      <x:c r="AB641" s="16" t="n">
        <x:v>0.9655</x:v>
      </x:c>
      <x:c r="AC641" s="16" t="n">
        <x:v>0.8593</x:v>
      </x:c>
      <x:c r="AD641" t="n">
        <x:v>0</x:v>
      </x:c>
      <x:c r="AE641" t="str">
        <x:f>IF(O641&lt;&gt;"ACTIVE","NOT_RATED",IF(AND(Z641&gt;=4.8,AB641&gt;=0.97,AC641&gt;=0.93,AD641=0),"ELITE",IF(AND(Z641&gt;=4.6,AB641&gt;=0.94,AC641&gt;=0.88),"HIGH_PERFORMER",IF(OR(Z641&lt;4.2,AB641&lt;0.85,AD641&gt;=2),"AT_RISK","STANDARD"))))</x:f>
        <x:v>STANDARD</x:v>
      </x:c>
      <x:c r="AF641" s="15" t="n">
        <x:v>46022</x:v>
      </x:c>
      <x:c r="AG641" t="str">
        <x:v>VERIFIED</x:v>
      </x:c>
      <x:c r="AH641" t="str">
        <x:v>COMPLETE</x:v>
      </x:c>
      <x:c r="AI641" t="str">
        <x:v>Taylor Martin</x:v>
      </x:c>
      <x:c r="AJ641" t="str">
        <x:v>SPOUSE_PARTNER</x:v>
      </x:c>
      <x:c r="AK641" t="str">
        <x:v>+1 (503) 555-0196</x:v>
      </x:c>
    </x:row>
    <x:row r="642" ht="18" customHeight="1">
      <x:c r="A642" t="str">
        <x:v>DHR-00641</x:v>
      </x:c>
      <x:c r="B642" t="str">
        <x:v>Taylor Anderson</x:v>
      </x:c>
      <x:c r="C642" t="str">
        <x:v>https://api.dicebear.com/9.x/adventurer/png?seed=DHR-00641-Taylor%20Anderson&amp;size=256&amp;radius=50&amp;backgroundColor=b6e3f4,c0aede,d1d4f9,ffd5dc,ffdfbf</x:v>
      </x:c>
      <x:c r="D642" t="str">
        <x:v>taylor.anderson.641@example.com</x:v>
      </x:c>
      <x:c r="E642" t="str">
        <x:v>+1 (213) 555-0140</x:v>
      </x:c>
      <x:c r="F642" t="str">
        <x:v>Los Angeles, CA</x:v>
      </x:c>
      <x:c r="G642" t="str">
        <x:v>Los Angeles</x:v>
      </x:c>
      <x:c r="H642" t="str">
        <x:v>CA</x:v>
      </x:c>
      <x:c r="I642" s="18" t="str">
        <x:v>90012</x:v>
      </x:c>
      <x:c r="J642" s="15" t="n">
        <x:v>27597.91960465278</x:v>
      </x:c>
      <x:c r="K642" t="n">
        <x:f>INT((DATE(2025,12,31)-J642)/365.25)</x:f>
        <x:v>50</x:v>
      </x:c>
      <x:c r="L642" t="str">
        <x:f>IF(K642&lt;25,"18-24",IF(K642&lt;35,"25-34",IF(K642&lt;45,"35-44",IF(K642&lt;55,"45-54","55+"))))</x:f>
        <x:v>45-54</x:v>
      </x:c>
      <x:c r="M642" s="15" t="n">
        <x:v>43492.71027771991</x:v>
      </x:c>
      <x:c r="N642" t="n">
        <x:f>(YEAR(DATE(2025,12,31))-YEAR(M642))*12+MONTH(DATE(2025,12,31))-MONTH(M642)</x:f>
        <x:v>83</x:v>
      </x:c>
      <x:c r="O642" t="str">
        <x:v>ACTIVE</x:v>
      </x:c>
      <x:c r="P642" t="str">
        <x:v>INDEPENDENT_CONTRACTOR</x:v>
      </x:c>
      <x:c r="Q642" t="str">
        <x:v>CAR</x:v>
      </x:c>
      <x:c r="R642" t="str">
        <x:v>WEEKENDS</x:v>
      </x:c>
      <x:c r="S642" t="n">
        <x:v>37</x:v>
      </x:c>
      <x:c r="T642" t="str">
        <x:v>CLEARED</x:v>
      </x:c>
      <x:c r="U642" t="str">
        <x:v>VALID</x:v>
      </x:c>
      <x:c r="V642" s="16" t="n">
        <x:v>0.971</x:v>
      </x:c>
      <x:c r="W642" t="str">
        <x:v>English</x:v>
      </x:c>
      <x:c r="X642"/>
      <x:c r="Y642" t="n">
        <x:v>8438</x:v>
      </x:c>
      <x:c r="Z642" s="17" t="n">
        <x:v>4.86</x:v>
      </x:c>
      <x:c r="AA642" s="16" t="n">
        <x:v>0.9057</x:v>
      </x:c>
      <x:c r="AB642" s="16" t="n">
        <x:v>0.9191</x:v>
      </x:c>
      <x:c r="AC642" s="16" t="n">
        <x:v>0.8704</x:v>
      </x:c>
      <x:c r="AD642" t="n">
        <x:v>0</x:v>
      </x:c>
      <x:c r="AE642" t="str">
        <x:f>IF(O642&lt;&gt;"ACTIVE","NOT_RATED",IF(AND(Z642&gt;=4.8,AB642&gt;=0.97,AC642&gt;=0.93,AD642=0),"ELITE",IF(AND(Z642&gt;=4.6,AB642&gt;=0.94,AC642&gt;=0.88),"HIGH_PERFORMER",IF(OR(Z642&lt;4.2,AB642&lt;0.85,AD642&gt;=2),"AT_RISK","STANDARD"))))</x:f>
        <x:v>STANDARD</x:v>
      </x:c>
      <x:c r="AF642" s="15" t="n">
        <x:v>46017</x:v>
      </x:c>
      <x:c r="AG642" t="str">
        <x:v>VERIFIED</x:v>
      </x:c>
      <x:c r="AH642" t="str">
        <x:v>COMPLETE</x:v>
      </x:c>
      <x:c r="AI642" t="str">
        <x:v>Hayden Williams</x:v>
      </x:c>
      <x:c r="AJ642" t="str">
        <x:v>SPOUSE_PARTNER</x:v>
      </x:c>
      <x:c r="AK642" t="str">
        <x:v>+1 (213) 555-0103</x:v>
      </x:c>
    </x:row>
    <x:row r="643" ht="18" customHeight="1">
      <x:c r="A643" t="str">
        <x:v>DHR-00642</x:v>
      </x:c>
      <x:c r="B643" t="str">
        <x:v>Taylor Brown</x:v>
      </x:c>
      <x:c r="C643" t="str">
        <x:v>https://api.dicebear.com/9.x/adventurer/png?seed=DHR-00642-Taylor%20Brown&amp;size=256&amp;radius=50&amp;backgroundColor=b6e3f4,c0aede,d1d4f9,ffd5dc,ffdfbf</x:v>
      </x:c>
      <x:c r="D643" t="str">
        <x:v>taylor.brown.642@example.com</x:v>
      </x:c>
      <x:c r="E643" t="str">
        <x:v>+1 (214) 555-0141</x:v>
      </x:c>
      <x:c r="F643" t="str">
        <x:v>Dallas, TX</x:v>
      </x:c>
      <x:c r="G643" t="str">
        <x:v>Dallas</x:v>
      </x:c>
      <x:c r="H643" t="str">
        <x:v>TX</x:v>
      </x:c>
      <x:c r="I643" s="18" t="str">
        <x:v>75201</x:v>
      </x:c>
      <x:c r="J643" s="15" t="n">
        <x:v>35087.191020335646</x:v>
      </x:c>
      <x:c r="K643" t="n">
        <x:f>INT((DATE(2025,12,31)-J643)/365.25)</x:f>
        <x:v>29</x:v>
      </x:c>
      <x:c r="L643" t="str">
        <x:f>IF(K643&lt;25,"18-24",IF(K643&lt;35,"25-34",IF(K643&lt;45,"35-44",IF(K643&lt;55,"45-54","55+"))))</x:f>
        <x:v>25-34</x:v>
      </x:c>
      <x:c r="M643" s="15" t="n">
        <x:v>43479.02277048611</x:v>
      </x:c>
      <x:c r="N643" t="n">
        <x:f>(YEAR(DATE(2025,12,31))-YEAR(M643))*12+MONTH(DATE(2025,12,31))-MONTH(M643)</x:f>
        <x:v>83</x:v>
      </x:c>
      <x:c r="O643" t="str">
        <x:v>ACTIVE</x:v>
      </x:c>
      <x:c r="P643" t="str">
        <x:v>INDEPENDENT_CONTRACTOR</x:v>
      </x:c>
      <x:c r="Q643" t="str">
        <x:v>CAR</x:v>
      </x:c>
      <x:c r="R643" t="str">
        <x:v>FLEXIBLE</x:v>
      </x:c>
      <x:c r="S643" t="n">
        <x:v>14</x:v>
      </x:c>
      <x:c r="T643" t="str">
        <x:v>CLEARED</x:v>
      </x:c>
      <x:c r="U643" t="str">
        <x:v>VALID</x:v>
      </x:c>
      <x:c r="V643" s="16" t="n">
        <x:v>0.7811</x:v>
      </x:c>
      <x:c r="W643" t="str">
        <x:v>English</x:v>
      </x:c>
      <x:c r="X643" t="str">
        <x:v>Vietnamese</x:v>
      </x:c>
      <x:c r="Y643" t="n">
        <x:v>4631</x:v>
      </x:c>
      <x:c r="Z643" s="17" t="n">
        <x:v>4.7</x:v>
      </x:c>
      <x:c r="AA643" s="16" t="n">
        <x:v>0.8249</x:v>
      </x:c>
      <x:c r="AB643" s="16" t="n">
        <x:v>0.9257</x:v>
      </x:c>
      <x:c r="AC643" s="16" t="n">
        <x:v>0.8934</x:v>
      </x:c>
      <x:c r="AD643" t="n">
        <x:v>0</x:v>
      </x:c>
      <x:c r="AE643" t="str">
        <x:f>IF(O643&lt;&gt;"ACTIVE","NOT_RATED",IF(AND(Z643&gt;=4.8,AB643&gt;=0.97,AC643&gt;=0.93,AD643=0),"ELITE",IF(AND(Z643&gt;=4.6,AB643&gt;=0.94,AC643&gt;=0.88),"HIGH_PERFORMER",IF(OR(Z643&lt;4.2,AB643&lt;0.85,AD643&gt;=2),"AT_RISK","STANDARD"))))</x:f>
        <x:v>STANDARD</x:v>
      </x:c>
      <x:c r="AF643" s="15" t="n">
        <x:v>46013</x:v>
      </x:c>
      <x:c r="AG643" t="str">
        <x:v>VERIFIED</x:v>
      </x:c>
      <x:c r="AH643" t="str">
        <x:v>COMPLETE</x:v>
      </x:c>
      <x:c r="AI643" t="str">
        <x:v>Jordan Garcia</x:v>
      </x:c>
      <x:c r="AJ643" t="str">
        <x:v>PARENT</x:v>
      </x:c>
      <x:c r="AK643" t="str">
        <x:v>+1 (214) 555-0110</x:v>
      </x:c>
    </x:row>
    <x:row r="644" ht="18" customHeight="1">
      <x:c r="A644" t="str">
        <x:v>DHR-00643</x:v>
      </x:c>
      <x:c r="B644" t="str">
        <x:v>Taylor Clark</x:v>
      </x:c>
      <x:c r="C644" t="str">
        <x:v>https://api.dicebear.com/9.x/adventurer/png?seed=DHR-00643-Taylor%20Clark&amp;size=256&amp;radius=50&amp;backgroundColor=b6e3f4,c0aede,d1d4f9,ffd5dc,ffdfbf</x:v>
      </x:c>
      <x:c r="D644" t="str">
        <x:v>taylor.clark.643@example.com</x:v>
      </x:c>
      <x:c r="E644" t="str">
        <x:v>+1 (215) 555-0142</x:v>
      </x:c>
      <x:c r="F644" t="str">
        <x:v>Philadelphia, PA</x:v>
      </x:c>
      <x:c r="G644" t="str">
        <x:v>Philadelphia</x:v>
      </x:c>
      <x:c r="H644" t="str">
        <x:v>PA</x:v>
      </x:c>
      <x:c r="I644" s="18" t="str">
        <x:v>19103</x:v>
      </x:c>
      <x:c r="J644" s="15" t="n">
        <x:v>36097.44095334491</x:v>
      </x:c>
      <x:c r="K644" t="n">
        <x:f>INT((DATE(2025,12,31)-J644)/365.25)</x:f>
        <x:v>27</x:v>
      </x:c>
      <x:c r="L644" t="str">
        <x:f>IF(K644&lt;25,"18-24",IF(K644&lt;35,"25-34",IF(K644&lt;45,"35-44",IF(K644&lt;55,"45-54","55+"))))</x:f>
        <x:v>25-34</x:v>
      </x:c>
      <x:c r="M644" s="15" t="n">
        <x:v>43914.73332387731</x:v>
      </x:c>
      <x:c r="N644" t="n">
        <x:f>(YEAR(DATE(2025,12,31))-YEAR(M644))*12+MONTH(DATE(2025,12,31))-MONTH(M644)</x:f>
        <x:v>69</x:v>
      </x:c>
      <x:c r="O644" t="str">
        <x:v>ACTIVE</x:v>
      </x:c>
      <x:c r="P644" t="str">
        <x:v>INDEPENDENT_CONTRACTOR</x:v>
      </x:c>
      <x:c r="Q644" t="str">
        <x:v>CAR</x:v>
      </x:c>
      <x:c r="R644" t="str">
        <x:v>LUNCH</x:v>
      </x:c>
      <x:c r="S644" t="n">
        <x:v>24</x:v>
      </x:c>
      <x:c r="T644" t="str">
        <x:v>CLEARED</x:v>
      </x:c>
      <x:c r="U644" t="str">
        <x:v>VALID</x:v>
      </x:c>
      <x:c r="V644" s="16" t="n">
        <x:v>0.839</x:v>
      </x:c>
      <x:c r="W644" t="str">
        <x:v>English</x:v>
      </x:c>
      <x:c r="X644"/>
      <x:c r="Y644" t="n">
        <x:v>3211</x:v>
      </x:c>
      <x:c r="Z644" s="17" t="n">
        <x:v>4.83</x:v>
      </x:c>
      <x:c r="AA644" s="16" t="n">
        <x:v>0.6381</x:v>
      </x:c>
      <x:c r="AB644" s="16" t="n">
        <x:v>0.988</x:v>
      </x:c>
      <x:c r="AC644" s="16" t="n">
        <x:v>0.83</x:v>
      </x:c>
      <x:c r="AD644" t="n">
        <x:v>0</x:v>
      </x:c>
      <x:c r="AE644" t="str">
        <x:f>IF(O644&lt;&gt;"ACTIVE","NOT_RATED",IF(AND(Z644&gt;=4.8,AB644&gt;=0.97,AC644&gt;=0.93,AD644=0),"ELITE",IF(AND(Z644&gt;=4.6,AB644&gt;=0.94,AC644&gt;=0.88),"HIGH_PERFORMER",IF(OR(Z644&lt;4.2,AB644&lt;0.85,AD644&gt;=2),"AT_RISK","STANDARD"))))</x:f>
        <x:v>STANDARD</x:v>
      </x:c>
      <x:c r="AF644" s="15" t="n">
        <x:v>46012</x:v>
      </x:c>
      <x:c r="AG644" t="str">
        <x:v>VERIFIED</x:v>
      </x:c>
      <x:c r="AH644" t="str">
        <x:v>COMPLETE</x:v>
      </x:c>
      <x:c r="AI644" t="str">
        <x:v>Drew Jones</x:v>
      </x:c>
      <x:c r="AJ644" t="str">
        <x:v>SPOUSE_PARTNER</x:v>
      </x:c>
      <x:c r="AK644" t="str">
        <x:v>+1 (215) 555-0117</x:v>
      </x:c>
    </x:row>
    <x:row r="645" ht="18" customHeight="1">
      <x:c r="A645" t="str">
        <x:v>DHR-00644</x:v>
      </x:c>
      <x:c r="B645" t="str">
        <x:v>Taylor Davis</x:v>
      </x:c>
      <x:c r="C645" t="str">
        <x:v>https://api.dicebear.com/9.x/adventurer/png?seed=DHR-00644-Taylor%20Davis&amp;size=256&amp;radius=50&amp;backgroundColor=b6e3f4,c0aede,d1d4f9,ffd5dc,ffdfbf</x:v>
      </x:c>
      <x:c r="D645" t="str">
        <x:v>taylor.davis.644@example.com</x:v>
      </x:c>
      <x:c r="E645" t="str">
        <x:v>+1 (215) 555-0143</x:v>
      </x:c>
      <x:c r="F645" t="str">
        <x:v>Philadelphia, PA</x:v>
      </x:c>
      <x:c r="G645" t="str">
        <x:v>Philadelphia</x:v>
      </x:c>
      <x:c r="H645" t="str">
        <x:v>PA</x:v>
      </x:c>
      <x:c r="I645" s="18" t="str">
        <x:v>19103</x:v>
      </x:c>
      <x:c r="J645" s="15" t="n">
        <x:v>33506.904846944446</x:v>
      </x:c>
      <x:c r="K645" t="n">
        <x:f>INT((DATE(2025,12,31)-J645)/365.25)</x:f>
        <x:v>34</x:v>
      </x:c>
      <x:c r="L645" t="str">
        <x:f>IF(K645&lt;25,"18-24",IF(K645&lt;35,"25-34",IF(K645&lt;45,"35-44",IF(K645&lt;55,"45-54","55+"))))</x:f>
        <x:v>25-34</x:v>
      </x:c>
      <x:c r="M645" s="15" t="n">
        <x:v>45986.66580243056</x:v>
      </x:c>
      <x:c r="N645" t="n">
        <x:f>(YEAR(DATE(2025,12,31))-YEAR(M645))*12+MONTH(DATE(2025,12,31))-MONTH(M645)</x:f>
        <x:v>1</x:v>
      </x:c>
      <x:c r="O645" t="str">
        <x:v>OFFBOARDED</x:v>
      </x:c>
      <x:c r="P645" t="str">
        <x:v>INDEPENDENT_CONTRACTOR</x:v>
      </x:c>
      <x:c r="Q645" t="str">
        <x:v>CAR</x:v>
      </x:c>
      <x:c r="R645" t="str">
        <x:v>FLEXIBLE</x:v>
      </x:c>
      <x:c r="S645" t="n">
        <x:v>28</x:v>
      </x:c>
      <x:c r="T645" t="str">
        <x:v>CLEARED</x:v>
      </x:c>
      <x:c r="U645" t="str">
        <x:v>VALID</x:v>
      </x:c>
      <x:c r="V645" s="16" t="n">
        <x:v>0.8872</x:v>
      </x:c>
      <x:c r="W645" t="str">
        <x:v>English</x:v>
      </x:c>
      <x:c r="X645"/>
      <x:c r="Y645" t="n">
        <x:v>71</x:v>
      </x:c>
      <x:c r="Z645" s="17" t="n">
        <x:v>4.69</x:v>
      </x:c>
      <x:c r="AA645" s="16" t="n">
        <x:v>0.6468</x:v>
      </x:c>
      <x:c r="AB645" s="16" t="n">
        <x:v>0.8975</x:v>
      </x:c>
      <x:c r="AC645" s="16" t="n">
        <x:v>0.8332</x:v>
      </x:c>
      <x:c r="AD645" t="n">
        <x:v>0</x:v>
      </x:c>
      <x:c r="AE645" t="str">
        <x:f>IF(O645&lt;&gt;"ACTIVE","NOT_RATED",IF(AND(Z645&gt;=4.8,AB645&gt;=0.97,AC645&gt;=0.93,AD645=0),"ELITE",IF(AND(Z645&gt;=4.6,AB645&gt;=0.94,AC645&gt;=0.88),"HIGH_PERFORMER",IF(OR(Z645&lt;4.2,AB645&lt;0.85,AD645&gt;=2),"AT_RISK","STANDARD"))))</x:f>
        <x:v>NOT_RATED</x:v>
      </x:c>
      <x:c r="AF645" s="15" t="n">
        <x:v>45986.66580243056</x:v>
      </x:c>
      <x:c r="AG645" t="str">
        <x:v>VERIFIED</x:v>
      </x:c>
      <x:c r="AH645" t="str">
        <x:v>COMPLETE</x:v>
      </x:c>
      <x:c r="AI645" t="str">
        <x:v>Casey Garcia</x:v>
      </x:c>
      <x:c r="AJ645" t="str">
        <x:v>SPOUSE_PARTNER</x:v>
      </x:c>
      <x:c r="AK645" t="str">
        <x:v>+1 (215) 555-0124</x:v>
      </x:c>
    </x:row>
    <x:row r="646" ht="18" customHeight="1">
      <x:c r="A646" t="str">
        <x:v>DHR-00645</x:v>
      </x:c>
      <x:c r="B646" t="str">
        <x:v>Taylor Garcia</x:v>
      </x:c>
      <x:c r="C646" t="str">
        <x:v>https://api.dicebear.com/9.x/adventurer/png?seed=DHR-00645-Taylor%20Garcia&amp;size=256&amp;radius=50&amp;backgroundColor=b6e3f4,c0aede,d1d4f9,ffd5dc,ffdfbf</x:v>
      </x:c>
      <x:c r="D646" t="str">
        <x:v>taylor.garcia.645@example.com</x:v>
      </x:c>
      <x:c r="E646" t="str">
        <x:v>+1 (415) 555-0144</x:v>
      </x:c>
      <x:c r="F646" t="str">
        <x:v>San Francisco, CA</x:v>
      </x:c>
      <x:c r="G646" t="str">
        <x:v>San Francisco</x:v>
      </x:c>
      <x:c r="H646" t="str">
        <x:v>CA</x:v>
      </x:c>
      <x:c r="I646" s="18" t="str">
        <x:v>94103</x:v>
      </x:c>
      <x:c r="J646" s="15" t="n">
        <x:v>34442.886749143516</x:v>
      </x:c>
      <x:c r="K646" t="n">
        <x:f>INT((DATE(2025,12,31)-J646)/365.25)</x:f>
        <x:v>31</x:v>
      </x:c>
      <x:c r="L646" t="str">
        <x:f>IF(K646&lt;25,"18-24",IF(K646&lt;35,"25-34",IF(K646&lt;45,"35-44",IF(K646&lt;55,"45-54","55+"))))</x:f>
        <x:v>25-34</x:v>
      </x:c>
      <x:c r="M646" s="15" t="n">
        <x:v>45011.54689563657</x:v>
      </x:c>
      <x:c r="N646" t="n">
        <x:f>(YEAR(DATE(2025,12,31))-YEAR(M646))*12+MONTH(DATE(2025,12,31))-MONTH(M646)</x:f>
        <x:v>33</x:v>
      </x:c>
      <x:c r="O646" t="str">
        <x:v>ACTIVE</x:v>
      </x:c>
      <x:c r="P646" t="str">
        <x:v>INDEPENDENT_CONTRACTOR</x:v>
      </x:c>
      <x:c r="Q646" t="str">
        <x:v>BICYCLE</x:v>
      </x:c>
      <x:c r="R646" t="str">
        <x:v>WEEKENDS</x:v>
      </x:c>
      <x:c r="S646" t="n">
        <x:v>10</x:v>
      </x:c>
      <x:c r="T646" t="str">
        <x:v>CLEARED</x:v>
      </x:c>
      <x:c r="U646" t="str">
        <x:v>NOT_REQUIRED</x:v>
      </x:c>
      <x:c r="V646" s="16" t="n">
        <x:v>0.9184</x:v>
      </x:c>
      <x:c r="W646" t="str">
        <x:v>Vietnamese</x:v>
      </x:c>
      <x:c r="X646"/>
      <x:c r="Y646" t="n">
        <x:v>1116</x:v>
      </x:c>
      <x:c r="Z646" s="17" t="n">
        <x:v>4.64</x:v>
      </x:c>
      <x:c r="AA646" s="16" t="n">
        <x:v>0.8054</x:v>
      </x:c>
      <x:c r="AB646" s="16" t="n">
        <x:v>0.8778</x:v>
      </x:c>
      <x:c r="AC646" s="16" t="n">
        <x:v>0.9537</x:v>
      </x:c>
      <x:c r="AD646" t="n">
        <x:v>0</x:v>
      </x:c>
      <x:c r="AE646" t="str">
        <x:f>IF(O646&lt;&gt;"ACTIVE","NOT_RATED",IF(AND(Z646&gt;=4.8,AB646&gt;=0.97,AC646&gt;=0.93,AD646=0),"ELITE",IF(AND(Z646&gt;=4.6,AB646&gt;=0.94,AC646&gt;=0.88),"HIGH_PERFORMER",IF(OR(Z646&lt;4.2,AB646&lt;0.85,AD646&gt;=2),"AT_RISK","STANDARD"))))</x:f>
        <x:v>STANDARD</x:v>
      </x:c>
      <x:c r="AF646" s="15" t="n">
        <x:v>46021</x:v>
      </x:c>
      <x:c r="AG646" t="str">
        <x:v>VERIFIED</x:v>
      </x:c>
      <x:c r="AH646" t="str">
        <x:v>COMPLETE</x:v>
      </x:c>
      <x:c r="AI646" t="str">
        <x:v>Ava Taylor</x:v>
      </x:c>
      <x:c r="AJ646" t="str">
        <x:v>SPOUSE_PARTNER</x:v>
      </x:c>
      <x:c r="AK646" t="str">
        <x:v>+1 (415) 555-0131</x:v>
      </x:c>
    </x:row>
    <x:row r="647" ht="18" customHeight="1">
      <x:c r="A647" t="str">
        <x:v>DHR-00646</x:v>
      </x:c>
      <x:c r="B647" t="str">
        <x:v>Taylor Harris</x:v>
      </x:c>
      <x:c r="C647" t="str">
        <x:v>https://api.dicebear.com/9.x/adventurer/png?seed=DHR-00646-Taylor%20Harris&amp;size=256&amp;radius=50&amp;backgroundColor=b6e3f4,c0aede,d1d4f9,ffd5dc,ffdfbf</x:v>
      </x:c>
      <x:c r="D647" t="str">
        <x:v>taylor.harris.646@example.com</x:v>
      </x:c>
      <x:c r="E647" t="str">
        <x:v>+1 (704) 555-0145</x:v>
      </x:c>
      <x:c r="F647" t="str">
        <x:v>Charlotte, NC</x:v>
      </x:c>
      <x:c r="G647" t="str">
        <x:v>Charlotte</x:v>
      </x:c>
      <x:c r="H647" t="str">
        <x:v>NC</x:v>
      </x:c>
      <x:c r="I647" s="18" t="str">
        <x:v>28202</x:v>
      </x:c>
      <x:c r="J647" s="15" t="n">
        <x:v>23512.847059884258</x:v>
      </x:c>
      <x:c r="K647" t="n">
        <x:f>INT((DATE(2025,12,31)-J647)/365.25)</x:f>
        <x:v>61</x:v>
      </x:c>
      <x:c r="L647" t="str">
        <x:f>IF(K647&lt;25,"18-24",IF(K647&lt;35,"25-34",IF(K647&lt;45,"35-44",IF(K647&lt;55,"45-54","55+"))))</x:f>
        <x:v>55+</x:v>
      </x:c>
      <x:c r="M647" s="15" t="n">
        <x:v>45153.16106866898</x:v>
      </x:c>
      <x:c r="N647" t="n">
        <x:f>(YEAR(DATE(2025,12,31))-YEAR(M647))*12+MONTH(DATE(2025,12,31))-MONTH(M647)</x:f>
        <x:v>28</x:v>
      </x:c>
      <x:c r="O647" t="str">
        <x:v>PAUSED</x:v>
      </x:c>
      <x:c r="P647" t="str">
        <x:v>INDEPENDENT_CONTRACTOR</x:v>
      </x:c>
      <x:c r="Q647" t="str">
        <x:v>BICYCLE</x:v>
      </x:c>
      <x:c r="R647" t="str">
        <x:v>DINNER</x:v>
      </x:c>
      <x:c r="S647" t="n">
        <x:v>38</x:v>
      </x:c>
      <x:c r="T647" t="str">
        <x:v>CLEARED</x:v>
      </x:c>
      <x:c r="U647" t="str">
        <x:v>NOT_REQUIRED</x:v>
      </x:c>
      <x:c r="V647" s="16" t="n">
        <x:v>0.8741</x:v>
      </x:c>
      <x:c r="W647" t="str">
        <x:v>English</x:v>
      </x:c>
      <x:c r="X647" t="str">
        <x:v>Vietnamese</x:v>
      </x:c>
      <x:c r="Y647" t="n">
        <x:v>3440</x:v>
      </x:c>
      <x:c r="Z647" s="17" t="n">
        <x:v>4.8</x:v>
      </x:c>
      <x:c r="AA647" s="16" t="n">
        <x:v>0.8143</x:v>
      </x:c>
      <x:c r="AB647" s="16" t="n">
        <x:v>0.9826</x:v>
      </x:c>
      <x:c r="AC647" s="16" t="n">
        <x:v>0.8799</x:v>
      </x:c>
      <x:c r="AD647" t="n">
        <x:v>0</x:v>
      </x:c>
      <x:c r="AE647" t="str">
        <x:f>IF(O647&lt;&gt;"ACTIVE","NOT_RATED",IF(AND(Z647&gt;=4.8,AB647&gt;=0.97,AC647&gt;=0.93,AD647=0),"ELITE",IF(AND(Z647&gt;=4.6,AB647&gt;=0.94,AC647&gt;=0.88),"HIGH_PERFORMER",IF(OR(Z647&lt;4.2,AB647&lt;0.85,AD647&gt;=2),"AT_RISK","STANDARD"))))</x:f>
        <x:v>NOT_RATED</x:v>
      </x:c>
      <x:c r="AF647" s="15" t="n">
        <x:v>45988</x:v>
      </x:c>
      <x:c r="AG647" t="str">
        <x:v>VERIFIED</x:v>
      </x:c>
      <x:c r="AH647" t="str">
        <x:v>COMPLETE</x:v>
      </x:c>
      <x:c r="AI647" t="str">
        <x:v>Skyler Martinez</x:v>
      </x:c>
      <x:c r="AJ647" t="str">
        <x:v>SIBLING</x:v>
      </x:c>
      <x:c r="AK647" t="str">
        <x:v>+1 (704) 555-0138</x:v>
      </x:c>
    </x:row>
    <x:row r="648" ht="18" customHeight="1">
      <x:c r="A648" t="str">
        <x:v>DHR-00647</x:v>
      </x:c>
      <x:c r="B648" t="str">
        <x:v>Taylor Jackson</x:v>
      </x:c>
      <x:c r="C648" t="str">
        <x:v>https://api.dicebear.com/9.x/adventurer/png?seed=DHR-00647-Taylor%20Jackson&amp;size=256&amp;radius=50&amp;backgroundColor=b6e3f4,c0aede,d1d4f9,ffd5dc,ffdfbf</x:v>
      </x:c>
      <x:c r="D648" t="str">
        <x:v>taylor.jackson.647@example.com</x:v>
      </x:c>
      <x:c r="E648" t="str">
        <x:v>+1 (206) 555-0146</x:v>
      </x:c>
      <x:c r="F648" t="str">
        <x:v>Seattle, WA</x:v>
      </x:c>
      <x:c r="G648" t="str">
        <x:v>Seattle</x:v>
      </x:c>
      <x:c r="H648" t="str">
        <x:v>WA</x:v>
      </x:c>
      <x:c r="I648" s="18" t="str">
        <x:v>98101</x:v>
      </x:c>
      <x:c r="J648" s="15" t="n">
        <x:v>30573.98054789352</x:v>
      </x:c>
      <x:c r="K648" t="n">
        <x:f>INT((DATE(2025,12,31)-J648)/365.25)</x:f>
        <x:v>42</x:v>
      </x:c>
      <x:c r="L648" t="str">
        <x:f>IF(K648&lt;25,"18-24",IF(K648&lt;35,"25-34",IF(K648&lt;45,"35-44",IF(K648&lt;55,"45-54","55+"))))</x:f>
        <x:v>35-44</x:v>
      </x:c>
      <x:c r="M648" s="15" t="n">
        <x:v>43642.64027146991</x:v>
      </x:c>
      <x:c r="N648" t="n">
        <x:f>(YEAR(DATE(2025,12,31))-YEAR(M648))*12+MONTH(DATE(2025,12,31))-MONTH(M648)</x:f>
        <x:v>78</x:v>
      </x:c>
      <x:c r="O648" t="str">
        <x:v>PAUSED</x:v>
      </x:c>
      <x:c r="P648" t="str">
        <x:v>INDEPENDENT_CONTRACTOR</x:v>
      </x:c>
      <x:c r="Q648" t="str">
        <x:v>CAR</x:v>
      </x:c>
      <x:c r="R648" t="str">
        <x:v>WEEKENDS</x:v>
      </x:c>
      <x:c r="S648" t="n">
        <x:v>13</x:v>
      </x:c>
      <x:c r="T648" t="str">
        <x:v>CLEARED</x:v>
      </x:c>
      <x:c r="U648" t="str">
        <x:v>VALID</x:v>
      </x:c>
      <x:c r="V648" s="16" t="n">
        <x:v>0.7828</x:v>
      </x:c>
      <x:c r="W648" t="str">
        <x:v>Portuguese</x:v>
      </x:c>
      <x:c r="X648"/>
      <x:c r="Y648" t="n">
        <x:v>3914</x:v>
      </x:c>
      <x:c r="Z648" s="17" t="n">
        <x:v>4.69</x:v>
      </x:c>
      <x:c r="AA648" s="16" t="n">
        <x:v>0.7118</x:v>
      </x:c>
      <x:c r="AB648" s="16" t="n">
        <x:v>0.9671</x:v>
      </x:c>
      <x:c r="AC648" s="16" t="n">
        <x:v>0.9534</x:v>
      </x:c>
      <x:c r="AD648" t="n">
        <x:v>0</x:v>
      </x:c>
      <x:c r="AE648" t="str">
        <x:f>IF(O648&lt;&gt;"ACTIVE","NOT_RATED",IF(AND(Z648&gt;=4.8,AB648&gt;=0.97,AC648&gt;=0.93,AD648=0),"ELITE",IF(AND(Z648&gt;=4.6,AB648&gt;=0.94,AC648&gt;=0.88),"HIGH_PERFORMER",IF(OR(Z648&lt;4.2,AB648&lt;0.85,AD648&gt;=2),"AT_RISK","STANDARD"))))</x:f>
        <x:v>NOT_RATED</x:v>
      </x:c>
      <x:c r="AF648" s="15" t="n">
        <x:v>45950</x:v>
      </x:c>
      <x:c r="AG648" t="str">
        <x:v>VERIFIED</x:v>
      </x:c>
      <x:c r="AH648" t="str">
        <x:v>PENDING</x:v>
      </x:c>
      <x:c r="AI648" t="str">
        <x:v>Sam Moore</x:v>
      </x:c>
      <x:c r="AJ648" t="str">
        <x:v>PARENT</x:v>
      </x:c>
      <x:c r="AK648" t="str">
        <x:v>+1 (206) 555-0145</x:v>
      </x:c>
    </x:row>
    <x:row r="649" ht="18" customHeight="1">
      <x:c r="A649" t="str">
        <x:v>DHR-00648</x:v>
      </x:c>
      <x:c r="B649" t="str">
        <x:v>Taylor Johnson</x:v>
      </x:c>
      <x:c r="C649" t="str">
        <x:v>https://api.dicebear.com/9.x/adventurer/png?seed=DHR-00648-Taylor%20Johnson&amp;size=256&amp;radius=50&amp;backgroundColor=b6e3f4,c0aede,d1d4f9,ffd5dc,ffdfbf</x:v>
      </x:c>
      <x:c r="D649" t="str">
        <x:v>taylor.johnson.648@example.com</x:v>
      </x:c>
      <x:c r="E649" t="str">
        <x:v>+1 (215) 555-0147</x:v>
      </x:c>
      <x:c r="F649" t="str">
        <x:v>Philadelphia, PA</x:v>
      </x:c>
      <x:c r="G649" t="str">
        <x:v>Philadelphia</x:v>
      </x:c>
      <x:c r="H649" t="str">
        <x:v>PA</x:v>
      </x:c>
      <x:c r="I649" s="18" t="str">
        <x:v>19103</x:v>
      </x:c>
      <x:c r="J649" s="15" t="n">
        <x:v>33077.07483118056</x:v>
      </x:c>
      <x:c r="K649" t="n">
        <x:f>INT((DATE(2025,12,31)-J649)/365.25)</x:f>
        <x:v>35</x:v>
      </x:c>
      <x:c r="L649" t="str">
        <x:f>IF(K649&lt;25,"18-24",IF(K649&lt;35,"25-34",IF(K649&lt;45,"35-44",IF(K649&lt;55,"45-54","55+"))))</x:f>
        <x:v>35-44</x:v>
      </x:c>
      <x:c r="M649" s="15" t="n">
        <x:v>45097.12391780093</x:v>
      </x:c>
      <x:c r="N649" t="n">
        <x:f>(YEAR(DATE(2025,12,31))-YEAR(M649))*12+MONTH(DATE(2025,12,31))-MONTH(M649)</x:f>
        <x:v>30</x:v>
      </x:c>
      <x:c r="O649" t="str">
        <x:v>ACTIVE</x:v>
      </x:c>
      <x:c r="P649" t="str">
        <x:v>INDEPENDENT_CONTRACTOR</x:v>
      </x:c>
      <x:c r="Q649" t="str">
        <x:v>CAR</x:v>
      </x:c>
      <x:c r="R649" t="str">
        <x:v>FLEXIBLE</x:v>
      </x:c>
      <x:c r="S649" t="n">
        <x:v>48</x:v>
      </x:c>
      <x:c r="T649" t="str">
        <x:v>CLEARED</x:v>
      </x:c>
      <x:c r="U649" t="str">
        <x:v>VALID</x:v>
      </x:c>
      <x:c r="V649" s="16" t="n">
        <x:v>0.8448</x:v>
      </x:c>
      <x:c r="W649" t="str">
        <x:v>Spanish</x:v>
      </x:c>
      <x:c r="X649" t="str">
        <x:v>English</x:v>
      </x:c>
      <x:c r="Y649" t="n">
        <x:v>3818</x:v>
      </x:c>
      <x:c r="Z649" s="17" t="n">
        <x:v>4.52</x:v>
      </x:c>
      <x:c r="AA649" s="16" t="n">
        <x:v>0.9416</x:v>
      </x:c>
      <x:c r="AB649" s="16" t="n">
        <x:v>0.9648</x:v>
      </x:c>
      <x:c r="AC649" s="16" t="n">
        <x:v>0.8947</x:v>
      </x:c>
      <x:c r="AD649" t="n">
        <x:v>0</x:v>
      </x:c>
      <x:c r="AE649" t="str">
        <x:f>IF(O649&lt;&gt;"ACTIVE","NOT_RATED",IF(AND(Z649&gt;=4.8,AB649&gt;=0.97,AC649&gt;=0.93,AD649=0),"ELITE",IF(AND(Z649&gt;=4.6,AB649&gt;=0.94,AC649&gt;=0.88),"HIGH_PERFORMER",IF(OR(Z649&lt;4.2,AB649&lt;0.85,AD649&gt;=2),"AT_RISK","STANDARD"))))</x:f>
        <x:v>STANDARD</x:v>
      </x:c>
      <x:c r="AF649" s="15" t="n">
        <x:v>46018</x:v>
      </x:c>
      <x:c r="AG649" t="str">
        <x:v>VERIFIED</x:v>
      </x:c>
      <x:c r="AH649" t="str">
        <x:v>COMPLETE</x:v>
      </x:c>
      <x:c r="AI649" t="str">
        <x:v>Reese Brown</x:v>
      </x:c>
      <x:c r="AJ649" t="str">
        <x:v>SPOUSE_PARTNER</x:v>
      </x:c>
      <x:c r="AK649" t="str">
        <x:v>+1 (215) 555-0152</x:v>
      </x:c>
    </x:row>
    <x:row r="650" ht="18" customHeight="1">
      <x:c r="A650" t="str">
        <x:v>DHR-00649</x:v>
      </x:c>
      <x:c r="B650" t="str">
        <x:v>Taylor Lee</x:v>
      </x:c>
      <x:c r="C650" t="str">
        <x:v>https://api.dicebear.com/9.x/adventurer/png?seed=DHR-00649-Taylor%20Lee&amp;size=256&amp;radius=50&amp;backgroundColor=b6e3f4,c0aede,d1d4f9,ffd5dc,ffdfbf</x:v>
      </x:c>
      <x:c r="D650" t="str">
        <x:v>taylor.lee.649@example.com</x:v>
      </x:c>
      <x:c r="E650" t="str">
        <x:v>+1 (612) 555-0148</x:v>
      </x:c>
      <x:c r="F650" t="str">
        <x:v>Minneapolis, MN</x:v>
      </x:c>
      <x:c r="G650" t="str">
        <x:v>Minneapolis</x:v>
      </x:c>
      <x:c r="H650" t="str">
        <x:v>MN</x:v>
      </x:c>
      <x:c r="I650" s="18" t="str">
        <x:v>55401</x:v>
      </x:c>
      <x:c r="J650" s="15" t="n">
        <x:v>37150.54842613426</x:v>
      </x:c>
      <x:c r="K650" t="n">
        <x:f>INT((DATE(2025,12,31)-J650)/365.25)</x:f>
        <x:v>24</x:v>
      </x:c>
      <x:c r="L650" t="str">
        <x:f>IF(K650&lt;25,"18-24",IF(K650&lt;35,"25-34",IF(K650&lt;45,"35-44",IF(K650&lt;55,"45-54","55+"))))</x:f>
        <x:v>18-24</x:v>
      </x:c>
      <x:c r="M650" s="15" t="n">
        <x:v>44779.749485</x:v>
      </x:c>
      <x:c r="N650" t="n">
        <x:f>(YEAR(DATE(2025,12,31))-YEAR(M650))*12+MONTH(DATE(2025,12,31))-MONTH(M650)</x:f>
        <x:v>40</x:v>
      </x:c>
      <x:c r="O650" t="str">
        <x:v>ACTIVE</x:v>
      </x:c>
      <x:c r="P650" t="str">
        <x:v>INDEPENDENT_CONTRACTOR</x:v>
      </x:c>
      <x:c r="Q650" t="str">
        <x:v>BICYCLE</x:v>
      </x:c>
      <x:c r="R650" t="str">
        <x:v>LUNCH</x:v>
      </x:c>
      <x:c r="S650" t="n">
        <x:v>21</x:v>
      </x:c>
      <x:c r="T650" t="str">
        <x:v>PENDING</x:v>
      </x:c>
      <x:c r="U650" t="str">
        <x:v>NOT_REQUIRED</x:v>
      </x:c>
      <x:c r="V650" s="16" t="n">
        <x:v>0.7995</x:v>
      </x:c>
      <x:c r="W650" t="str">
        <x:v>English</x:v>
      </x:c>
      <x:c r="X650" t="str">
        <x:v>Spanish</x:v>
      </x:c>
      <x:c r="Y650" t="n">
        <x:v>1941</x:v>
      </x:c>
      <x:c r="Z650" s="17" t="n">
        <x:v>4.52</x:v>
      </x:c>
      <x:c r="AA650" s="16" t="n">
        <x:v>0.7636</x:v>
      </x:c>
      <x:c r="AB650" s="16" t="n">
        <x:v>0.9978</x:v>
      </x:c>
      <x:c r="AC650" s="16" t="n">
        <x:v>0.8537</x:v>
      </x:c>
      <x:c r="AD650" t="n">
        <x:v>0</x:v>
      </x:c>
      <x:c r="AE650" t="str">
        <x:f>IF(O650&lt;&gt;"ACTIVE","NOT_RATED",IF(AND(Z650&gt;=4.8,AB650&gt;=0.97,AC650&gt;=0.93,AD650=0),"ELITE",IF(AND(Z650&gt;=4.6,AB650&gt;=0.94,AC650&gt;=0.88),"HIGH_PERFORMER",IF(OR(Z650&lt;4.2,AB650&lt;0.85,AD650&gt;=2),"AT_RISK","STANDARD"))))</x:f>
        <x:v>STANDARD</x:v>
      </x:c>
      <x:c r="AF650" s="15" t="n">
        <x:v>46018</x:v>
      </x:c>
      <x:c r="AG650" t="str">
        <x:v>VERIFIED</x:v>
      </x:c>
      <x:c r="AH650" t="str">
        <x:v>COMPLETE</x:v>
      </x:c>
      <x:c r="AI650" t="str">
        <x:v>Ethan Williams</x:v>
      </x:c>
      <x:c r="AJ650" t="str">
        <x:v>PARENT</x:v>
      </x:c>
      <x:c r="AK650" t="str">
        <x:v>+1 (612) 555-0159</x:v>
      </x:c>
    </x:row>
    <x:row r="651" ht="18" customHeight="1">
      <x:c r="A651" t="str">
        <x:v>DHR-00650</x:v>
      </x:c>
      <x:c r="B651" t="str">
        <x:v>Taylor Martinez</x:v>
      </x:c>
      <x:c r="C651" t="str">
        <x:v>https://api.dicebear.com/9.x/adventurer/png?seed=DHR-00650-Taylor%20Martinez&amp;size=256&amp;radius=50&amp;backgroundColor=b6e3f4,c0aede,d1d4f9,ffd5dc,ffdfbf</x:v>
      </x:c>
      <x:c r="D651" t="str">
        <x:v>taylor.martinez.650@example.com</x:v>
      </x:c>
      <x:c r="E651" t="str">
        <x:v>+1 (614) 555-0149</x:v>
      </x:c>
      <x:c r="F651" t="str">
        <x:v>Columbus, OH</x:v>
      </x:c>
      <x:c r="G651" t="str">
        <x:v>Columbus</x:v>
      </x:c>
      <x:c r="H651" t="str">
        <x:v>OH</x:v>
      </x:c>
      <x:c r="I651" s="18" t="str">
        <x:v>43215</x:v>
      </x:c>
      <x:c r="J651" s="15" t="n">
        <x:v>31905.867785034723</x:v>
      </x:c>
      <x:c r="K651" t="n">
        <x:f>INT((DATE(2025,12,31)-J651)/365.25)</x:f>
        <x:v>38</x:v>
      </x:c>
      <x:c r="L651" t="str">
        <x:f>IF(K651&lt;25,"18-24",IF(K651&lt;35,"25-34",IF(K651&lt;45,"35-44",IF(K651&lt;55,"45-54","55+"))))</x:f>
        <x:v>35-44</x:v>
      </x:c>
      <x:c r="M651" s="15" t="n">
        <x:v>45977.6228337963</x:v>
      </x:c>
      <x:c r="N651" t="n">
        <x:f>(YEAR(DATE(2025,12,31))-YEAR(M651))*12+MONTH(DATE(2025,12,31))-MONTH(M651)</x:f>
        <x:v>1</x:v>
      </x:c>
      <x:c r="O651" t="str">
        <x:v>ACTIVE</x:v>
      </x:c>
      <x:c r="P651" t="str">
        <x:v>INDEPENDENT_CONTRACTOR</x:v>
      </x:c>
      <x:c r="Q651" t="str">
        <x:v>CAR</x:v>
      </x:c>
      <x:c r="R651" t="str">
        <x:v>DINNER</x:v>
      </x:c>
      <x:c r="S651" t="n">
        <x:v>45</x:v>
      </x:c>
      <x:c r="T651" t="str">
        <x:v>CLEARED</x:v>
      </x:c>
      <x:c r="U651" t="str">
        <x:v>VALID</x:v>
      </x:c>
      <x:c r="V651" s="16" t="n">
        <x:v>0.8093</x:v>
      </x:c>
      <x:c r="W651" t="str">
        <x:v>English</x:v>
      </x:c>
      <x:c r="X651"/>
      <x:c r="Y651" t="n">
        <x:v>189</x:v>
      </x:c>
      <x:c r="Z651" s="17" t="n">
        <x:v>4.84</x:v>
      </x:c>
      <x:c r="AA651" s="16" t="n">
        <x:v>0.8871</x:v>
      </x:c>
      <x:c r="AB651" s="16" t="n">
        <x:v>0.9078</x:v>
      </x:c>
      <x:c r="AC651" s="16" t="n">
        <x:v>0.8403</x:v>
      </x:c>
      <x:c r="AD651" t="n">
        <x:v>0</x:v>
      </x:c>
      <x:c r="AE651" t="str">
        <x:f>IF(O651&lt;&gt;"ACTIVE","NOT_RATED",IF(AND(Z651&gt;=4.8,AB651&gt;=0.97,AC651&gt;=0.93,AD651=0),"ELITE",IF(AND(Z651&gt;=4.6,AB651&gt;=0.94,AC651&gt;=0.88),"HIGH_PERFORMER",IF(OR(Z651&lt;4.2,AB651&lt;0.85,AD651&gt;=2),"AT_RISK","STANDARD"))))</x:f>
        <x:v>STANDARD</x:v>
      </x:c>
      <x:c r="AF651" s="15" t="n">
        <x:v>46022</x:v>
      </x:c>
      <x:c r="AG651" t="str">
        <x:v>VERIFIED</x:v>
      </x:c>
      <x:c r="AH651" t="str">
        <x:v>COMPLETE</x:v>
      </x:c>
      <x:c r="AI651" t="str">
        <x:v>Quinn Young</x:v>
      </x:c>
      <x:c r="AJ651" t="str">
        <x:v>SPOUSE_PARTNER</x:v>
      </x:c>
      <x:c r="AK651" t="str">
        <x:v>+1 (614) 555-0166</x:v>
      </x:c>
    </x:row>
    <x:row r="652" ht="18" customHeight="1">
      <x:c r="A652" t="str">
        <x:v>DHR-00651</x:v>
      </x:c>
      <x:c r="B652" t="str">
        <x:v>Taylor Miller</x:v>
      </x:c>
      <x:c r="C652" t="str">
        <x:v>https://api.dicebear.com/9.x/adventurer/png?seed=DHR-00651-Taylor%20Miller&amp;size=256&amp;radius=50&amp;backgroundColor=b6e3f4,c0aede,d1d4f9,ffd5dc,ffdfbf</x:v>
      </x:c>
      <x:c r="D652" t="str">
        <x:v>taylor.miller.651@example.com</x:v>
      </x:c>
      <x:c r="E652" t="str">
        <x:v>+1 (214) 555-0150</x:v>
      </x:c>
      <x:c r="F652" t="str">
        <x:v>Dallas, TX</x:v>
      </x:c>
      <x:c r="G652" t="str">
        <x:v>Dallas</x:v>
      </x:c>
      <x:c r="H652" t="str">
        <x:v>TX</x:v>
      </x:c>
      <x:c r="I652" s="18" t="str">
        <x:v>75201</x:v>
      </x:c>
      <x:c r="J652" s="15" t="n">
        <x:v>33055.610746875</x:v>
      </x:c>
      <x:c r="K652" t="n">
        <x:f>INT((DATE(2025,12,31)-J652)/365.25)</x:f>
        <x:v>35</x:v>
      </x:c>
      <x:c r="L652" t="str">
        <x:f>IF(K652&lt;25,"18-24",IF(K652&lt;35,"25-34",IF(K652&lt;45,"35-44",IF(K652&lt;55,"45-54","55+"))))</x:f>
        <x:v>35-44</x:v>
      </x:c>
      <x:c r="M652" s="15" t="n">
        <x:v>44098.34776430555</x:v>
      </x:c>
      <x:c r="N652" t="n">
        <x:f>(YEAR(DATE(2025,12,31))-YEAR(M652))*12+MONTH(DATE(2025,12,31))-MONTH(M652)</x:f>
        <x:v>63</x:v>
      </x:c>
      <x:c r="O652" t="str">
        <x:v>ACTIVE</x:v>
      </x:c>
      <x:c r="P652" t="str">
        <x:v>INDEPENDENT_CONTRACTOR</x:v>
      </x:c>
      <x:c r="Q652" t="str">
        <x:v>E_BIKE</x:v>
      </x:c>
      <x:c r="R652" t="str">
        <x:v>FLEXIBLE</x:v>
      </x:c>
      <x:c r="S652" t="n">
        <x:v>40</x:v>
      </x:c>
      <x:c r="T652" t="str">
        <x:v>CLEARED</x:v>
      </x:c>
      <x:c r="U652" t="str">
        <x:v>NOT_REQUIRED</x:v>
      </x:c>
      <x:c r="V652" s="16" t="n">
        <x:v>0.9509</x:v>
      </x:c>
      <x:c r="W652" t="str">
        <x:v>English</x:v>
      </x:c>
      <x:c r="X652" t="str">
        <x:v>Spanish</x:v>
      </x:c>
      <x:c r="Y652" t="n">
        <x:v>7220</x:v>
      </x:c>
      <x:c r="Z652" s="17" t="n">
        <x:v>4.41</x:v>
      </x:c>
      <x:c r="AA652" s="16" t="n">
        <x:v>0.7342</x:v>
      </x:c>
      <x:c r="AB652" s="16" t="n">
        <x:v>0.9186</x:v>
      </x:c>
      <x:c r="AC652" s="16" t="n">
        <x:v>0.9647</x:v>
      </x:c>
      <x:c r="AD652" t="n">
        <x:v>0</x:v>
      </x:c>
      <x:c r="AE652" t="str">
        <x:f>IF(O652&lt;&gt;"ACTIVE","NOT_RATED",IF(AND(Z652&gt;=4.8,AB652&gt;=0.97,AC652&gt;=0.93,AD652=0),"ELITE",IF(AND(Z652&gt;=4.6,AB652&gt;=0.94,AC652&gt;=0.88),"HIGH_PERFORMER",IF(OR(Z652&lt;4.2,AB652&lt;0.85,AD652&gt;=2),"AT_RISK","STANDARD"))))</x:f>
        <x:v>STANDARD</x:v>
      </x:c>
      <x:c r="AF652" s="15" t="n">
        <x:v>46010</x:v>
      </x:c>
      <x:c r="AG652" t="str">
        <x:v>VERIFIED</x:v>
      </x:c>
      <x:c r="AH652" t="str">
        <x:v>COMPLETE</x:v>
      </x:c>
      <x:c r="AI652" t="str">
        <x:v>Hayden Perez</x:v>
      </x:c>
      <x:c r="AJ652" t="str">
        <x:v>SIBLING</x:v>
      </x:c>
      <x:c r="AK652" t="str">
        <x:v>+1 (214) 555-0173</x:v>
      </x:c>
    </x:row>
    <x:row r="653" ht="18" customHeight="1">
      <x:c r="A653" t="str">
        <x:v>DHR-00652</x:v>
      </x:c>
      <x:c r="B653" t="str">
        <x:v>Taylor Moore</x:v>
      </x:c>
      <x:c r="C653" t="str">
        <x:v>https://api.dicebear.com/9.x/adventurer/png?seed=DHR-00652-Taylor%20Moore&amp;size=256&amp;radius=50&amp;backgroundColor=b6e3f4,c0aede,d1d4f9,ffd5dc,ffdfbf</x:v>
      </x:c>
      <x:c r="D653" t="str">
        <x:v>taylor.moore.652@example.com</x:v>
      </x:c>
      <x:c r="E653" t="str">
        <x:v>+1 (215) 555-0151</x:v>
      </x:c>
      <x:c r="F653" t="str">
        <x:v>Philadelphia, PA</x:v>
      </x:c>
      <x:c r="G653" t="str">
        <x:v>Philadelphia</x:v>
      </x:c>
      <x:c r="H653" t="str">
        <x:v>PA</x:v>
      </x:c>
      <x:c r="I653" s="18" t="str">
        <x:v>19103</x:v>
      </x:c>
      <x:c r="J653" s="15" t="n">
        <x:v>23634.51206212963</x:v>
      </x:c>
      <x:c r="K653" t="n">
        <x:f>INT((DATE(2025,12,31)-J653)/365.25)</x:f>
        <x:v>61</x:v>
      </x:c>
      <x:c r="L653" t="str">
        <x:f>IF(K653&lt;25,"18-24",IF(K653&lt;35,"25-34",IF(K653&lt;45,"35-44",IF(K653&lt;55,"45-54","55+"))))</x:f>
        <x:v>55+</x:v>
      </x:c>
      <x:c r="M653" s="15" t="n">
        <x:v>44858.39120834491</x:v>
      </x:c>
      <x:c r="N653" t="n">
        <x:f>(YEAR(DATE(2025,12,31))-YEAR(M653))*12+MONTH(DATE(2025,12,31))-MONTH(M653)</x:f>
        <x:v>38</x:v>
      </x:c>
      <x:c r="O653" t="str">
        <x:v>ACTIVE</x:v>
      </x:c>
      <x:c r="P653" t="str">
        <x:v>INDEPENDENT_CONTRACTOR</x:v>
      </x:c>
      <x:c r="Q653" t="str">
        <x:v>CAR</x:v>
      </x:c>
      <x:c r="R653" t="str">
        <x:v>LUNCH</x:v>
      </x:c>
      <x:c r="S653" t="n">
        <x:v>13</x:v>
      </x:c>
      <x:c r="T653" t="str">
        <x:v>CLEARED</x:v>
      </x:c>
      <x:c r="U653" t="str">
        <x:v>VALID</x:v>
      </x:c>
      <x:c r="V653" s="16" t="n">
        <x:v>0.8039</x:v>
      </x:c>
      <x:c r="W653" t="str">
        <x:v>English</x:v>
      </x:c>
      <x:c r="X653"/>
      <x:c r="Y653" t="n">
        <x:v>1417</x:v>
      </x:c>
      <x:c r="Z653" s="17" t="n">
        <x:v>4.86</x:v>
      </x:c>
      <x:c r="AA653" s="16" t="n">
        <x:v>0.9239</x:v>
      </x:c>
      <x:c r="AB653" s="16" t="n">
        <x:v>0.9552</x:v>
      </x:c>
      <x:c r="AC653" s="16" t="n">
        <x:v>0.9264</x:v>
      </x:c>
      <x:c r="AD653" t="n">
        <x:v>0</x:v>
      </x:c>
      <x:c r="AE653" t="str">
        <x:f>IF(O653&lt;&gt;"ACTIVE","NOT_RATED",IF(AND(Z653&gt;=4.8,AB653&gt;=0.97,AC653&gt;=0.93,AD653=0),"ELITE",IF(AND(Z653&gt;=4.6,AB653&gt;=0.94,AC653&gt;=0.88),"HIGH_PERFORMER",IF(OR(Z653&lt;4.2,AB653&lt;0.85,AD653&gt;=2),"AT_RISK","STANDARD"))))</x:f>
        <x:v>HIGH_PERFORMER</x:v>
      </x:c>
      <x:c r="AF653" s="15" t="n">
        <x:v>46015</x:v>
      </x:c>
      <x:c r="AG653" t="str">
        <x:v>VERIFIED</x:v>
      </x:c>
      <x:c r="AH653" t="str">
        <x:v>COMPLETE</x:v>
      </x:c>
      <x:c r="AI653" t="str">
        <x:v>Chris Lee</x:v>
      </x:c>
      <x:c r="AJ653" t="str">
        <x:v>FRIEND</x:v>
      </x:c>
      <x:c r="AK653" t="str">
        <x:v>+1 (215) 555-0180</x:v>
      </x:c>
    </x:row>
    <x:row r="654" ht="18" customHeight="1">
      <x:c r="A654" t="str">
        <x:v>DHR-00653</x:v>
      </x:c>
      <x:c r="B654" t="str">
        <x:v>Taylor Perez</x:v>
      </x:c>
      <x:c r="C654" t="str">
        <x:v>https://api.dicebear.com/9.x/adventurer/png?seed=DHR-00653-Taylor%20Perez&amp;size=256&amp;radius=50&amp;backgroundColor=b6e3f4,c0aede,d1d4f9,ffd5dc,ffdfbf</x:v>
      </x:c>
      <x:c r="D654" t="str">
        <x:v>taylor.perez.653@example.com</x:v>
      </x:c>
      <x:c r="E654" t="str">
        <x:v>+1 (212) 555-0152</x:v>
      </x:c>
      <x:c r="F654" t="str">
        <x:v>New York, NY</x:v>
      </x:c>
      <x:c r="G654" t="str">
        <x:v>New York</x:v>
      </x:c>
      <x:c r="H654" t="str">
        <x:v>NY</x:v>
      </x:c>
      <x:c r="I654" s="18" t="str">
        <x:v>10001</x:v>
      </x:c>
      <x:c r="J654" s="15" t="n">
        <x:v>23585.72543684028</x:v>
      </x:c>
      <x:c r="K654" t="n">
        <x:f>INT((DATE(2025,12,31)-J654)/365.25)</x:f>
        <x:v>61</x:v>
      </x:c>
      <x:c r="L654" t="str">
        <x:f>IF(K654&lt;25,"18-24",IF(K654&lt;35,"25-34",IF(K654&lt;45,"35-44",IF(K654&lt;55,"45-54","55+"))))</x:f>
        <x:v>55+</x:v>
      </x:c>
      <x:c r="M654" s="15" t="n">
        <x:v>44755.192749560185</x:v>
      </x:c>
      <x:c r="N654" t="n">
        <x:f>(YEAR(DATE(2025,12,31))-YEAR(M654))*12+MONTH(DATE(2025,12,31))-MONTH(M654)</x:f>
        <x:v>41</x:v>
      </x:c>
      <x:c r="O654" t="str">
        <x:v>ACTIVE</x:v>
      </x:c>
      <x:c r="P654" t="str">
        <x:v>INDEPENDENT_CONTRACTOR</x:v>
      </x:c>
      <x:c r="Q654" t="str">
        <x:v>SCOOTER</x:v>
      </x:c>
      <x:c r="R654" t="str">
        <x:v>FLEXIBLE</x:v>
      </x:c>
      <x:c r="S654" t="n">
        <x:v>26</x:v>
      </x:c>
      <x:c r="T654" t="str">
        <x:v>CLEARED</x:v>
      </x:c>
      <x:c r="U654" t="str">
        <x:v>VALID</x:v>
      </x:c>
      <x:c r="V654" s="16" t="n">
        <x:v>0.9426</x:v>
      </x:c>
      <x:c r="W654" t="str">
        <x:v>English</x:v>
      </x:c>
      <x:c r="X654"/>
      <x:c r="Y654" t="n">
        <x:v>2264</x:v>
      </x:c>
      <x:c r="Z654" s="17" t="n">
        <x:v>4.57</x:v>
      </x:c>
      <x:c r="AA654" s="16" t="n">
        <x:v>0.7369</x:v>
      </x:c>
      <x:c r="AB654" s="16" t="n">
        <x:v>0.9188</x:v>
      </x:c>
      <x:c r="AC654" s="16" t="n">
        <x:v>0.8771</x:v>
      </x:c>
      <x:c r="AD654" t="n">
        <x:v>0</x:v>
      </x:c>
      <x:c r="AE654" t="str">
        <x:f>IF(O654&lt;&gt;"ACTIVE","NOT_RATED",IF(AND(Z654&gt;=4.8,AB654&gt;=0.97,AC654&gt;=0.93,AD654=0),"ELITE",IF(AND(Z654&gt;=4.6,AB654&gt;=0.94,AC654&gt;=0.88),"HIGH_PERFORMER",IF(OR(Z654&lt;4.2,AB654&lt;0.85,AD654&gt;=2),"AT_RISK","STANDARD"))))</x:f>
        <x:v>STANDARD</x:v>
      </x:c>
      <x:c r="AF654" s="15" t="n">
        <x:v>46010</x:v>
      </x:c>
      <x:c r="AG654" t="str">
        <x:v>VERIFIED</x:v>
      </x:c>
      <x:c r="AH654" t="str">
        <x:v>COMPLETE</x:v>
      </x:c>
      <x:c r="AI654" t="str">
        <x:v>Robin Walker</x:v>
      </x:c>
      <x:c r="AJ654" t="str">
        <x:v>SPOUSE_PARTNER</x:v>
      </x:c>
      <x:c r="AK654" t="str">
        <x:v>+1 (212) 555-0187</x:v>
      </x:c>
    </x:row>
    <x:row r="655" ht="18" customHeight="1">
      <x:c r="A655" t="str">
        <x:v>DHR-00654</x:v>
      </x:c>
      <x:c r="B655" t="str">
        <x:v>Taylor Rodriguez</x:v>
      </x:c>
      <x:c r="C655" t="str">
        <x:v>https://api.dicebear.com/9.x/adventurer/png?seed=DHR-00654-Taylor%20Rodriguez&amp;size=256&amp;radius=50&amp;backgroundColor=b6e3f4,c0aede,d1d4f9,ffd5dc,ffdfbf</x:v>
      </x:c>
      <x:c r="D655" t="str">
        <x:v>taylor.rodriguez.654@example.com</x:v>
      </x:c>
      <x:c r="E655" t="str">
        <x:v>+1 (415) 555-0153</x:v>
      </x:c>
      <x:c r="F655" t="str">
        <x:v>San Francisco, CA</x:v>
      </x:c>
      <x:c r="G655" t="str">
        <x:v>San Francisco</x:v>
      </x:c>
      <x:c r="H655" t="str">
        <x:v>CA</x:v>
      </x:c>
      <x:c r="I655" s="18" t="str">
        <x:v>94103</x:v>
      </x:c>
      <x:c r="J655" s="15" t="n">
        <x:v>31799.55642890046</x:v>
      </x:c>
      <x:c r="K655" t="n">
        <x:f>INT((DATE(2025,12,31)-J655)/365.25)</x:f>
        <x:v>38</x:v>
      </x:c>
      <x:c r="L655" t="str">
        <x:f>IF(K655&lt;25,"18-24",IF(K655&lt;35,"25-34",IF(K655&lt;45,"35-44",IF(K655&lt;55,"45-54","55+"))))</x:f>
        <x:v>35-44</x:v>
      </x:c>
      <x:c r="M655" s="15" t="n">
        <x:v>44184.39903857639</x:v>
      </x:c>
      <x:c r="N655" t="n">
        <x:f>(YEAR(DATE(2025,12,31))-YEAR(M655))*12+MONTH(DATE(2025,12,31))-MONTH(M655)</x:f>
        <x:v>60</x:v>
      </x:c>
      <x:c r="O655" t="str">
        <x:v>ACTIVE</x:v>
      </x:c>
      <x:c r="P655" t="str">
        <x:v>INDEPENDENT_CONTRACTOR</x:v>
      </x:c>
      <x:c r="Q655" t="str">
        <x:v>E_BIKE</x:v>
      </x:c>
      <x:c r="R655" t="str">
        <x:v>DINNER</x:v>
      </x:c>
      <x:c r="S655" t="n">
        <x:v>19</x:v>
      </x:c>
      <x:c r="T655" t="str">
        <x:v>CLEARED</x:v>
      </x:c>
      <x:c r="U655" t="str">
        <x:v>NOT_REQUIRED</x:v>
      </x:c>
      <x:c r="V655" s="16" t="n">
        <x:v>0.8821</x:v>
      </x:c>
      <x:c r="W655" t="str">
        <x:v>English</x:v>
      </x:c>
      <x:c r="X655"/>
      <x:c r="Y655" t="n">
        <x:v>2669</x:v>
      </x:c>
      <x:c r="Z655" s="17" t="n">
        <x:v>4.72</x:v>
      </x:c>
      <x:c r="AA655" s="16" t="n">
        <x:v>0.6452</x:v>
      </x:c>
      <x:c r="AB655" s="16" t="n">
        <x:v>0.9257</x:v>
      </x:c>
      <x:c r="AC655" s="16" t="n">
        <x:v>0.8263</x:v>
      </x:c>
      <x:c r="AD655" t="n">
        <x:v>0</x:v>
      </x:c>
      <x:c r="AE655" t="str">
        <x:f>IF(O655&lt;&gt;"ACTIVE","NOT_RATED",IF(AND(Z655&gt;=4.8,AB655&gt;=0.97,AC655&gt;=0.93,AD655=0),"ELITE",IF(AND(Z655&gt;=4.6,AB655&gt;=0.94,AC655&gt;=0.88),"HIGH_PERFORMER",IF(OR(Z655&lt;4.2,AB655&lt;0.85,AD655&gt;=2),"AT_RISK","STANDARD"))))</x:f>
        <x:v>STANDARD</x:v>
      </x:c>
      <x:c r="AF655" s="15" t="n">
        <x:v>46010</x:v>
      </x:c>
      <x:c r="AG655" t="str">
        <x:v>VERIFIED</x:v>
      </x:c>
      <x:c r="AH655" t="str">
        <x:v>COMPLETE</x:v>
      </x:c>
      <x:c r="AI655" t="str">
        <x:v>Chris Jackson</x:v>
      </x:c>
      <x:c r="AJ655" t="str">
        <x:v>PARENT</x:v>
      </x:c>
      <x:c r="AK655" t="str">
        <x:v>+1 (415) 555-0194</x:v>
      </x:c>
    </x:row>
    <x:row r="656" ht="18" customHeight="1">
      <x:c r="A656" t="str">
        <x:v>DHR-00655</x:v>
      </x:c>
      <x:c r="B656" t="str">
        <x:v>Taylor Taylor</x:v>
      </x:c>
      <x:c r="C656" t="str">
        <x:v>https://api.dicebear.com/9.x/adventurer/png?seed=DHR-00655-Taylor%20Taylor&amp;size=256&amp;radius=50&amp;backgroundColor=b6e3f4,c0aede,d1d4f9,ffd5dc,ffdfbf</x:v>
      </x:c>
      <x:c r="D656" t="str">
        <x:v>taylor.taylor.655@example.com</x:v>
      </x:c>
      <x:c r="E656" t="str">
        <x:v>+1 (415) 555-0154</x:v>
      </x:c>
      <x:c r="F656" t="str">
        <x:v>San Francisco, CA</x:v>
      </x:c>
      <x:c r="G656" t="str">
        <x:v>San Francisco</x:v>
      </x:c>
      <x:c r="H656" t="str">
        <x:v>CA</x:v>
      </x:c>
      <x:c r="I656" s="18" t="str">
        <x:v>94103</x:v>
      </x:c>
      <x:c r="J656" s="15" t="n">
        <x:v>30326.963968680557</x:v>
      </x:c>
      <x:c r="K656" t="n">
        <x:f>INT((DATE(2025,12,31)-J656)/365.25)</x:f>
        <x:v>42</x:v>
      </x:c>
      <x:c r="L656" t="str">
        <x:f>IF(K656&lt;25,"18-24",IF(K656&lt;35,"25-34",IF(K656&lt;45,"35-44",IF(K656&lt;55,"45-54","55+"))))</x:f>
        <x:v>35-44</x:v>
      </x:c>
      <x:c r="M656" s="15" t="n">
        <x:v>43577.1549625</x:v>
      </x:c>
      <x:c r="N656" t="n">
        <x:f>(YEAR(DATE(2025,12,31))-YEAR(M656))*12+MONTH(DATE(2025,12,31))-MONTH(M656)</x:f>
        <x:v>80</x:v>
      </x:c>
      <x:c r="O656" t="str">
        <x:v>ACTIVE</x:v>
      </x:c>
      <x:c r="P656" t="str">
        <x:v>INDEPENDENT_CONTRACTOR</x:v>
      </x:c>
      <x:c r="Q656" t="str">
        <x:v>E_BIKE</x:v>
      </x:c>
      <x:c r="R656" t="str">
        <x:v>DINNER</x:v>
      </x:c>
      <x:c r="S656" t="n">
        <x:v>12</x:v>
      </x:c>
      <x:c r="T656" t="str">
        <x:v>CLEARED</x:v>
      </x:c>
      <x:c r="U656" t="str">
        <x:v>NOT_REQUIRED</x:v>
      </x:c>
      <x:c r="V656" s="16" t="n">
        <x:v>0.9278</x:v>
      </x:c>
      <x:c r="W656" t="str">
        <x:v>Spanish</x:v>
      </x:c>
      <x:c r="X656" t="str">
        <x:v>English</x:v>
      </x:c>
      <x:c r="Y656" t="n">
        <x:v>2740</x:v>
      </x:c>
      <x:c r="Z656" s="17" t="n">
        <x:v>4.83</x:v>
      </x:c>
      <x:c r="AA656" s="16" t="n">
        <x:v>0.669</x:v>
      </x:c>
      <x:c r="AB656" s="16" t="n">
        <x:v>0.998</x:v>
      </x:c>
      <x:c r="AC656" s="16" t="n">
        <x:v>0.9783</x:v>
      </x:c>
      <x:c r="AD656" t="n">
        <x:v>0</x:v>
      </x:c>
      <x:c r="AE656" t="str">
        <x:f>IF(O656&lt;&gt;"ACTIVE","NOT_RATED",IF(AND(Z656&gt;=4.8,AB656&gt;=0.97,AC656&gt;=0.93,AD656=0),"ELITE",IF(AND(Z656&gt;=4.6,AB656&gt;=0.94,AC656&gt;=0.88),"HIGH_PERFORMER",IF(OR(Z656&lt;4.2,AB656&lt;0.85,AD656&gt;=2),"AT_RISK","STANDARD"))))</x:f>
        <x:v>ELITE</x:v>
      </x:c>
      <x:c r="AF656" s="15" t="n">
        <x:v>46009</x:v>
      </x:c>
      <x:c r="AG656" t="str">
        <x:v>VERIFIED</x:v>
      </x:c>
      <x:c r="AH656" t="str">
        <x:v>COMPLETE</x:v>
      </x:c>
      <x:c r="AI656" t="str">
        <x:v>Taylor Thomas</x:v>
      </x:c>
      <x:c r="AJ656" t="str">
        <x:v>PARENT</x:v>
      </x:c>
      <x:c r="AK656" t="str">
        <x:v>+1 (415) 555-0101</x:v>
      </x:c>
    </x:row>
    <x:row r="657" ht="18" customHeight="1">
      <x:c r="A657" t="str">
        <x:v>DHR-00656</x:v>
      </x:c>
      <x:c r="B657" t="str">
        <x:v>Taylor Thompson</x:v>
      </x:c>
      <x:c r="C657" t="str">
        <x:v>https://api.dicebear.com/9.x/adventurer/png?seed=DHR-00656-Taylor%20Thompson&amp;size=256&amp;radius=50&amp;backgroundColor=b6e3f4,c0aede,d1d4f9,ffd5dc,ffdfbf</x:v>
      </x:c>
      <x:c r="D657" t="str">
        <x:v>taylor.thompson.656@example.com</x:v>
      </x:c>
      <x:c r="E657" t="str">
        <x:v>+1 (212) 555-0155</x:v>
      </x:c>
      <x:c r="F657" t="str">
        <x:v>New York, NY</x:v>
      </x:c>
      <x:c r="G657" t="str">
        <x:v>New York</x:v>
      </x:c>
      <x:c r="H657" t="str">
        <x:v>NY</x:v>
      </x:c>
      <x:c r="I657" s="18" t="str">
        <x:v>10001</x:v>
      </x:c>
      <x:c r="J657" s="15" t="n">
        <x:v>36568.16627758102</x:v>
      </x:c>
      <x:c r="K657" t="n">
        <x:f>INT((DATE(2025,12,31)-J657)/365.25)</x:f>
        <x:v>25</x:v>
      </x:c>
      <x:c r="L657" t="str">
        <x:f>IF(K657&lt;25,"18-24",IF(K657&lt;35,"25-34",IF(K657&lt;45,"35-44",IF(K657&lt;55,"45-54","55+"))))</x:f>
        <x:v>25-34</x:v>
      </x:c>
      <x:c r="M657" s="15" t="n">
        <x:v>44850.576038101855</x:v>
      </x:c>
      <x:c r="N657" t="n">
        <x:f>(YEAR(DATE(2025,12,31))-YEAR(M657))*12+MONTH(DATE(2025,12,31))-MONTH(M657)</x:f>
        <x:v>38</x:v>
      </x:c>
      <x:c r="O657" t="str">
        <x:v>ACTIVE</x:v>
      </x:c>
      <x:c r="P657" t="str">
        <x:v>INDEPENDENT_CONTRACTOR</x:v>
      </x:c>
      <x:c r="Q657" t="str">
        <x:v>CAR</x:v>
      </x:c>
      <x:c r="R657" t="str">
        <x:v>WEEKENDS</x:v>
      </x:c>
      <x:c r="S657" t="n">
        <x:v>44</x:v>
      </x:c>
      <x:c r="T657" t="str">
        <x:v>CLEARED</x:v>
      </x:c>
      <x:c r="U657" t="str">
        <x:v>VALID</x:v>
      </x:c>
      <x:c r="V657" s="16" t="n">
        <x:v>0.8303</x:v>
      </x:c>
      <x:c r="W657" t="str">
        <x:v>French</x:v>
      </x:c>
      <x:c r="X657" t="str">
        <x:v>English</x:v>
      </x:c>
      <x:c r="Y657" t="n">
        <x:v>4409</x:v>
      </x:c>
      <x:c r="Z657" s="17" t="n">
        <x:v>4.71</x:v>
      </x:c>
      <x:c r="AA657" s="16" t="n">
        <x:v>0.6443</x:v>
      </x:c>
      <x:c r="AB657" s="16" t="n">
        <x:v>0.974</x:v>
      </x:c>
      <x:c r="AC657" s="16" t="n">
        <x:v>0.9162</x:v>
      </x:c>
      <x:c r="AD657" t="n">
        <x:v>0</x:v>
      </x:c>
      <x:c r="AE657" t="str">
        <x:f>IF(O657&lt;&gt;"ACTIVE","NOT_RATED",IF(AND(Z657&gt;=4.8,AB657&gt;=0.97,AC657&gt;=0.93,AD657=0),"ELITE",IF(AND(Z657&gt;=4.6,AB657&gt;=0.94,AC657&gt;=0.88),"HIGH_PERFORMER",IF(OR(Z657&lt;4.2,AB657&lt;0.85,AD657&gt;=2),"AT_RISK","STANDARD"))))</x:f>
        <x:v>HIGH_PERFORMER</x:v>
      </x:c>
      <x:c r="AF657" s="15" t="n">
        <x:v>46022</x:v>
      </x:c>
      <x:c r="AG657" t="str">
        <x:v>VERIFIED</x:v>
      </x:c>
      <x:c r="AH657" t="str">
        <x:v>COMPLETE</x:v>
      </x:c>
      <x:c r="AI657" t="str">
        <x:v>Cameron Brown</x:v>
      </x:c>
      <x:c r="AJ657" t="str">
        <x:v>SPOUSE_PARTNER</x:v>
      </x:c>
      <x:c r="AK657" t="str">
        <x:v>+1 (212) 555-0108</x:v>
      </x:c>
    </x:row>
    <x:row r="658" ht="18" customHeight="1">
      <x:c r="A658" t="str">
        <x:v>DHR-00657</x:v>
      </x:c>
      <x:c r="B658" t="str">
        <x:v>Taylor Walker</x:v>
      </x:c>
      <x:c r="C658" t="str">
        <x:v>https://api.dicebear.com/9.x/adventurer/png?seed=DHR-00657-Taylor%20Walker&amp;size=256&amp;radius=50&amp;backgroundColor=b6e3f4,c0aede,d1d4f9,ffd5dc,ffdfbf</x:v>
      </x:c>
      <x:c r="D658" t="str">
        <x:v>taylor.walker.657@example.com</x:v>
      </x:c>
      <x:c r="E658" t="str">
        <x:v>+1 (214) 555-0156</x:v>
      </x:c>
      <x:c r="F658" t="str">
        <x:v>Dallas, TX</x:v>
      </x:c>
      <x:c r="G658" t="str">
        <x:v>Dallas</x:v>
      </x:c>
      <x:c r="H658" t="str">
        <x:v>TX</x:v>
      </x:c>
      <x:c r="I658" s="18" t="str">
        <x:v>75201</x:v>
      </x:c>
      <x:c r="J658" s="15" t="n">
        <x:v>24649.94627957176</x:v>
      </x:c>
      <x:c r="K658" t="n">
        <x:f>INT((DATE(2025,12,31)-J658)/365.25)</x:f>
        <x:v>58</x:v>
      </x:c>
      <x:c r="L658" t="str">
        <x:f>IF(K658&lt;25,"18-24",IF(K658&lt;35,"25-34",IF(K658&lt;45,"35-44",IF(K658&lt;55,"45-54","55+"))))</x:f>
        <x:v>55+</x:v>
      </x:c>
      <x:c r="M658" s="15" t="n">
        <x:v>45899.921895694446</x:v>
      </x:c>
      <x:c r="N658" t="n">
        <x:f>(YEAR(DATE(2025,12,31))-YEAR(M658))*12+MONTH(DATE(2025,12,31))-MONTH(M658)</x:f>
        <x:v>4</x:v>
      </x:c>
      <x:c r="O658" t="str">
        <x:v>ACTIVE</x:v>
      </x:c>
      <x:c r="P658" t="str">
        <x:v>INDEPENDENT_CONTRACTOR</x:v>
      </x:c>
      <x:c r="Q658" t="str">
        <x:v>CAR</x:v>
      </x:c>
      <x:c r="R658" t="str">
        <x:v>DINNER</x:v>
      </x:c>
      <x:c r="S658" t="n">
        <x:v>27</x:v>
      </x:c>
      <x:c r="T658" t="str">
        <x:v>CLEARED</x:v>
      </x:c>
      <x:c r="U658" t="str">
        <x:v>VALID</x:v>
      </x:c>
      <x:c r="V658" s="16" t="n">
        <x:v>0.9076</x:v>
      </x:c>
      <x:c r="W658" t="str">
        <x:v>English</x:v>
      </x:c>
      <x:c r="X658"/>
      <x:c r="Y658" t="n">
        <x:v>328</x:v>
      </x:c>
      <x:c r="Z658" s="17" t="n">
        <x:v>4.49</x:v>
      </x:c>
      <x:c r="AA658" s="16" t="n">
        <x:v>0.6907</x:v>
      </x:c>
      <x:c r="AB658" s="16" t="n">
        <x:v>0.9771</x:v>
      </x:c>
      <x:c r="AC658" s="16" t="n">
        <x:v>0.9497</x:v>
      </x:c>
      <x:c r="AD658" t="n">
        <x:v>0</x:v>
      </x:c>
      <x:c r="AE658" t="str">
        <x:f>IF(O658&lt;&gt;"ACTIVE","NOT_RATED",IF(AND(Z658&gt;=4.8,AB658&gt;=0.97,AC658&gt;=0.93,AD658=0),"ELITE",IF(AND(Z658&gt;=4.6,AB658&gt;=0.94,AC658&gt;=0.88),"HIGH_PERFORMER",IF(OR(Z658&lt;4.2,AB658&lt;0.85,AD658&gt;=2),"AT_RISK","STANDARD"))))</x:f>
        <x:v>STANDARD</x:v>
      </x:c>
      <x:c r="AF658" s="15" t="n">
        <x:v>46014</x:v>
      </x:c>
      <x:c r="AG658" t="str">
        <x:v>VERIFIED</x:v>
      </x:c>
      <x:c r="AH658" t="str">
        <x:v>PENDING</x:v>
      </x:c>
      <x:c r="AI658" t="str">
        <x:v>Riley Thomas</x:v>
      </x:c>
      <x:c r="AJ658" t="str">
        <x:v>SIBLING</x:v>
      </x:c>
      <x:c r="AK658" t="str">
        <x:v>+1 (214) 555-0115</x:v>
      </x:c>
    </x:row>
    <x:row r="659" ht="18" customHeight="1">
      <x:c r="A659" t="str">
        <x:v>DHR-00658</x:v>
      </x:c>
      <x:c r="B659" t="str">
        <x:v>Taylor White</x:v>
      </x:c>
      <x:c r="C659" t="str">
        <x:v>https://api.dicebear.com/9.x/adventurer/png?seed=DHR-00658-Taylor%20White&amp;size=256&amp;radius=50&amp;backgroundColor=b6e3f4,c0aede,d1d4f9,ffd5dc,ffdfbf</x:v>
      </x:c>
      <x:c r="D659" t="str">
        <x:v>taylor.white.658@example.com</x:v>
      </x:c>
      <x:c r="E659" t="str">
        <x:v>+1 (213) 555-0157</x:v>
      </x:c>
      <x:c r="F659" t="str">
        <x:v>Los Angeles, CA</x:v>
      </x:c>
      <x:c r="G659" t="str">
        <x:v>Los Angeles</x:v>
      </x:c>
      <x:c r="H659" t="str">
        <x:v>CA</x:v>
      </x:c>
      <x:c r="I659" s="18" t="str">
        <x:v>90012</x:v>
      </x:c>
      <x:c r="J659" s="15" t="n">
        <x:v>32215.65944383102</x:v>
      </x:c>
      <x:c r="K659" t="n">
        <x:f>INT((DATE(2025,12,31)-J659)/365.25)</x:f>
        <x:v>37</x:v>
      </x:c>
      <x:c r="L659" t="str">
        <x:f>IF(K659&lt;25,"18-24",IF(K659&lt;35,"25-34",IF(K659&lt;45,"35-44",IF(K659&lt;55,"45-54","55+"))))</x:f>
        <x:v>35-44</x:v>
      </x:c>
      <x:c r="M659" s="15" t="n">
        <x:v>44986.03800677083</x:v>
      </x:c>
      <x:c r="N659" t="n">
        <x:f>(YEAR(DATE(2025,12,31))-YEAR(M659))*12+MONTH(DATE(2025,12,31))-MONTH(M659)</x:f>
        <x:v>33</x:v>
      </x:c>
      <x:c r="O659" t="str">
        <x:v>ACTIVE</x:v>
      </x:c>
      <x:c r="P659" t="str">
        <x:v>INDEPENDENT_CONTRACTOR</x:v>
      </x:c>
      <x:c r="Q659" t="str">
        <x:v>CAR</x:v>
      </x:c>
      <x:c r="R659" t="str">
        <x:v>DINNER</x:v>
      </x:c>
      <x:c r="S659" t="n">
        <x:v>45</x:v>
      </x:c>
      <x:c r="T659" t="str">
        <x:v>CLEARED</x:v>
      </x:c>
      <x:c r="U659" t="str">
        <x:v>VALID</x:v>
      </x:c>
      <x:c r="V659" s="16" t="n">
        <x:v>0.9684</x:v>
      </x:c>
      <x:c r="W659" t="str">
        <x:v>Arabic</x:v>
      </x:c>
      <x:c r="X659"/>
      <x:c r="Y659" t="n">
        <x:v>3682</x:v>
      </x:c>
      <x:c r="Z659" s="17" t="n">
        <x:v>4.72</x:v>
      </x:c>
      <x:c r="AA659" s="16" t="n">
        <x:v>0.7048</x:v>
      </x:c>
      <x:c r="AB659" s="16" t="n">
        <x:v>0.9769</x:v>
      </x:c>
      <x:c r="AC659" s="16" t="n">
        <x:v>0.8418</x:v>
      </x:c>
      <x:c r="AD659" t="n">
        <x:v>0</x:v>
      </x:c>
      <x:c r="AE659" t="str">
        <x:f>IF(O659&lt;&gt;"ACTIVE","NOT_RATED",IF(AND(Z659&gt;=4.8,AB659&gt;=0.97,AC659&gt;=0.93,AD659=0),"ELITE",IF(AND(Z659&gt;=4.6,AB659&gt;=0.94,AC659&gt;=0.88),"HIGH_PERFORMER",IF(OR(Z659&lt;4.2,AB659&lt;0.85,AD659&gt;=2),"AT_RISK","STANDARD"))))</x:f>
        <x:v>STANDARD</x:v>
      </x:c>
      <x:c r="AF659" s="15" t="n">
        <x:v>46019</x:v>
      </x:c>
      <x:c r="AG659" t="str">
        <x:v>VERIFIED</x:v>
      </x:c>
      <x:c r="AH659" t="str">
        <x:v>COMPLETE</x:v>
      </x:c>
      <x:c r="AI659" t="str">
        <x:v>Cameron Moore</x:v>
      </x:c>
      <x:c r="AJ659" t="str">
        <x:v>PARENT</x:v>
      </x:c>
      <x:c r="AK659" t="str">
        <x:v>+1 (213) 555-0122</x:v>
      </x:c>
    </x:row>
    <x:row r="660" ht="18" customHeight="1">
      <x:c r="A660" t="str">
        <x:v>DHR-00659</x:v>
      </x:c>
      <x:c r="B660" t="str">
        <x:v>Taylor Williams</x:v>
      </x:c>
      <x:c r="C660" t="str">
        <x:v>https://api.dicebear.com/9.x/adventurer/png?seed=DHR-00659-Taylor%20Williams&amp;size=256&amp;radius=50&amp;backgroundColor=b6e3f4,c0aede,d1d4f9,ffd5dc,ffdfbf</x:v>
      </x:c>
      <x:c r="D660" t="str">
        <x:v>taylor.williams.659@example.com</x:v>
      </x:c>
      <x:c r="E660" t="str">
        <x:v>+1 (213) 555-0158</x:v>
      </x:c>
      <x:c r="F660" t="str">
        <x:v>Los Angeles, CA</x:v>
      </x:c>
      <x:c r="G660" t="str">
        <x:v>Los Angeles</x:v>
      </x:c>
      <x:c r="H660" t="str">
        <x:v>CA</x:v>
      </x:c>
      <x:c r="I660" s="18" t="str">
        <x:v>90012</x:v>
      </x:c>
      <x:c r="J660" s="15" t="n">
        <x:v>36510.27048378472</x:v>
      </x:c>
      <x:c r="K660" t="n">
        <x:f>INT((DATE(2025,12,31)-J660)/365.25)</x:f>
        <x:v>26</x:v>
      </x:c>
      <x:c r="L660" t="str">
        <x:f>IF(K660&lt;25,"18-24",IF(K660&lt;35,"25-34",IF(K660&lt;45,"35-44",IF(K660&lt;55,"45-54","55+"))))</x:f>
        <x:v>25-34</x:v>
      </x:c>
      <x:c r="M660" s="15" t="n">
        <x:v>45279.230832974536</x:v>
      </x:c>
      <x:c r="N660" t="n">
        <x:f>(YEAR(DATE(2025,12,31))-YEAR(M660))*12+MONTH(DATE(2025,12,31))-MONTH(M660)</x:f>
        <x:v>24</x:v>
      </x:c>
      <x:c r="O660" t="str">
        <x:v>ACTIVE</x:v>
      </x:c>
      <x:c r="P660" t="str">
        <x:v>INDEPENDENT_CONTRACTOR</x:v>
      </x:c>
      <x:c r="Q660" t="str">
        <x:v>SCOOTER</x:v>
      </x:c>
      <x:c r="R660" t="str">
        <x:v>WEEKENDS</x:v>
      </x:c>
      <x:c r="S660" t="n">
        <x:v>29</x:v>
      </x:c>
      <x:c r="T660" t="str">
        <x:v>REVIEW_REQUIRED</x:v>
      </x:c>
      <x:c r="U660" t="str">
        <x:v>VALID</x:v>
      </x:c>
      <x:c r="V660" s="16" t="n">
        <x:v>0.8413</x:v>
      </x:c>
      <x:c r="W660" t="str">
        <x:v>Spanish</x:v>
      </x:c>
      <x:c r="X660"/>
      <x:c r="Y660" t="n">
        <x:v>1845</x:v>
      </x:c>
      <x:c r="Z660" s="17" t="n">
        <x:v>4.2</x:v>
      </x:c>
      <x:c r="AA660" s="16" t="n">
        <x:v>0.663</x:v>
      </x:c>
      <x:c r="AB660" s="16" t="n">
        <x:v>0.9221</x:v>
      </x:c>
      <x:c r="AC660" s="16" t="n">
        <x:v>0.8293</x:v>
      </x:c>
      <x:c r="AD660" t="n">
        <x:v>0</x:v>
      </x:c>
      <x:c r="AE660" t="str">
        <x:f>IF(O660&lt;&gt;"ACTIVE","NOT_RATED",IF(AND(Z660&gt;=4.8,AB660&gt;=0.97,AC660&gt;=0.93,AD660=0),"ELITE",IF(AND(Z660&gt;=4.6,AB660&gt;=0.94,AC660&gt;=0.88),"HIGH_PERFORMER",IF(OR(Z660&lt;4.2,AB660&lt;0.85,AD660&gt;=2),"AT_RISK","STANDARD"))))</x:f>
        <x:v>STANDARD</x:v>
      </x:c>
      <x:c r="AF660" s="15" t="n">
        <x:v>46015</x:v>
      </x:c>
      <x:c r="AG660" t="str">
        <x:v>VERIFIED</x:v>
      </x:c>
      <x:c r="AH660" t="str">
        <x:v>COMPLETE</x:v>
      </x:c>
      <x:c r="AI660" t="str">
        <x:v>Parker Davis</x:v>
      </x:c>
      <x:c r="AJ660" t="str">
        <x:v>SPOUSE_PARTNER</x:v>
      </x:c>
      <x:c r="AK660" t="str">
        <x:v>+1 (213) 555-0129</x:v>
      </x:c>
    </x:row>
    <x:row r="661" ht="18" customHeight="1">
      <x:c r="A661" t="str">
        <x:v>DHR-00660</x:v>
      </x:c>
      <x:c r="B661" t="str">
        <x:v>Taylor Wilson</x:v>
      </x:c>
      <x:c r="C661" t="str">
        <x:v>https://api.dicebear.com/9.x/adventurer/png?seed=DHR-00660-Taylor%20Wilson&amp;size=256&amp;radius=50&amp;backgroundColor=b6e3f4,c0aede,d1d4f9,ffd5dc,ffdfbf</x:v>
      </x:c>
      <x:c r="D661" t="str">
        <x:v>taylor.wilson.660@example.com</x:v>
      </x:c>
      <x:c r="E661" t="str">
        <x:v>+1 (617) 555-0159</x:v>
      </x:c>
      <x:c r="F661" t="str">
        <x:v>Boston, MA</x:v>
      </x:c>
      <x:c r="G661" t="str">
        <x:v>Boston</x:v>
      </x:c>
      <x:c r="H661" t="str">
        <x:v>MA</x:v>
      </x:c>
      <x:c r="I661" s="18" t="str">
        <x:v>02108</x:v>
      </x:c>
      <x:c r="J661" s="15" t="n">
        <x:v>25207.729295393518</x:v>
      </x:c>
      <x:c r="K661" t="n">
        <x:f>INT((DATE(2025,12,31)-J661)/365.25)</x:f>
        <x:v>56</x:v>
      </x:c>
      <x:c r="L661" t="str">
        <x:f>IF(K661&lt;25,"18-24",IF(K661&lt;35,"25-34",IF(K661&lt;45,"35-44",IF(K661&lt;55,"45-54","55+"))))</x:f>
        <x:v>55+</x:v>
      </x:c>
      <x:c r="M661" s="15" t="n">
        <x:v>43475.93281657407</x:v>
      </x:c>
      <x:c r="N661" t="n">
        <x:f>(YEAR(DATE(2025,12,31))-YEAR(M661))*12+MONTH(DATE(2025,12,31))-MONTH(M661)</x:f>
        <x:v>83</x:v>
      </x:c>
      <x:c r="O661" t="str">
        <x:v>ACTIVE</x:v>
      </x:c>
      <x:c r="P661" t="str">
        <x:v>INDEPENDENT_CONTRACTOR</x:v>
      </x:c>
      <x:c r="Q661" t="str">
        <x:v>CAR</x:v>
      </x:c>
      <x:c r="R661" t="str">
        <x:v>DINNER</x:v>
      </x:c>
      <x:c r="S661" t="n">
        <x:v>11</x:v>
      </x:c>
      <x:c r="T661" t="str">
        <x:v>CLEARED</x:v>
      </x:c>
      <x:c r="U661" t="str">
        <x:v>VALID</x:v>
      </x:c>
      <x:c r="V661" s="16" t="n">
        <x:v>0.9451</x:v>
      </x:c>
      <x:c r="W661" t="str">
        <x:v>Arabic</x:v>
      </x:c>
      <x:c r="X661" t="str">
        <x:v>English</x:v>
      </x:c>
      <x:c r="Y661" t="n">
        <x:v>3110</x:v>
      </x:c>
      <x:c r="Z661" s="17" t="n">
        <x:v>4.75</x:v>
      </x:c>
      <x:c r="AA661" s="16" t="n">
        <x:v>0.9411</x:v>
      </x:c>
      <x:c r="AB661" s="16" t="n">
        <x:v>0.9045</x:v>
      </x:c>
      <x:c r="AC661" s="16" t="n">
        <x:v>0.9332</x:v>
      </x:c>
      <x:c r="AD661" t="n">
        <x:v>0</x:v>
      </x:c>
      <x:c r="AE661" t="str">
        <x:f>IF(O661&lt;&gt;"ACTIVE","NOT_RATED",IF(AND(Z661&gt;=4.8,AB661&gt;=0.97,AC661&gt;=0.93,AD661=0),"ELITE",IF(AND(Z661&gt;=4.6,AB661&gt;=0.94,AC661&gt;=0.88),"HIGH_PERFORMER",IF(OR(Z661&lt;4.2,AB661&lt;0.85,AD661&gt;=2),"AT_RISK","STANDARD"))))</x:f>
        <x:v>STANDARD</x:v>
      </x:c>
      <x:c r="AF661" s="15" t="n">
        <x:v>46018</x:v>
      </x:c>
      <x:c r="AG661" t="str">
        <x:v>VERIFIED</x:v>
      </x:c>
      <x:c r="AH661" t="str">
        <x:v>COMPLETE</x:v>
      </x:c>
      <x:c r="AI661" t="str">
        <x:v>Skyler Clark</x:v>
      </x:c>
      <x:c r="AJ661" t="str">
        <x:v>SPOUSE_PARTNER</x:v>
      </x:c>
      <x:c r="AK661" t="str">
        <x:v>+1 (617) 555-0136</x:v>
      </x:c>
    </x:row>
    <x:row r="662" ht="18" customHeight="1">
      <x:c r="A662" t="str">
        <x:v>DHR-00661</x:v>
      </x:c>
      <x:c r="B662" t="str">
        <x:v>Taylor Young</x:v>
      </x:c>
      <x:c r="C662" t="str">
        <x:v>https://api.dicebear.com/9.x/adventurer/png?seed=DHR-00661-Taylor%20Young&amp;size=256&amp;radius=50&amp;backgroundColor=b6e3f4,c0aede,d1d4f9,ffd5dc,ffdfbf</x:v>
      </x:c>
      <x:c r="D662" t="str">
        <x:v>taylor.young.661@example.com</x:v>
      </x:c>
      <x:c r="E662" t="str">
        <x:v>+1 (212) 555-0160</x:v>
      </x:c>
      <x:c r="F662" t="str">
        <x:v>New York, NY</x:v>
      </x:c>
      <x:c r="G662" t="str">
        <x:v>New York</x:v>
      </x:c>
      <x:c r="H662" t="str">
        <x:v>NY</x:v>
      </x:c>
      <x:c r="I662" s="18" t="str">
        <x:v>10001</x:v>
      </x:c>
      <x:c r="J662" s="15" t="n">
        <x:v>30442.525443819446</x:v>
      </x:c>
      <x:c r="K662" t="n">
        <x:f>INT((DATE(2025,12,31)-J662)/365.25)</x:f>
        <x:v>42</x:v>
      </x:c>
      <x:c r="L662" t="str">
        <x:f>IF(K662&lt;25,"18-24",IF(K662&lt;35,"25-34",IF(K662&lt;45,"35-44",IF(K662&lt;55,"45-54","55+"))))</x:f>
        <x:v>35-44</x:v>
      </x:c>
      <x:c r="M662" s="15" t="n">
        <x:v>45669.49129248843</x:v>
      </x:c>
      <x:c r="N662" t="n">
        <x:f>(YEAR(DATE(2025,12,31))-YEAR(M662))*12+MONTH(DATE(2025,12,31))-MONTH(M662)</x:f>
        <x:v>11</x:v>
      </x:c>
      <x:c r="O662" t="str">
        <x:v>ACTIVE</x:v>
      </x:c>
      <x:c r="P662" t="str">
        <x:v>INDEPENDENT_CONTRACTOR</x:v>
      </x:c>
      <x:c r="Q662" t="str">
        <x:v>BICYCLE</x:v>
      </x:c>
      <x:c r="R662" t="str">
        <x:v>FLEXIBLE</x:v>
      </x:c>
      <x:c r="S662" t="n">
        <x:v>23</x:v>
      </x:c>
      <x:c r="T662" t="str">
        <x:v>CLEARED</x:v>
      </x:c>
      <x:c r="U662" t="str">
        <x:v>NOT_REQUIRED</x:v>
      </x:c>
      <x:c r="V662" s="16" t="n">
        <x:v>0.9377</x:v>
      </x:c>
      <x:c r="W662" t="str">
        <x:v>English</x:v>
      </x:c>
      <x:c r="X662" t="str">
        <x:v>Spanish</x:v>
      </x:c>
      <x:c r="Y662" t="n">
        <x:v>595</x:v>
      </x:c>
      <x:c r="Z662" s="17" t="n">
        <x:v>4.88</x:v>
      </x:c>
      <x:c r="AA662" s="16" t="n">
        <x:v>0.6017</x:v>
      </x:c>
      <x:c r="AB662" s="16" t="n">
        <x:v>0.8747</x:v>
      </x:c>
      <x:c r="AC662" s="16" t="n">
        <x:v>0.8824</x:v>
      </x:c>
      <x:c r="AD662" t="n">
        <x:v>0</x:v>
      </x:c>
      <x:c r="AE662" t="str">
        <x:f>IF(O662&lt;&gt;"ACTIVE","NOT_RATED",IF(AND(Z662&gt;=4.8,AB662&gt;=0.97,AC662&gt;=0.93,AD662=0),"ELITE",IF(AND(Z662&gt;=4.6,AB662&gt;=0.94,AC662&gt;=0.88),"HIGH_PERFORMER",IF(OR(Z662&lt;4.2,AB662&lt;0.85,AD662&gt;=2),"AT_RISK","STANDARD"))))</x:f>
        <x:v>STANDARD</x:v>
      </x:c>
      <x:c r="AF662" s="15" t="n">
        <x:v>46011</x:v>
      </x:c>
      <x:c r="AG662" t="str">
        <x:v>VERIFIED</x:v>
      </x:c>
      <x:c r="AH662" t="str">
        <x:v>COMPLETE</x:v>
      </x:c>
      <x:c r="AI662" t="str">
        <x:v>Jamie Lee</x:v>
      </x:c>
      <x:c r="AJ662" t="str">
        <x:v>FRIEND</x:v>
      </x:c>
      <x:c r="AK662" t="str">
        <x:v>+1 (212) 555-0143</x:v>
      </x:c>
    </x:row>
  </x:sheetData>
  <x:conditionalFormatting sqref="O2:O662">
    <x:cfRule type="containsText" dxfId="0" priority="1" operator="containsText" text="ACTIVE"/>
    <x:cfRule type="containsText" dxfId="1" priority="2" operator="containsText" text="OFFBOARDED"/>
  </x:conditionalFormatting>
  <x:conditionalFormatting sqref="AE2:AE662">
    <x:cfRule type="containsText" dxfId="2" priority="3" operator="containsText" text="ELITE"/>
    <x:cfRule type="containsText" dxfId="3" priority="4" operator="containsText" text="AT_RISK"/>
  </x:conditionalFormatting>
  <x:dataValidations count="2">
    <x:dataValidation type="list" sqref="O2:O662">
      <x:formula1>"ACTIVE,PAUSED,OFFBOARDED"</x:formula1>
    </x:dataValidation>
    <x:dataValidation type="list" sqref="Q2:Q662">
      <x:formula1>"CAR,BICYCLE,E_BIKE,SCOOTER,MOTORCYCLE"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344c2273cd4e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78" hidden="0" customWidth="1"/>
  </x:cols>
  <x:sheetData>
    <x:row r="1" ht="34" customHeight="1">
      <x:c r="A1" s="2" t="str">
        <x:v>Data Dictionary</x:v>
      </x:c>
      <x:c r="B1" s="2"/>
      <x:c r="C1" s="2"/>
    </x:row>
    <x:row r="2" ht="24" customHeight="1">
      <x:c r="A2" s="69" t="str">
        <x:v>All personal, compliance and performance information is fictional and intended only for BI practice.</x:v>
      </x:c>
      <x:c r="B2" s="69"/>
      <x:c r="C2" s="69"/>
    </x:row>
    <x:row r="4" ht="26" customHeight="1">
      <x:c r="A4" s="82" t="str">
        <x:v>COLUMN</x:v>
      </x:c>
      <x:c r="B4" s="83" t="str">
        <x:v>DATA TYPE</x:v>
      </x:c>
      <x:c r="C4" s="84" t="str">
        <x:v>DESCRIPTION</x:v>
      </x:c>
    </x:row>
    <x:row r="5" ht="22" customHeight="1">
      <x:c r="A5" s="73" t="str">
        <x:v>DASHER_HR_ID</x:v>
      </x:c>
      <x:c r="B5" s="74" t="str">
        <x:v>Text</x:v>
      </x:c>
      <x:c r="C5" s="85" t="str">
        <x:v>Unique synthetic identifier for the HR dimension.</x:v>
      </x:c>
    </x:row>
    <x:row r="6" ht="22" customHeight="1">
      <x:c r="A6" s="73" t="str">
        <x:v>DASHER_NAME</x:v>
      </x:c>
      <x:c r="B6" s="74" t="str">
        <x:v>Text</x:v>
      </x:c>
      <x:c r="C6" s="85" t="str">
        <x:v>Unique name supplied in the source file; relationship key to Deliveries.</x:v>
      </x:c>
    </x:row>
    <x:row r="7" ht="22" customHeight="1">
      <x:c r="A7" s="73" t="str">
        <x:v>PHOTO_URL</x:v>
      </x:c>
      <x:c r="B7" s="74" t="str">
        <x:v>URL</x:v>
      </x:c>
      <x:c r="C7" s="85" t="str">
        <x:v>Direct URL to a fictional cartoon avatar generated from the Dasher ID and name.</x:v>
      </x:c>
    </x:row>
    <x:row r="8" ht="22" customHeight="1">
      <x:c r="A8" s="73" t="str">
        <x:v>EMAIL</x:v>
      </x:c>
      <x:c r="B8" s="74" t="str">
        <x:v>Text</x:v>
      </x:c>
      <x:c r="C8" s="85" t="str">
        <x:v>Fictional email using the reserved example.com domain.</x:v>
      </x:c>
    </x:row>
    <x:row r="9" ht="22" customHeight="1">
      <x:c r="A9" s="73" t="str">
        <x:v>PHONE</x:v>
      </x:c>
      <x:c r="B9" s="74" t="str">
        <x:v>Text</x:v>
      </x:c>
      <x:c r="C9" s="85" t="str">
        <x:v>Fictional U.S. telephone number using the 555-01xx range.</x:v>
      </x:c>
    </x:row>
    <x:row r="10" ht="22" customHeight="1">
      <x:c r="A10" s="73" t="str">
        <x:v>HOME_MARKET</x:v>
      </x:c>
      <x:c r="B10" s="74" t="str">
        <x:v>Text</x:v>
      </x:c>
      <x:c r="C10" s="85" t="str">
        <x:v>Combined home city and state.</x:v>
      </x:c>
    </x:row>
    <x:row r="11" ht="22" customHeight="1">
      <x:c r="A11" s="73" t="str">
        <x:v>CITY</x:v>
      </x:c>
      <x:c r="B11" s="74" t="str">
        <x:v>Text</x:v>
      </x:c>
      <x:c r="C11" s="85" t="str">
        <x:v>Home operating city.</x:v>
      </x:c>
    </x:row>
    <x:row r="12" ht="22" customHeight="1">
      <x:c r="A12" s="73" t="str">
        <x:v>STATE</x:v>
      </x:c>
      <x:c r="B12" s="74" t="str">
        <x:v>Text</x:v>
      </x:c>
      <x:c r="C12" s="85" t="str">
        <x:v>Two-letter U.S. state code.</x:v>
      </x:c>
    </x:row>
    <x:row r="13" ht="22" customHeight="1">
      <x:c r="A13" s="73" t="str">
        <x:v>ZIP_CODE</x:v>
      </x:c>
      <x:c r="B13" s="74" t="str">
        <x:v>Text</x:v>
      </x:c>
      <x:c r="C13" s="85" t="str">
        <x:v>Representative ZIP code for the market.</x:v>
      </x:c>
    </x:row>
    <x:row r="14" ht="22" customHeight="1">
      <x:c r="A14" s="73" t="str">
        <x:v>DATE_OF_BIRTH</x:v>
      </x:c>
      <x:c r="B14" s="74" t="str">
        <x:v>Date</x:v>
      </x:c>
      <x:c r="C14" s="85" t="str">
        <x:v>Synthetic birth date.</x:v>
      </x:c>
    </x:row>
    <x:row r="15" ht="22" customHeight="1">
      <x:c r="A15" s="73" t="str">
        <x:v>AGE</x:v>
      </x:c>
      <x:c r="B15" s="74" t="str">
        <x:v>Formula</x:v>
      </x:c>
      <x:c r="C15" s="85" t="str">
        <x:v>Age as of 2025-12-31.</x:v>
      </x:c>
    </x:row>
    <x:row r="16" ht="22" customHeight="1">
      <x:c r="A16" s="73" t="str">
        <x:v>AGE_GROUP</x:v>
      </x:c>
      <x:c r="B16" s="74" t="str">
        <x:v>Formula</x:v>
      </x:c>
      <x:c r="C16" s="85" t="str">
        <x:v>Age band derived from AGE.</x:v>
      </x:c>
    </x:row>
    <x:row r="17" ht="22" customHeight="1">
      <x:c r="A17" s="73" t="str">
        <x:v>ONBOARDING_DATE</x:v>
      </x:c>
      <x:c r="B17" s="74" t="str">
        <x:v>Date</x:v>
      </x:c>
      <x:c r="C17" s="85" t="str">
        <x:v>Date the Dasher joined the platform.</x:v>
      </x:c>
    </x:row>
    <x:row r="18" ht="22" customHeight="1">
      <x:c r="A18" s="73" t="str">
        <x:v>TENURE_MONTHS</x:v>
      </x:c>
      <x:c r="B18" s="74" t="str">
        <x:v>Formula</x:v>
      </x:c>
      <x:c r="C18" s="85" t="str">
        <x:v>Completed/elapsed months between onboarding and 2025-12-31.</x:v>
      </x:c>
    </x:row>
    <x:row r="19" ht="22" customHeight="1">
      <x:c r="A19" s="73" t="str">
        <x:v>ENGAGEMENT_STATUS</x:v>
      </x:c>
      <x:c r="B19" s="74" t="str">
        <x:v>Text</x:v>
      </x:c>
      <x:c r="C19" s="85" t="str">
        <x:v>ACTIVE, PAUSED or OFFBOARDED.</x:v>
      </x:c>
    </x:row>
    <x:row r="20" ht="22" customHeight="1">
      <x:c r="A20" s="73" t="str">
        <x:v>CONTRACT_TYPE</x:v>
      </x:c>
      <x:c r="B20" s="74" t="str">
        <x:v>Text</x:v>
      </x:c>
      <x:c r="C20" s="85" t="str">
        <x:v>Synthetic contractual classification; independent contractor.</x:v>
      </x:c>
    </x:row>
    <x:row r="21" ht="22" customHeight="1">
      <x:c r="A21" s="73" t="str">
        <x:v>VEHICLE_TYPE</x:v>
      </x:c>
      <x:c r="B21" s="74" t="str">
        <x:v>Text</x:v>
      </x:c>
      <x:c r="C21" s="85" t="str">
        <x:v>Primary delivery vehicle.</x:v>
      </x:c>
    </x:row>
    <x:row r="22" ht="22" customHeight="1">
      <x:c r="A22" s="73" t="str">
        <x:v>SHIFT_PREFERENCE</x:v>
      </x:c>
      <x:c r="B22" s="74" t="str">
        <x:v>Text</x:v>
      </x:c>
      <x:c r="C22" s="85" t="str">
        <x:v>Preferred delivery window.</x:v>
      </x:c>
    </x:row>
    <x:row r="23" ht="22" customHeight="1">
      <x:c r="A23" s="73" t="str">
        <x:v>WEEKLY_AVAILABILITY_HOURS</x:v>
      </x:c>
      <x:c r="B23" s="74" t="str">
        <x:v>Integer</x:v>
      </x:c>
      <x:c r="C23" s="85" t="str">
        <x:v>Self-reported weekly availability.</x:v>
      </x:c>
    </x:row>
    <x:row r="24" ht="22" customHeight="1">
      <x:c r="A24" s="73" t="str">
        <x:v>BACKGROUND_CHECK_STATUS</x:v>
      </x:c>
      <x:c r="B24" s="74" t="str">
        <x:v>Text</x:v>
      </x:c>
      <x:c r="C24" s="85" t="str">
        <x:v>Simplified background check status.</x:v>
      </x:c>
    </x:row>
    <x:row r="25" ht="22" customHeight="1">
      <x:c r="A25" s="73" t="str">
        <x:v>DRIVER_LICENSE_STATUS</x:v>
      </x:c>
      <x:c r="B25" s="74" t="str">
        <x:v>Text</x:v>
      </x:c>
      <x:c r="C25" s="85" t="str">
        <x:v>License status or NOT_REQUIRED for non-motorized vehicles.</x:v>
      </x:c>
    </x:row>
    <x:row r="26" ht="22" customHeight="1">
      <x:c r="A26" s="73" t="str">
        <x:v>TRAINING_COMPLETION_PCT</x:v>
      </x:c>
      <x:c r="B26" s="74" t="str">
        <x:v>Percentage</x:v>
      </x:c>
      <x:c r="C26" s="85" t="str">
        <x:v>Share of required training completed.</x:v>
      </x:c>
    </x:row>
    <x:row r="27" ht="22" customHeight="1">
      <x:c r="A27" s="73" t="str">
        <x:v>PRIMARY_LANGUAGE</x:v>
      </x:c>
      <x:c r="B27" s="74" t="str">
        <x:v>Text</x:v>
      </x:c>
      <x:c r="C27" s="85" t="str">
        <x:v>Primary communication language.</x:v>
      </x:c>
    </x:row>
    <x:row r="28" ht="22" customHeight="1">
      <x:c r="A28" s="73" t="str">
        <x:v>SECOND_LANGUAGE</x:v>
      </x:c>
      <x:c r="B28" s="74" t="str">
        <x:v>Text</x:v>
      </x:c>
      <x:c r="C28" s="85" t="str">
        <x:v>Optional secondary language.</x:v>
      </x:c>
    </x:row>
    <x:row r="29" ht="22" customHeight="1">
      <x:c r="A29" s="73" t="str">
        <x:v>TOTAL_DELIVERIES_LIFETIME</x:v>
      </x:c>
      <x:c r="B29" s="74" t="str">
        <x:v>Integer</x:v>
      </x:c>
      <x:c r="C29" s="85" t="str">
        <x:v>Synthetic cumulative completed delivery volume.</x:v>
      </x:c>
    </x:row>
    <x:row r="30" ht="22" customHeight="1">
      <x:c r="A30" s="73" t="str">
        <x:v>AVG_CUSTOMER_RATING</x:v>
      </x:c>
      <x:c r="B30" s="74" t="str">
        <x:v>Decimal</x:v>
      </x:c>
      <x:c r="C30" s="85" t="str">
        <x:v>Synthetic lifetime average rating from 1 to 5.</x:v>
      </x:c>
    </x:row>
    <x:row r="31" ht="22" customHeight="1">
      <x:c r="A31" s="73" t="str">
        <x:v>ACCEPTANCE_RATE</x:v>
      </x:c>
      <x:c r="B31" s="74" t="str">
        <x:v>Percentage</x:v>
      </x:c>
      <x:c r="C31" s="85" t="str">
        <x:v>Synthetic share of offered orders accepted.</x:v>
      </x:c>
    </x:row>
    <x:row r="32" ht="22" customHeight="1">
      <x:c r="A32" s="73" t="str">
        <x:v>COMPLETION_RATE</x:v>
      </x:c>
      <x:c r="B32" s="74" t="str">
        <x:v>Percentage</x:v>
      </x:c>
      <x:c r="C32" s="85" t="str">
        <x:v>Synthetic share of accepted orders completed.</x:v>
      </x:c>
    </x:row>
    <x:row r="33" ht="22" customHeight="1">
      <x:c r="A33" s="73" t="str">
        <x:v>ON_TIME_RATE</x:v>
      </x:c>
      <x:c r="B33" s="74" t="str">
        <x:v>Percentage</x:v>
      </x:c>
      <x:c r="C33" s="85" t="str">
        <x:v>Synthetic share of completed orders delivered within SLA.</x:v>
      </x:c>
    </x:row>
    <x:row r="34" ht="22" customHeight="1">
      <x:c r="A34" s="73" t="str">
        <x:v>SAFETY_INCIDENTS</x:v>
      </x:c>
      <x:c r="B34" s="74" t="str">
        <x:v>Integer</x:v>
      </x:c>
      <x:c r="C34" s="85" t="str">
        <x:v>Synthetic count of recorded safety incidents.</x:v>
      </x:c>
    </x:row>
    <x:row r="35" ht="22" customHeight="1">
      <x:c r="A35" s="73" t="str">
        <x:v>PERFORMANCE_TIER</x:v>
      </x:c>
      <x:c r="B35" s="74" t="str">
        <x:v>Formula</x:v>
      </x:c>
      <x:c r="C35" s="85" t="str">
        <x:v>ELITE, HIGH_PERFORMER, STANDARD, AT_RISK or NOT_RATED.</x:v>
      </x:c>
    </x:row>
    <x:row r="36" ht="22" customHeight="1">
      <x:c r="A36" s="73" t="str">
        <x:v>LAST_ACTIVE_DATE</x:v>
      </x:c>
      <x:c r="B36" s="74" t="str">
        <x:v>Date</x:v>
      </x:c>
      <x:c r="C36" s="85" t="str">
        <x:v>Most recent synthetic activity date.</x:v>
      </x:c>
    </x:row>
    <x:row r="37" ht="22" customHeight="1">
      <x:c r="A37" s="73" t="str">
        <x:v>PAYMENT_ACCOUNT_STATUS</x:v>
      </x:c>
      <x:c r="B37" s="74" t="str">
        <x:v>Text</x:v>
      </x:c>
      <x:c r="C37" s="85" t="str">
        <x:v>Simplified payout account status.</x:v>
      </x:c>
    </x:row>
    <x:row r="38" ht="22" customHeight="1">
      <x:c r="A38" s="73" t="str">
        <x:v>TAX_FORM_STATUS</x:v>
      </x:c>
      <x:c r="B38" s="74" t="str">
        <x:v>Text</x:v>
      </x:c>
      <x:c r="C38" s="85" t="str">
        <x:v>Simplified tax documentation status.</x:v>
      </x:c>
    </x:row>
    <x:row r="39" ht="22" customHeight="1">
      <x:c r="A39" s="73" t="str">
        <x:v>EMERGENCY_CONTACT_NAME</x:v>
      </x:c>
      <x:c r="B39" s="74" t="str">
        <x:v>Text</x:v>
      </x:c>
      <x:c r="C39" s="85" t="str">
        <x:v>Synthetic emergency contact name.</x:v>
      </x:c>
    </x:row>
    <x:row r="40" ht="22" customHeight="1">
      <x:c r="A40" s="73" t="str">
        <x:v>EMERGENCY_CONTACT_RELATIONSHIP</x:v>
      </x:c>
      <x:c r="B40" s="74" t="str">
        <x:v>Text</x:v>
      </x:c>
      <x:c r="C40" s="85" t="str">
        <x:v>Relationship to the emergency contact.</x:v>
      </x:c>
    </x:row>
    <x:row r="41" ht="22" customHeight="1">
      <x:c r="A41" s="76" t="str">
        <x:v>EMERGENCY_CONTACT_PHONE</x:v>
      </x:c>
      <x:c r="B41" s="77" t="str">
        <x:v>Text</x:v>
      </x:c>
      <x:c r="C41" s="86" t="str">
        <x:v>Fictional emergency contact telephone number.</x:v>
      </x:c>
    </x:row>
  </x:sheetData>
  <x:mergeCells>
    <x:mergeCell ref="A1:C1"/>
    <x:mergeCell ref="A2:C2"/>
  </x:mergeCells>
  <x:pageMargins left="0.7" right="0.7" top="0.75" bottom="0.75" header="0.3" footer="0.3"/>
</x:worksheet>
</file>